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ussiatti\Desktop\ArmaJSON\"/>
    </mc:Choice>
  </mc:AlternateContent>
  <bookViews>
    <workbookView xWindow="-120" yWindow="-120" windowWidth="20610" windowHeight="7170" tabRatio="761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8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68" i="5" l="1"/>
  <c r="AZ167" i="5"/>
  <c r="AZ166" i="5"/>
  <c r="AZ165" i="5"/>
  <c r="BE165" i="14" s="1"/>
  <c r="AZ164" i="5"/>
  <c r="AZ163" i="5"/>
  <c r="AZ162" i="5"/>
  <c r="AZ161" i="5"/>
  <c r="BE161" i="14" s="1"/>
  <c r="AZ160" i="5"/>
  <c r="AZ159" i="5"/>
  <c r="AZ158" i="5"/>
  <c r="AZ157" i="5"/>
  <c r="BE157" i="14" s="1"/>
  <c r="AZ156" i="5"/>
  <c r="AZ155" i="5"/>
  <c r="AZ154" i="5"/>
  <c r="AZ153" i="5"/>
  <c r="BE153" i="14" s="1"/>
  <c r="AZ152" i="5"/>
  <c r="AZ151" i="5"/>
  <c r="AZ150" i="5"/>
  <c r="AZ149" i="5"/>
  <c r="BE149" i="14" s="1"/>
  <c r="AZ148" i="5"/>
  <c r="AZ147" i="5"/>
  <c r="AZ146" i="5"/>
  <c r="AZ145" i="5"/>
  <c r="BE145" i="14" s="1"/>
  <c r="AZ144" i="5"/>
  <c r="AZ143" i="5"/>
  <c r="AZ142" i="5"/>
  <c r="AZ141" i="5"/>
  <c r="BE141" i="14" s="1"/>
  <c r="AZ140" i="5"/>
  <c r="AZ139" i="5"/>
  <c r="AZ138" i="5"/>
  <c r="AZ137" i="5"/>
  <c r="BE137" i="14" s="1"/>
  <c r="AZ136" i="5"/>
  <c r="AZ135" i="5"/>
  <c r="AZ134" i="5"/>
  <c r="AZ133" i="5"/>
  <c r="BE133" i="14" s="1"/>
  <c r="AZ132" i="5"/>
  <c r="AZ131" i="5"/>
  <c r="AZ130" i="5"/>
  <c r="AZ129" i="5"/>
  <c r="BE129" i="14" s="1"/>
  <c r="AZ128" i="5"/>
  <c r="AZ127" i="5"/>
  <c r="AZ126" i="5"/>
  <c r="AZ125" i="5"/>
  <c r="BE125" i="14" s="1"/>
  <c r="AZ124" i="5"/>
  <c r="AZ123" i="5"/>
  <c r="AZ122" i="5"/>
  <c r="AZ121" i="5"/>
  <c r="BE121" i="14" s="1"/>
  <c r="AZ120" i="5"/>
  <c r="AZ119" i="5"/>
  <c r="AZ118" i="5"/>
  <c r="AZ117" i="5"/>
  <c r="BE117" i="14" s="1"/>
  <c r="AZ116" i="5"/>
  <c r="AZ115" i="5"/>
  <c r="AZ114" i="5"/>
  <c r="AZ113" i="5"/>
  <c r="BE113" i="14" s="1"/>
  <c r="AZ112" i="5"/>
  <c r="AZ111" i="5"/>
  <c r="AZ110" i="5"/>
  <c r="AZ109" i="5"/>
  <c r="BE109" i="14" s="1"/>
  <c r="AZ108" i="5"/>
  <c r="AZ107" i="5"/>
  <c r="AZ106" i="5"/>
  <c r="AZ105" i="5"/>
  <c r="BE105" i="14" s="1"/>
  <c r="AZ104" i="5"/>
  <c r="AZ103" i="5"/>
  <c r="AZ102" i="5"/>
  <c r="AZ101" i="5"/>
  <c r="BE101" i="14" s="1"/>
  <c r="AZ100" i="5"/>
  <c r="AZ99" i="5"/>
  <c r="AZ98" i="5"/>
  <c r="AZ97" i="5"/>
  <c r="BE97" i="14" s="1"/>
  <c r="AZ96" i="5"/>
  <c r="AZ95" i="5"/>
  <c r="AZ94" i="5"/>
  <c r="AZ93" i="5"/>
  <c r="BE93" i="14" s="1"/>
  <c r="AZ92" i="5"/>
  <c r="AZ91" i="5"/>
  <c r="AZ90" i="5"/>
  <c r="AZ89" i="5"/>
  <c r="BE89" i="14" s="1"/>
  <c r="AZ88" i="5"/>
  <c r="AZ87" i="5"/>
  <c r="AZ86" i="5"/>
  <c r="AZ85" i="5"/>
  <c r="BE85" i="14" s="1"/>
  <c r="AZ84" i="5"/>
  <c r="AZ83" i="5"/>
  <c r="AZ82" i="5"/>
  <c r="AZ81" i="5"/>
  <c r="BE81" i="14" s="1"/>
  <c r="AZ80" i="5"/>
  <c r="AZ79" i="5"/>
  <c r="AZ78" i="5"/>
  <c r="AZ77" i="5"/>
  <c r="BE77" i="14" s="1"/>
  <c r="AZ76" i="5"/>
  <c r="AZ75" i="5"/>
  <c r="AZ74" i="5"/>
  <c r="AZ73" i="5"/>
  <c r="BE73" i="14" s="1"/>
  <c r="AZ72" i="5"/>
  <c r="AZ71" i="5"/>
  <c r="AZ70" i="5"/>
  <c r="AZ69" i="5"/>
  <c r="BE69" i="14" s="1"/>
  <c r="AZ68" i="5"/>
  <c r="AZ67" i="5"/>
  <c r="AZ66" i="5"/>
  <c r="AZ65" i="5"/>
  <c r="BE65" i="14" s="1"/>
  <c r="AZ64" i="5"/>
  <c r="AZ63" i="5"/>
  <c r="AZ62" i="5"/>
  <c r="AZ61" i="5"/>
  <c r="BE61" i="14" s="1"/>
  <c r="AZ60" i="5"/>
  <c r="AZ59" i="5"/>
  <c r="AZ58" i="5"/>
  <c r="AZ57" i="5"/>
  <c r="BE57" i="14" s="1"/>
  <c r="AZ56" i="5"/>
  <c r="AZ55" i="5"/>
  <c r="AZ54" i="5"/>
  <c r="AZ53" i="5"/>
  <c r="BE53" i="14" s="1"/>
  <c r="AZ52" i="5"/>
  <c r="AZ51" i="5"/>
  <c r="AZ50" i="5"/>
  <c r="AZ49" i="5"/>
  <c r="BE49" i="14" s="1"/>
  <c r="AZ48" i="5"/>
  <c r="AZ47" i="5"/>
  <c r="AZ46" i="5"/>
  <c r="AZ45" i="5"/>
  <c r="BE45" i="14" s="1"/>
  <c r="AZ44" i="5"/>
  <c r="AZ43" i="5"/>
  <c r="AZ42" i="5"/>
  <c r="AZ41" i="5"/>
  <c r="BE41" i="14" s="1"/>
  <c r="AZ40" i="5"/>
  <c r="AZ39" i="5"/>
  <c r="AZ38" i="5"/>
  <c r="AZ37" i="5"/>
  <c r="BE37" i="14" s="1"/>
  <c r="AZ36" i="5"/>
  <c r="AZ35" i="5"/>
  <c r="AZ34" i="5"/>
  <c r="AZ33" i="5"/>
  <c r="BE33" i="14" s="1"/>
  <c r="AZ32" i="5"/>
  <c r="AZ31" i="5"/>
  <c r="AZ30" i="5"/>
  <c r="AZ29" i="5"/>
  <c r="BE29" i="14" s="1"/>
  <c r="AZ28" i="5"/>
  <c r="AZ27" i="5"/>
  <c r="AZ26" i="5"/>
  <c r="AZ25" i="5"/>
  <c r="BE25" i="14" s="1"/>
  <c r="AZ24" i="5"/>
  <c r="AZ23" i="5"/>
  <c r="AZ22" i="5"/>
  <c r="AZ21" i="5"/>
  <c r="BE21" i="14" s="1"/>
  <c r="AZ20" i="5"/>
  <c r="AZ19" i="5"/>
  <c r="AZ18" i="5"/>
  <c r="AZ17" i="5"/>
  <c r="BE17" i="14" s="1"/>
  <c r="AZ16" i="5"/>
  <c r="AZ15" i="5"/>
  <c r="AZ14" i="5"/>
  <c r="AZ13" i="5"/>
  <c r="BE13" i="14" s="1"/>
  <c r="AZ12" i="5"/>
  <c r="AZ11" i="5"/>
  <c r="AZ10" i="5"/>
  <c r="AZ9" i="5"/>
  <c r="BE9" i="14" s="1"/>
  <c r="AZ8" i="5"/>
  <c r="AZ7" i="5"/>
  <c r="AZ6" i="5"/>
  <c r="AZ5" i="5"/>
  <c r="BE5" i="14" s="1"/>
  <c r="AZ4" i="5"/>
  <c r="BE168" i="14"/>
  <c r="BE167" i="14"/>
  <c r="BE166" i="14"/>
  <c r="BE164" i="14"/>
  <c r="BE163" i="14"/>
  <c r="BE162" i="14"/>
  <c r="BE160" i="14"/>
  <c r="BE159" i="14"/>
  <c r="BE158" i="14"/>
  <c r="BE156" i="14"/>
  <c r="BE155" i="14"/>
  <c r="BE154" i="14"/>
  <c r="BE152" i="14"/>
  <c r="BE151" i="14"/>
  <c r="BE150" i="14"/>
  <c r="BE148" i="14"/>
  <c r="BE147" i="14"/>
  <c r="BE146" i="14"/>
  <c r="BE144" i="14"/>
  <c r="BE143" i="14"/>
  <c r="BE142" i="14"/>
  <c r="BE140" i="14"/>
  <c r="BE139" i="14"/>
  <c r="BE138" i="14"/>
  <c r="BE136" i="14"/>
  <c r="BE135" i="14"/>
  <c r="BE134" i="14"/>
  <c r="BE132" i="14"/>
  <c r="BE131" i="14"/>
  <c r="BE130" i="14"/>
  <c r="BE128" i="14"/>
  <c r="BE127" i="14"/>
  <c r="BE126" i="14"/>
  <c r="BE124" i="14"/>
  <c r="BE123" i="14"/>
  <c r="BE122" i="14"/>
  <c r="BE120" i="14"/>
  <c r="BE119" i="14"/>
  <c r="BE118" i="14"/>
  <c r="BE116" i="14"/>
  <c r="BE115" i="14"/>
  <c r="BE114" i="14"/>
  <c r="BE112" i="14"/>
  <c r="BE111" i="14"/>
  <c r="BE110" i="14"/>
  <c r="BE108" i="14"/>
  <c r="BE107" i="14"/>
  <c r="BE106" i="14"/>
  <c r="BE104" i="14"/>
  <c r="BE103" i="14"/>
  <c r="BE102" i="14"/>
  <c r="BE100" i="14"/>
  <c r="BE99" i="14"/>
  <c r="BE98" i="14"/>
  <c r="BE96" i="14"/>
  <c r="BE95" i="14"/>
  <c r="BE94" i="14"/>
  <c r="BE92" i="14"/>
  <c r="BE91" i="14"/>
  <c r="BE90" i="14"/>
  <c r="BE88" i="14"/>
  <c r="BE87" i="14"/>
  <c r="BE86" i="14"/>
  <c r="BE84" i="14"/>
  <c r="BE83" i="14"/>
  <c r="BE82" i="14"/>
  <c r="BE80" i="14"/>
  <c r="BE79" i="14"/>
  <c r="BE78" i="14"/>
  <c r="BE76" i="14"/>
  <c r="BE75" i="14"/>
  <c r="BE74" i="14"/>
  <c r="BE72" i="14"/>
  <c r="BE71" i="14"/>
  <c r="BE70" i="14"/>
  <c r="BE68" i="14"/>
  <c r="BE67" i="14"/>
  <c r="BE66" i="14"/>
  <c r="BE64" i="14"/>
  <c r="BE63" i="14"/>
  <c r="BE62" i="14"/>
  <c r="BE60" i="14"/>
  <c r="BE59" i="14"/>
  <c r="BE58" i="14"/>
  <c r="BE56" i="14"/>
  <c r="BE55" i="14"/>
  <c r="BE54" i="14"/>
  <c r="BE52" i="14"/>
  <c r="BE51" i="14"/>
  <c r="BE50" i="14"/>
  <c r="BE48" i="14"/>
  <c r="BE47" i="14"/>
  <c r="BE46" i="14"/>
  <c r="BE44" i="14"/>
  <c r="BE43" i="14"/>
  <c r="BE42" i="14"/>
  <c r="BE40" i="14"/>
  <c r="BE39" i="14"/>
  <c r="BE38" i="14"/>
  <c r="BE36" i="14"/>
  <c r="BE35" i="14"/>
  <c r="BE34" i="14"/>
  <c r="BE32" i="14"/>
  <c r="BE31" i="14"/>
  <c r="BE30" i="14"/>
  <c r="BE28" i="14"/>
  <c r="BE27" i="14"/>
  <c r="BE26" i="14"/>
  <c r="BE24" i="14"/>
  <c r="BE23" i="14"/>
  <c r="BE22" i="14"/>
  <c r="BE20" i="14"/>
  <c r="BE19" i="14"/>
  <c r="BE18" i="14"/>
  <c r="BE16" i="14"/>
  <c r="BE15" i="14"/>
  <c r="BE14" i="14"/>
  <c r="BE12" i="14"/>
  <c r="BE11" i="14"/>
  <c r="BE10" i="14"/>
  <c r="BE8" i="14"/>
  <c r="BE7" i="14"/>
  <c r="BE6" i="14"/>
  <c r="BE4" i="14"/>
  <c r="A167" i="20" l="1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CR158" i="14"/>
  <c r="CR157" i="14"/>
  <c r="CR156" i="14"/>
  <c r="CR155" i="14"/>
  <c r="CR154" i="14"/>
  <c r="CR153" i="14"/>
  <c r="CR152" i="14"/>
  <c r="CR151" i="14"/>
  <c r="CR150" i="14"/>
  <c r="CR149" i="14"/>
  <c r="CR148" i="14"/>
  <c r="CR147" i="14"/>
  <c r="CR146" i="14"/>
  <c r="CR145" i="14"/>
  <c r="CR144" i="14"/>
  <c r="CR143" i="14"/>
  <c r="CR142" i="14"/>
  <c r="CR141" i="14"/>
  <c r="CR140" i="14"/>
  <c r="CR139" i="14"/>
  <c r="CR138" i="14"/>
  <c r="CR137" i="14"/>
  <c r="CR136" i="14"/>
  <c r="CR135" i="14"/>
  <c r="CR134" i="14"/>
  <c r="CR133" i="14"/>
  <c r="CR132" i="14"/>
  <c r="CR131" i="14"/>
  <c r="CR130" i="14"/>
  <c r="CR129" i="14"/>
  <c r="CR128" i="14"/>
  <c r="CR127" i="14"/>
  <c r="CR126" i="14"/>
  <c r="CR125" i="14"/>
  <c r="CR124" i="14"/>
  <c r="CR123" i="14"/>
  <c r="CR122" i="14"/>
  <c r="CR121" i="14"/>
  <c r="CR120" i="14"/>
  <c r="CR119" i="14"/>
  <c r="CR118" i="14"/>
  <c r="CR117" i="14"/>
  <c r="CR116" i="14"/>
  <c r="CR115" i="14"/>
  <c r="CR114" i="14"/>
  <c r="CR113" i="14"/>
  <c r="CR112" i="14"/>
  <c r="CR111" i="14"/>
  <c r="CR110" i="14"/>
  <c r="CR109" i="14"/>
  <c r="CR108" i="14"/>
  <c r="CR107" i="14"/>
  <c r="CR106" i="14"/>
  <c r="CR105" i="14"/>
  <c r="CR104" i="14"/>
  <c r="CR103" i="14"/>
  <c r="CR102" i="14"/>
  <c r="CR101" i="14"/>
  <c r="CR100" i="14"/>
  <c r="CR99" i="14"/>
  <c r="CR98" i="14"/>
  <c r="CR97" i="14"/>
  <c r="CR96" i="14"/>
  <c r="CR95" i="14"/>
  <c r="CR94" i="14"/>
  <c r="CR93" i="14"/>
  <c r="CR92" i="14"/>
  <c r="CR91" i="14"/>
  <c r="CR90" i="14"/>
  <c r="CR89" i="14"/>
  <c r="CR88" i="14"/>
  <c r="CR87" i="14"/>
  <c r="CR86" i="14"/>
  <c r="CR85" i="14"/>
  <c r="CR84" i="14"/>
  <c r="CR83" i="14"/>
  <c r="CR82" i="14"/>
  <c r="CR81" i="14"/>
  <c r="CR80" i="14"/>
  <c r="CR79" i="14"/>
  <c r="CR78" i="14"/>
  <c r="CR77" i="14"/>
  <c r="CR76" i="14"/>
  <c r="CR75" i="14"/>
  <c r="CR74" i="14"/>
  <c r="CR73" i="14"/>
  <c r="CR72" i="14"/>
  <c r="CR71" i="14"/>
  <c r="CR70" i="14"/>
  <c r="CR69" i="14"/>
  <c r="CR68" i="14"/>
  <c r="CR67" i="14"/>
  <c r="CR66" i="14"/>
  <c r="CR65" i="14"/>
  <c r="CR64" i="14"/>
  <c r="CR63" i="14"/>
  <c r="CR62" i="14"/>
  <c r="CR61" i="14"/>
  <c r="CR60" i="14"/>
  <c r="CR59" i="14"/>
  <c r="CR58" i="14"/>
  <c r="CR57" i="14"/>
  <c r="CR56" i="14"/>
  <c r="CR55" i="14"/>
  <c r="CR54" i="14"/>
  <c r="CR53" i="14"/>
  <c r="CR52" i="14"/>
  <c r="CR51" i="14"/>
  <c r="CR50" i="14"/>
  <c r="CR49" i="14"/>
  <c r="CR48" i="14"/>
  <c r="CR47" i="14"/>
  <c r="CR46" i="14"/>
  <c r="CR45" i="14"/>
  <c r="CR44" i="14"/>
  <c r="CR43" i="14"/>
  <c r="CR42" i="14"/>
  <c r="CR41" i="14"/>
  <c r="CR40" i="14"/>
  <c r="CR39" i="14"/>
  <c r="CR38" i="14"/>
  <c r="CR37" i="14"/>
  <c r="CR36" i="14"/>
  <c r="CR35" i="14"/>
  <c r="CR34" i="14"/>
  <c r="CR33" i="14"/>
  <c r="CR32" i="14"/>
  <c r="CR31" i="14"/>
  <c r="CR30" i="14"/>
  <c r="CR29" i="14"/>
  <c r="CR28" i="14"/>
  <c r="CR27" i="14"/>
  <c r="CR26" i="14"/>
  <c r="CR25" i="14"/>
  <c r="CR24" i="14"/>
  <c r="CR23" i="14"/>
  <c r="CR22" i="14"/>
  <c r="CR21" i="14"/>
  <c r="CR20" i="14"/>
  <c r="CR19" i="14"/>
  <c r="CR18" i="14"/>
  <c r="CR17" i="14"/>
  <c r="CR16" i="14"/>
  <c r="CR15" i="14"/>
  <c r="CR14" i="14"/>
  <c r="CR13" i="14"/>
  <c r="CR12" i="14"/>
  <c r="CR11" i="14"/>
  <c r="CR10" i="14"/>
  <c r="CR9" i="14"/>
  <c r="CR8" i="14"/>
  <c r="CR7" i="14"/>
  <c r="CR6" i="14"/>
  <c r="CR5" i="14"/>
  <c r="CQ5" i="14"/>
  <c r="CR4" i="14"/>
  <c r="CR3" i="14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C167" i="23"/>
  <c r="X167" i="23" s="1"/>
  <c r="Y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D167" i="23"/>
  <c r="F167" i="23" s="1"/>
  <c r="C167" i="23"/>
  <c r="B167" i="23"/>
  <c r="A167" i="23"/>
  <c r="AC166" i="23"/>
  <c r="X166" i="23"/>
  <c r="V166" i="23"/>
  <c r="T166" i="23"/>
  <c r="R166" i="23"/>
  <c r="P166" i="23"/>
  <c r="N166" i="23"/>
  <c r="L166" i="23"/>
  <c r="J166" i="23"/>
  <c r="H166" i="23"/>
  <c r="D166" i="23"/>
  <c r="F166" i="23" s="1"/>
  <c r="C166" i="23"/>
  <c r="B166" i="23"/>
  <c r="A166" i="23"/>
  <c r="AC165" i="23"/>
  <c r="V165" i="23"/>
  <c r="J165" i="23"/>
  <c r="D165" i="23"/>
  <c r="F165" i="23" s="1"/>
  <c r="C165" i="23"/>
  <c r="B165" i="23"/>
  <c r="A165" i="23"/>
  <c r="AC164" i="23"/>
  <c r="D164" i="23"/>
  <c r="F164" i="23" s="1"/>
  <c r="C164" i="23"/>
  <c r="B164" i="23"/>
  <c r="A164" i="23"/>
  <c r="AC163" i="23"/>
  <c r="U163" i="23"/>
  <c r="P163" i="23"/>
  <c r="H163" i="23"/>
  <c r="D163" i="23"/>
  <c r="F163" i="23" s="1"/>
  <c r="C163" i="23"/>
  <c r="B163" i="23"/>
  <c r="A163" i="23"/>
  <c r="AC162" i="23"/>
  <c r="X162" i="23"/>
  <c r="V162" i="23"/>
  <c r="T162" i="23"/>
  <c r="R162" i="23"/>
  <c r="P162" i="23"/>
  <c r="N162" i="23"/>
  <c r="L162" i="23"/>
  <c r="J162" i="23"/>
  <c r="H162" i="23"/>
  <c r="F162" i="23"/>
  <c r="D162" i="23"/>
  <c r="C162" i="23"/>
  <c r="B162" i="23"/>
  <c r="A162" i="23"/>
  <c r="AC161" i="23"/>
  <c r="Y161" i="23" s="1"/>
  <c r="X161" i="23"/>
  <c r="W161" i="23"/>
  <c r="V161" i="23"/>
  <c r="T161" i="23"/>
  <c r="S161" i="23"/>
  <c r="R161" i="23"/>
  <c r="P161" i="23"/>
  <c r="O161" i="23"/>
  <c r="N161" i="23"/>
  <c r="L161" i="23"/>
  <c r="K161" i="23"/>
  <c r="J161" i="23"/>
  <c r="H161" i="23"/>
  <c r="G161" i="23"/>
  <c r="D161" i="23"/>
  <c r="F161" i="23" s="1"/>
  <c r="C161" i="23"/>
  <c r="B161" i="23"/>
  <c r="A161" i="23"/>
  <c r="AC160" i="23"/>
  <c r="W160" i="23" s="1"/>
  <c r="V160" i="23"/>
  <c r="U160" i="23"/>
  <c r="S160" i="23"/>
  <c r="Q160" i="23"/>
  <c r="O160" i="23"/>
  <c r="N160" i="23"/>
  <c r="K160" i="23"/>
  <c r="J160" i="23"/>
  <c r="I160" i="23"/>
  <c r="D160" i="23"/>
  <c r="F160" i="23" s="1"/>
  <c r="C160" i="23"/>
  <c r="B160" i="23"/>
  <c r="A160" i="23"/>
  <c r="AC159" i="23"/>
  <c r="T159" i="23"/>
  <c r="J159" i="23"/>
  <c r="D159" i="23"/>
  <c r="F159" i="23" s="1"/>
  <c r="C159" i="23"/>
  <c r="B159" i="23"/>
  <c r="A159" i="23"/>
  <c r="AC158" i="23"/>
  <c r="V158" i="23"/>
  <c r="N158" i="23"/>
  <c r="J158" i="23"/>
  <c r="D158" i="23"/>
  <c r="F158" i="23" s="1"/>
  <c r="C158" i="23"/>
  <c r="B158" i="23"/>
  <c r="A158" i="23"/>
  <c r="AC157" i="23"/>
  <c r="D157" i="23"/>
  <c r="F157" i="23" s="1"/>
  <c r="C157" i="23"/>
  <c r="B157" i="23"/>
  <c r="A157" i="23"/>
  <c r="AC156" i="23"/>
  <c r="V156" i="23"/>
  <c r="R156" i="23"/>
  <c r="N156" i="23"/>
  <c r="J156" i="23"/>
  <c r="D156" i="23"/>
  <c r="F156" i="23" s="1"/>
  <c r="C156" i="23"/>
  <c r="B156" i="23"/>
  <c r="A156" i="23"/>
  <c r="AC155" i="23"/>
  <c r="D155" i="23"/>
  <c r="F155" i="23" s="1"/>
  <c r="C155" i="23"/>
  <c r="B155" i="23"/>
  <c r="A155" i="23"/>
  <c r="AC154" i="23"/>
  <c r="J154" i="23"/>
  <c r="D154" i="23"/>
  <c r="F154" i="23" s="1"/>
  <c r="C154" i="23"/>
  <c r="B154" i="23"/>
  <c r="A154" i="23"/>
  <c r="AC153" i="23"/>
  <c r="J153" i="23" s="1"/>
  <c r="R153" i="23"/>
  <c r="D153" i="23"/>
  <c r="F153" i="23" s="1"/>
  <c r="C153" i="23"/>
  <c r="B153" i="23"/>
  <c r="A153" i="23"/>
  <c r="AC152" i="23"/>
  <c r="R152" i="23" s="1"/>
  <c r="V152" i="23"/>
  <c r="N152" i="23"/>
  <c r="J152" i="23"/>
  <c r="D152" i="23"/>
  <c r="F152" i="23" s="1"/>
  <c r="C152" i="23"/>
  <c r="B152" i="23"/>
  <c r="A152" i="23"/>
  <c r="AC151" i="23"/>
  <c r="Y151" i="23" s="1"/>
  <c r="X151" i="23"/>
  <c r="W151" i="23"/>
  <c r="T151" i="23"/>
  <c r="S151" i="23"/>
  <c r="R151" i="23"/>
  <c r="O151" i="23"/>
  <c r="N151" i="23"/>
  <c r="L151" i="23"/>
  <c r="J151" i="23"/>
  <c r="H151" i="23"/>
  <c r="G151" i="23"/>
  <c r="D151" i="23"/>
  <c r="F151" i="23" s="1"/>
  <c r="C151" i="23"/>
  <c r="B151" i="23"/>
  <c r="A151" i="23"/>
  <c r="AC150" i="23"/>
  <c r="W150" i="23" s="1"/>
  <c r="Y150" i="23"/>
  <c r="X150" i="23"/>
  <c r="V150" i="23"/>
  <c r="U150" i="23"/>
  <c r="T150" i="23"/>
  <c r="R150" i="23"/>
  <c r="Q150" i="23"/>
  <c r="P150" i="23"/>
  <c r="N150" i="23"/>
  <c r="M150" i="23"/>
  <c r="L150" i="23"/>
  <c r="J150" i="23"/>
  <c r="I150" i="23"/>
  <c r="H150" i="23"/>
  <c r="D150" i="23"/>
  <c r="F150" i="23" s="1"/>
  <c r="C150" i="23"/>
  <c r="B150" i="23"/>
  <c r="A150" i="23"/>
  <c r="AC149" i="23"/>
  <c r="U149" i="23" s="1"/>
  <c r="Y149" i="23"/>
  <c r="V149" i="23"/>
  <c r="R149" i="23"/>
  <c r="Q149" i="23"/>
  <c r="N149" i="23"/>
  <c r="J149" i="23"/>
  <c r="I149" i="23"/>
  <c r="F149" i="23"/>
  <c r="D149" i="23"/>
  <c r="C149" i="23"/>
  <c r="B149" i="23"/>
  <c r="A149" i="23"/>
  <c r="AC148" i="23"/>
  <c r="W148" i="23" s="1"/>
  <c r="V148" i="23"/>
  <c r="S148" i="23"/>
  <c r="R148" i="23"/>
  <c r="N148" i="23"/>
  <c r="K148" i="23"/>
  <c r="J148" i="23"/>
  <c r="F148" i="23"/>
  <c r="D148" i="23"/>
  <c r="C148" i="23"/>
  <c r="B148" i="23"/>
  <c r="A148" i="23"/>
  <c r="AC147" i="23"/>
  <c r="Y147" i="23" s="1"/>
  <c r="X147" i="23"/>
  <c r="W147" i="23"/>
  <c r="V147" i="23"/>
  <c r="T147" i="23"/>
  <c r="S147" i="23"/>
  <c r="R147" i="23"/>
  <c r="P147" i="23"/>
  <c r="O147" i="23"/>
  <c r="N147" i="23"/>
  <c r="L147" i="23"/>
  <c r="K147" i="23"/>
  <c r="J147" i="23"/>
  <c r="H147" i="23"/>
  <c r="G147" i="23"/>
  <c r="F147" i="23"/>
  <c r="D147" i="23"/>
  <c r="C147" i="23"/>
  <c r="B147" i="23"/>
  <c r="A147" i="23"/>
  <c r="AC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D146" i="23"/>
  <c r="F146" i="23" s="1"/>
  <c r="C146" i="23"/>
  <c r="B146" i="23"/>
  <c r="A146" i="23"/>
  <c r="AC145" i="23"/>
  <c r="X145" i="23" s="1"/>
  <c r="Y145" i="23"/>
  <c r="V145" i="23"/>
  <c r="U145" i="23"/>
  <c r="T145" i="23"/>
  <c r="Q145" i="23"/>
  <c r="P145" i="23"/>
  <c r="N145" i="23"/>
  <c r="L145" i="23"/>
  <c r="J145" i="23"/>
  <c r="I145" i="23"/>
  <c r="F145" i="23"/>
  <c r="D145" i="23"/>
  <c r="C145" i="23"/>
  <c r="B145" i="23"/>
  <c r="A145" i="23"/>
  <c r="AC144" i="23"/>
  <c r="W144" i="23" s="1"/>
  <c r="Y144" i="23"/>
  <c r="V144" i="23"/>
  <c r="U144" i="23"/>
  <c r="S144" i="23"/>
  <c r="Q144" i="23"/>
  <c r="P144" i="23"/>
  <c r="O144" i="23"/>
  <c r="M144" i="23"/>
  <c r="L144" i="23"/>
  <c r="K144" i="23"/>
  <c r="I144" i="23"/>
  <c r="H144" i="23"/>
  <c r="G144" i="23"/>
  <c r="D144" i="23"/>
  <c r="F144" i="23" s="1"/>
  <c r="C144" i="23"/>
  <c r="B144" i="23"/>
  <c r="A144" i="23"/>
  <c r="AC143" i="23"/>
  <c r="R143" i="23" s="1"/>
  <c r="D143" i="23"/>
  <c r="F143" i="23" s="1"/>
  <c r="C143" i="23"/>
  <c r="B143" i="23"/>
  <c r="A143" i="23"/>
  <c r="AC142" i="23"/>
  <c r="W142" i="23" s="1"/>
  <c r="R142" i="23"/>
  <c r="K142" i="23"/>
  <c r="D142" i="23"/>
  <c r="F142" i="23" s="1"/>
  <c r="C142" i="23"/>
  <c r="B142" i="23"/>
  <c r="A142" i="23"/>
  <c r="AC141" i="23"/>
  <c r="T141" i="23" s="1"/>
  <c r="X141" i="23"/>
  <c r="P141" i="23"/>
  <c r="L141" i="23"/>
  <c r="D141" i="23"/>
  <c r="F141" i="23" s="1"/>
  <c r="C141" i="23"/>
  <c r="B141" i="23"/>
  <c r="A141" i="23"/>
  <c r="AC140" i="23"/>
  <c r="X140" i="23" s="1"/>
  <c r="Y140" i="23"/>
  <c r="U140" i="23"/>
  <c r="T140" i="23"/>
  <c r="P140" i="23"/>
  <c r="N140" i="23"/>
  <c r="J140" i="23"/>
  <c r="I140" i="23"/>
  <c r="D140" i="23"/>
  <c r="F140" i="23" s="1"/>
  <c r="C140" i="23"/>
  <c r="B140" i="23"/>
  <c r="A140" i="23"/>
  <c r="AC139" i="23"/>
  <c r="J139" i="23" s="1"/>
  <c r="V139" i="23"/>
  <c r="R139" i="23"/>
  <c r="F139" i="23"/>
  <c r="D139" i="23"/>
  <c r="C139" i="23"/>
  <c r="B139" i="23"/>
  <c r="A139" i="23"/>
  <c r="AC138" i="23"/>
  <c r="Y138" i="23"/>
  <c r="V138" i="23"/>
  <c r="U138" i="23"/>
  <c r="S138" i="23"/>
  <c r="Q138" i="23"/>
  <c r="O138" i="23"/>
  <c r="N138" i="23"/>
  <c r="K138" i="23"/>
  <c r="J138" i="23"/>
  <c r="I138" i="23"/>
  <c r="D138" i="23"/>
  <c r="F138" i="23" s="1"/>
  <c r="C138" i="23"/>
  <c r="B138" i="23"/>
  <c r="A138" i="23"/>
  <c r="AC137" i="23"/>
  <c r="X137" i="23" s="1"/>
  <c r="V137" i="23"/>
  <c r="R137" i="23"/>
  <c r="P137" i="23"/>
  <c r="N137" i="23"/>
  <c r="J137" i="23"/>
  <c r="H137" i="23"/>
  <c r="F137" i="23"/>
  <c r="D137" i="23"/>
  <c r="C137" i="23"/>
  <c r="B137" i="23"/>
  <c r="A137" i="23"/>
  <c r="AC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D136" i="23"/>
  <c r="F136" i="23" s="1"/>
  <c r="C136" i="23"/>
  <c r="B136" i="23"/>
  <c r="A136" i="23"/>
  <c r="AC135" i="23"/>
  <c r="V135" i="23"/>
  <c r="R135" i="23"/>
  <c r="J135" i="23"/>
  <c r="D135" i="23"/>
  <c r="F135" i="23" s="1"/>
  <c r="C135" i="23"/>
  <c r="B135" i="23"/>
  <c r="A135" i="23"/>
  <c r="AC134" i="23"/>
  <c r="Y134" i="23"/>
  <c r="W134" i="23"/>
  <c r="U134" i="23"/>
  <c r="S134" i="23"/>
  <c r="R134" i="23"/>
  <c r="O134" i="23"/>
  <c r="N134" i="23"/>
  <c r="M134" i="23"/>
  <c r="J134" i="23"/>
  <c r="I134" i="23"/>
  <c r="G134" i="23"/>
  <c r="D134" i="23"/>
  <c r="F134" i="23" s="1"/>
  <c r="C134" i="23"/>
  <c r="B134" i="23"/>
  <c r="A134" i="23"/>
  <c r="AC133" i="23"/>
  <c r="W133" i="23" s="1"/>
  <c r="X133" i="23"/>
  <c r="V133" i="23"/>
  <c r="T133" i="23"/>
  <c r="R133" i="23"/>
  <c r="P133" i="23"/>
  <c r="N133" i="23"/>
  <c r="L133" i="23"/>
  <c r="J133" i="23"/>
  <c r="H133" i="23"/>
  <c r="F133" i="23"/>
  <c r="D133" i="23"/>
  <c r="C133" i="23"/>
  <c r="B133" i="23"/>
  <c r="A133" i="23"/>
  <c r="AC132" i="23"/>
  <c r="X132" i="23" s="1"/>
  <c r="W132" i="23"/>
  <c r="V132" i="23"/>
  <c r="T132" i="23"/>
  <c r="R132" i="23"/>
  <c r="P132" i="23"/>
  <c r="O132" i="23"/>
  <c r="L132" i="23"/>
  <c r="K132" i="23"/>
  <c r="J132" i="23"/>
  <c r="G132" i="23"/>
  <c r="D132" i="23"/>
  <c r="F132" i="23" s="1"/>
  <c r="C132" i="23"/>
  <c r="B132" i="23"/>
  <c r="A132" i="23"/>
  <c r="AC131" i="23"/>
  <c r="V131" i="23" s="1"/>
  <c r="F131" i="23"/>
  <c r="D131" i="23"/>
  <c r="C131" i="23"/>
  <c r="B131" i="23"/>
  <c r="A131" i="23"/>
  <c r="AC130" i="23"/>
  <c r="X130" i="23" s="1"/>
  <c r="Y130" i="23"/>
  <c r="W130" i="23"/>
  <c r="V130" i="23"/>
  <c r="U130" i="23"/>
  <c r="S130" i="23"/>
  <c r="R130" i="23"/>
  <c r="Q130" i="23"/>
  <c r="O130" i="23"/>
  <c r="N130" i="23"/>
  <c r="M130" i="23"/>
  <c r="K130" i="23"/>
  <c r="J130" i="23"/>
  <c r="I130" i="23"/>
  <c r="G130" i="23"/>
  <c r="D130" i="23"/>
  <c r="F130" i="23" s="1"/>
  <c r="C130" i="23"/>
  <c r="B130" i="23"/>
  <c r="A130" i="23"/>
  <c r="AC129" i="23"/>
  <c r="T129" i="23" s="1"/>
  <c r="V129" i="23"/>
  <c r="P129" i="23"/>
  <c r="N129" i="23"/>
  <c r="H129" i="23"/>
  <c r="F129" i="23"/>
  <c r="D129" i="23"/>
  <c r="C129" i="23"/>
  <c r="B129" i="23"/>
  <c r="A129" i="23"/>
  <c r="AC128" i="23"/>
  <c r="Y128" i="23" s="1"/>
  <c r="X128" i="23"/>
  <c r="W128" i="23"/>
  <c r="V128" i="23"/>
  <c r="T128" i="23"/>
  <c r="S128" i="23"/>
  <c r="R128" i="23"/>
  <c r="P128" i="23"/>
  <c r="O128" i="23"/>
  <c r="N128" i="23"/>
  <c r="L128" i="23"/>
  <c r="K128" i="23"/>
  <c r="J128" i="23"/>
  <c r="H128" i="23"/>
  <c r="G128" i="23"/>
  <c r="D128" i="23"/>
  <c r="F128" i="23" s="1"/>
  <c r="C128" i="23"/>
  <c r="B128" i="23"/>
  <c r="A128" i="23"/>
  <c r="AC127" i="23"/>
  <c r="V127" i="23" s="1"/>
  <c r="R127" i="23"/>
  <c r="J127" i="23"/>
  <c r="F127" i="23"/>
  <c r="D127" i="23"/>
  <c r="C127" i="23"/>
  <c r="B127" i="23"/>
  <c r="A127" i="23"/>
  <c r="AC126" i="23"/>
  <c r="X126" i="23" s="1"/>
  <c r="Y126" i="23"/>
  <c r="W126" i="23"/>
  <c r="V126" i="23"/>
  <c r="U126" i="23"/>
  <c r="S126" i="23"/>
  <c r="R126" i="23"/>
  <c r="Q126" i="23"/>
  <c r="O126" i="23"/>
  <c r="N126" i="23"/>
  <c r="M126" i="23"/>
  <c r="K126" i="23"/>
  <c r="J126" i="23"/>
  <c r="I126" i="23"/>
  <c r="G126" i="23"/>
  <c r="D126" i="23"/>
  <c r="F126" i="23" s="1"/>
  <c r="C126" i="23"/>
  <c r="B126" i="23"/>
  <c r="A126" i="23"/>
  <c r="AC125" i="23"/>
  <c r="W125" i="23" s="1"/>
  <c r="V125" i="23"/>
  <c r="T125" i="23"/>
  <c r="R125" i="23"/>
  <c r="N125" i="23"/>
  <c r="L125" i="23"/>
  <c r="J125" i="23"/>
  <c r="D125" i="23"/>
  <c r="F125" i="23" s="1"/>
  <c r="C125" i="23"/>
  <c r="B125" i="23"/>
  <c r="A125" i="23"/>
  <c r="AC124" i="23"/>
  <c r="W124" i="23" s="1"/>
  <c r="V124" i="23"/>
  <c r="R124" i="23"/>
  <c r="N124" i="23"/>
  <c r="J124" i="23"/>
  <c r="D124" i="23"/>
  <c r="F124" i="23" s="1"/>
  <c r="C124" i="23"/>
  <c r="B124" i="23"/>
  <c r="A124" i="23"/>
  <c r="AC123" i="23"/>
  <c r="J123" i="23" s="1"/>
  <c r="F123" i="23"/>
  <c r="D123" i="23"/>
  <c r="C123" i="23"/>
  <c r="B123" i="23"/>
  <c r="A123" i="23"/>
  <c r="AC122" i="23"/>
  <c r="X122" i="23" s="1"/>
  <c r="W122" i="23"/>
  <c r="V122" i="23"/>
  <c r="U122" i="23"/>
  <c r="R122" i="23"/>
  <c r="Q122" i="23"/>
  <c r="O122" i="23"/>
  <c r="M122" i="23"/>
  <c r="K122" i="23"/>
  <c r="J122" i="23"/>
  <c r="I122" i="23"/>
  <c r="G122" i="23"/>
  <c r="D122" i="23"/>
  <c r="F122" i="23" s="1"/>
  <c r="C122" i="23"/>
  <c r="B122" i="23"/>
  <c r="A122" i="23"/>
  <c r="AC121" i="23"/>
  <c r="W121" i="23" s="1"/>
  <c r="R121" i="23"/>
  <c r="J121" i="23"/>
  <c r="D121" i="23"/>
  <c r="F121" i="23" s="1"/>
  <c r="C121" i="23"/>
  <c r="B121" i="23"/>
  <c r="A121" i="23"/>
  <c r="AC120" i="23"/>
  <c r="X120" i="23" s="1"/>
  <c r="Y120" i="23"/>
  <c r="V120" i="23"/>
  <c r="U120" i="23"/>
  <c r="R120" i="23"/>
  <c r="Q120" i="23"/>
  <c r="N120" i="23"/>
  <c r="M120" i="23"/>
  <c r="J120" i="23"/>
  <c r="I120" i="23"/>
  <c r="D120" i="23"/>
  <c r="F120" i="23" s="1"/>
  <c r="C120" i="23"/>
  <c r="B120" i="23"/>
  <c r="A120" i="23"/>
  <c r="AC119" i="23"/>
  <c r="R119" i="23" s="1"/>
  <c r="V119" i="23"/>
  <c r="D119" i="23"/>
  <c r="F119" i="23" s="1"/>
  <c r="C119" i="23"/>
  <c r="B119" i="23"/>
  <c r="A119" i="23"/>
  <c r="AC118" i="23"/>
  <c r="X118" i="23" s="1"/>
  <c r="U118" i="23"/>
  <c r="O118" i="23"/>
  <c r="J118" i="23"/>
  <c r="D118" i="23"/>
  <c r="F118" i="23" s="1"/>
  <c r="C118" i="23"/>
  <c r="B118" i="23"/>
  <c r="A118" i="23"/>
  <c r="AC117" i="23"/>
  <c r="W117" i="23" s="1"/>
  <c r="X117" i="23"/>
  <c r="R117" i="23"/>
  <c r="P117" i="23"/>
  <c r="J117" i="23"/>
  <c r="H117" i="23"/>
  <c r="F117" i="23"/>
  <c r="D117" i="23"/>
  <c r="C117" i="23"/>
  <c r="B117" i="23"/>
  <c r="A117" i="23"/>
  <c r="AC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D116" i="23"/>
  <c r="F116" i="23" s="1"/>
  <c r="C116" i="23"/>
  <c r="B116" i="23"/>
  <c r="A116" i="23"/>
  <c r="AC115" i="23"/>
  <c r="X115" i="23"/>
  <c r="V115" i="23"/>
  <c r="R115" i="23"/>
  <c r="P115" i="23"/>
  <c r="N115" i="23"/>
  <c r="J115" i="23"/>
  <c r="H115" i="23"/>
  <c r="D115" i="23"/>
  <c r="F115" i="23" s="1"/>
  <c r="C115" i="23"/>
  <c r="B115" i="23"/>
  <c r="A115" i="23"/>
  <c r="AC114" i="23"/>
  <c r="X114" i="23" s="1"/>
  <c r="Y114" i="23"/>
  <c r="U114" i="23"/>
  <c r="S114" i="23"/>
  <c r="O114" i="23"/>
  <c r="N114" i="23"/>
  <c r="J114" i="23"/>
  <c r="I114" i="23"/>
  <c r="D114" i="23"/>
  <c r="F114" i="23" s="1"/>
  <c r="C114" i="23"/>
  <c r="B114" i="23"/>
  <c r="A114" i="23"/>
  <c r="AC113" i="23"/>
  <c r="X113" i="23" s="1"/>
  <c r="T113" i="23"/>
  <c r="R113" i="23"/>
  <c r="L113" i="23"/>
  <c r="J113" i="23"/>
  <c r="D113" i="23"/>
  <c r="F113" i="23" s="1"/>
  <c r="C113" i="23"/>
  <c r="B113" i="23"/>
  <c r="A113" i="23"/>
  <c r="AC112" i="23"/>
  <c r="V112" i="23" s="1"/>
  <c r="J112" i="23"/>
  <c r="D112" i="23"/>
  <c r="F112" i="23" s="1"/>
  <c r="C112" i="23"/>
  <c r="B112" i="23"/>
  <c r="A112" i="23"/>
  <c r="AC111" i="23"/>
  <c r="F111" i="23"/>
  <c r="D111" i="23"/>
  <c r="C111" i="23"/>
  <c r="B111" i="23"/>
  <c r="A111" i="23"/>
  <c r="AC110" i="23"/>
  <c r="X110" i="23" s="1"/>
  <c r="Y110" i="23"/>
  <c r="V110" i="23"/>
  <c r="U110" i="23"/>
  <c r="S110" i="23"/>
  <c r="Q110" i="23"/>
  <c r="O110" i="23"/>
  <c r="N110" i="23"/>
  <c r="K110" i="23"/>
  <c r="J110" i="23"/>
  <c r="I110" i="23"/>
  <c r="D110" i="23"/>
  <c r="F110" i="23" s="1"/>
  <c r="C110" i="23"/>
  <c r="B110" i="23"/>
  <c r="A110" i="23"/>
  <c r="AC109" i="23"/>
  <c r="X109" i="23" s="1"/>
  <c r="V109" i="23"/>
  <c r="R109" i="23"/>
  <c r="N109" i="23"/>
  <c r="J109" i="23"/>
  <c r="F109" i="23"/>
  <c r="D109" i="23"/>
  <c r="C109" i="23"/>
  <c r="B109" i="23"/>
  <c r="A109" i="23"/>
  <c r="AC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D108" i="23"/>
  <c r="F108" i="23" s="1"/>
  <c r="C108" i="23"/>
  <c r="B108" i="23"/>
  <c r="A108" i="23"/>
  <c r="AC107" i="23"/>
  <c r="Y107" i="23" s="1"/>
  <c r="V107" i="23"/>
  <c r="U107" i="23"/>
  <c r="Q107" i="23"/>
  <c r="P107" i="23"/>
  <c r="L107" i="23"/>
  <c r="J107" i="23"/>
  <c r="F107" i="23"/>
  <c r="D107" i="23"/>
  <c r="C107" i="23"/>
  <c r="B107" i="23"/>
  <c r="A107" i="23"/>
  <c r="AC106" i="23"/>
  <c r="Y106" i="23" s="1"/>
  <c r="V106" i="23"/>
  <c r="U106" i="23"/>
  <c r="Q106" i="23"/>
  <c r="O106" i="23"/>
  <c r="K106" i="23"/>
  <c r="J106" i="23"/>
  <c r="F106" i="23"/>
  <c r="D106" i="23"/>
  <c r="C106" i="23"/>
  <c r="B106" i="23"/>
  <c r="A106" i="23"/>
  <c r="AC105" i="23"/>
  <c r="Y105" i="23" s="1"/>
  <c r="V105" i="23"/>
  <c r="U105" i="23"/>
  <c r="R105" i="23"/>
  <c r="Q105" i="23"/>
  <c r="N105" i="23"/>
  <c r="M105" i="23"/>
  <c r="J105" i="23"/>
  <c r="I105" i="23"/>
  <c r="F105" i="23"/>
  <c r="D105" i="23"/>
  <c r="C105" i="23"/>
  <c r="B105" i="23"/>
  <c r="A105" i="23"/>
  <c r="AC104" i="23"/>
  <c r="Y104" i="23" s="1"/>
  <c r="W104" i="23"/>
  <c r="S104" i="23"/>
  <c r="R104" i="23"/>
  <c r="O104" i="23"/>
  <c r="K104" i="23"/>
  <c r="J104" i="23"/>
  <c r="G104" i="23"/>
  <c r="D104" i="23"/>
  <c r="F104" i="23" s="1"/>
  <c r="C104" i="23"/>
  <c r="B104" i="23"/>
  <c r="A104" i="23"/>
  <c r="AC103" i="23"/>
  <c r="Y103" i="23" s="1"/>
  <c r="X103" i="23"/>
  <c r="V103" i="23"/>
  <c r="T103" i="23"/>
  <c r="R103" i="23"/>
  <c r="P103" i="23"/>
  <c r="N103" i="23"/>
  <c r="L103" i="23"/>
  <c r="J103" i="23"/>
  <c r="H103" i="23"/>
  <c r="D103" i="23"/>
  <c r="F103" i="23" s="1"/>
  <c r="C103" i="23"/>
  <c r="B103" i="23"/>
  <c r="A103" i="23"/>
  <c r="AC102" i="23"/>
  <c r="X102" i="23" s="1"/>
  <c r="P102" i="23"/>
  <c r="D102" i="23"/>
  <c r="F102" i="23" s="1"/>
  <c r="C102" i="23"/>
  <c r="B102" i="23"/>
  <c r="A102" i="23"/>
  <c r="AC101" i="23"/>
  <c r="J101" i="23"/>
  <c r="D101" i="23"/>
  <c r="F101" i="23" s="1"/>
  <c r="C101" i="23"/>
  <c r="B101" i="23"/>
  <c r="A101" i="23"/>
  <c r="AC100" i="23"/>
  <c r="V100" i="23"/>
  <c r="R100" i="23"/>
  <c r="J100" i="23"/>
  <c r="F100" i="23"/>
  <c r="D100" i="23"/>
  <c r="C100" i="23"/>
  <c r="B100" i="23"/>
  <c r="A100" i="23"/>
  <c r="AC99" i="23"/>
  <c r="X99" i="23" s="1"/>
  <c r="Y99" i="23"/>
  <c r="W99" i="23"/>
  <c r="V99" i="23"/>
  <c r="U99" i="23"/>
  <c r="S99" i="23"/>
  <c r="R99" i="23"/>
  <c r="Q99" i="23"/>
  <c r="O99" i="23"/>
  <c r="N99" i="23"/>
  <c r="M99" i="23"/>
  <c r="K99" i="23"/>
  <c r="J99" i="23"/>
  <c r="I99" i="23"/>
  <c r="G99" i="23"/>
  <c r="D99" i="23"/>
  <c r="F99" i="23" s="1"/>
  <c r="C99" i="23"/>
  <c r="B99" i="23"/>
  <c r="A99" i="23"/>
  <c r="AC98" i="23"/>
  <c r="W98" i="23" s="1"/>
  <c r="Y98" i="23"/>
  <c r="V98" i="23"/>
  <c r="U98" i="23"/>
  <c r="T98" i="23"/>
  <c r="Q98" i="23"/>
  <c r="P98" i="23"/>
  <c r="N98" i="23"/>
  <c r="L98" i="23"/>
  <c r="J98" i="23"/>
  <c r="I98" i="23"/>
  <c r="D98" i="23"/>
  <c r="F98" i="23" s="1"/>
  <c r="C98" i="23"/>
  <c r="B98" i="23"/>
  <c r="A98" i="23"/>
  <c r="AC97" i="23"/>
  <c r="D97" i="23"/>
  <c r="F97" i="23" s="1"/>
  <c r="C97" i="23"/>
  <c r="B97" i="23"/>
  <c r="A97" i="23"/>
  <c r="AC96" i="23"/>
  <c r="V96" i="23" s="1"/>
  <c r="N96" i="23"/>
  <c r="D96" i="23"/>
  <c r="F96" i="23" s="1"/>
  <c r="C96" i="23"/>
  <c r="B96" i="23"/>
  <c r="A96" i="23"/>
  <c r="AC95" i="23"/>
  <c r="Y95" i="23" s="1"/>
  <c r="U95" i="23"/>
  <c r="O95" i="23"/>
  <c r="J95" i="23"/>
  <c r="D95" i="23"/>
  <c r="F95" i="23" s="1"/>
  <c r="C95" i="23"/>
  <c r="B95" i="23"/>
  <c r="A95" i="23"/>
  <c r="AC94" i="23"/>
  <c r="W94" i="23" s="1"/>
  <c r="U94" i="23"/>
  <c r="P94" i="23"/>
  <c r="J94" i="23"/>
  <c r="D94" i="23"/>
  <c r="F94" i="23" s="1"/>
  <c r="C94" i="23"/>
  <c r="B94" i="23"/>
  <c r="A94" i="23"/>
  <c r="AC93" i="23"/>
  <c r="J93" i="23" s="1"/>
  <c r="F93" i="23"/>
  <c r="D93" i="23"/>
  <c r="C93" i="23"/>
  <c r="B93" i="23"/>
  <c r="A93" i="23"/>
  <c r="AC92" i="23"/>
  <c r="Y92" i="23" s="1"/>
  <c r="V92" i="23"/>
  <c r="S92" i="23"/>
  <c r="R92" i="23"/>
  <c r="N92" i="23"/>
  <c r="K92" i="23"/>
  <c r="J92" i="23"/>
  <c r="D92" i="23"/>
  <c r="F92" i="23" s="1"/>
  <c r="C92" i="23"/>
  <c r="B92" i="23"/>
  <c r="A92" i="23"/>
  <c r="AC91" i="23"/>
  <c r="W91" i="23" s="1"/>
  <c r="V91" i="23"/>
  <c r="R91" i="23"/>
  <c r="N91" i="23"/>
  <c r="J91" i="23"/>
  <c r="D91" i="23"/>
  <c r="F91" i="23" s="1"/>
  <c r="C91" i="23"/>
  <c r="B91" i="23"/>
  <c r="A91" i="23"/>
  <c r="AC90" i="23"/>
  <c r="W90" i="23" s="1"/>
  <c r="U90" i="23"/>
  <c r="P90" i="23"/>
  <c r="J90" i="23"/>
  <c r="D90" i="23"/>
  <c r="F90" i="23" s="1"/>
  <c r="C90" i="23"/>
  <c r="B90" i="23"/>
  <c r="A90" i="23"/>
  <c r="AC89" i="23"/>
  <c r="J89" i="23"/>
  <c r="F89" i="23"/>
  <c r="D89" i="23"/>
  <c r="C89" i="23"/>
  <c r="B89" i="23"/>
  <c r="A89" i="23"/>
  <c r="AC88" i="23"/>
  <c r="Y88" i="23" s="1"/>
  <c r="W88" i="23"/>
  <c r="V88" i="23"/>
  <c r="S88" i="23"/>
  <c r="R88" i="23"/>
  <c r="O88" i="23"/>
  <c r="N88" i="23"/>
  <c r="K88" i="23"/>
  <c r="J88" i="23"/>
  <c r="G88" i="23"/>
  <c r="F88" i="23"/>
  <c r="D88" i="23"/>
  <c r="C88" i="23"/>
  <c r="B88" i="23"/>
  <c r="A88" i="23"/>
  <c r="AC87" i="23"/>
  <c r="Y87" i="23" s="1"/>
  <c r="X87" i="23"/>
  <c r="W87" i="23"/>
  <c r="V87" i="23"/>
  <c r="T87" i="23"/>
  <c r="S87" i="23"/>
  <c r="R87" i="23"/>
  <c r="P87" i="23"/>
  <c r="O87" i="23"/>
  <c r="N87" i="23"/>
  <c r="L87" i="23"/>
  <c r="K87" i="23"/>
  <c r="J87" i="23"/>
  <c r="I87" i="23"/>
  <c r="H87" i="23"/>
  <c r="G87" i="23"/>
  <c r="D87" i="23"/>
  <c r="F87" i="23" s="1"/>
  <c r="C87" i="23"/>
  <c r="B87" i="23"/>
  <c r="A87" i="23"/>
  <c r="AC86" i="23"/>
  <c r="W86" i="23" s="1"/>
  <c r="X86" i="23"/>
  <c r="V86" i="23"/>
  <c r="U86" i="23"/>
  <c r="R86" i="23"/>
  <c r="Q86" i="23"/>
  <c r="P86" i="23"/>
  <c r="N86" i="23"/>
  <c r="M86" i="23"/>
  <c r="L86" i="23"/>
  <c r="J86" i="23"/>
  <c r="I86" i="23"/>
  <c r="H86" i="23"/>
  <c r="D86" i="23"/>
  <c r="F86" i="23" s="1"/>
  <c r="C86" i="23"/>
  <c r="B86" i="23"/>
  <c r="A86" i="23"/>
  <c r="AC85" i="23"/>
  <c r="J85" i="23" s="1"/>
  <c r="D85" i="23"/>
  <c r="F85" i="23" s="1"/>
  <c r="C85" i="23"/>
  <c r="B85" i="23"/>
  <c r="A85" i="23"/>
  <c r="AC84" i="23"/>
  <c r="Y84" i="23" s="1"/>
  <c r="W84" i="23"/>
  <c r="R84" i="23"/>
  <c r="O84" i="23"/>
  <c r="J84" i="23"/>
  <c r="G84" i="23"/>
  <c r="F84" i="23"/>
  <c r="D84" i="23"/>
  <c r="C84" i="23"/>
  <c r="B84" i="23"/>
  <c r="A84" i="23"/>
  <c r="AC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D83" i="23"/>
  <c r="F83" i="23" s="1"/>
  <c r="C83" i="23"/>
  <c r="B83" i="23"/>
  <c r="A83" i="23"/>
  <c r="AC82" i="23"/>
  <c r="W82" i="23" s="1"/>
  <c r="Y82" i="23"/>
  <c r="X82" i="23"/>
  <c r="V82" i="23"/>
  <c r="U82" i="23"/>
  <c r="T82" i="23"/>
  <c r="R82" i="23"/>
  <c r="Q82" i="23"/>
  <c r="P82" i="23"/>
  <c r="N82" i="23"/>
  <c r="M82" i="23"/>
  <c r="L82" i="23"/>
  <c r="J82" i="23"/>
  <c r="I82" i="23"/>
  <c r="H82" i="23"/>
  <c r="D82" i="23"/>
  <c r="F82" i="23" s="1"/>
  <c r="C82" i="23"/>
  <c r="B82" i="23"/>
  <c r="A82" i="23"/>
  <c r="AC81" i="23"/>
  <c r="D81" i="23"/>
  <c r="F81" i="23" s="1"/>
  <c r="C81" i="23"/>
  <c r="B81" i="23"/>
  <c r="A81" i="23"/>
  <c r="AC80" i="23"/>
  <c r="X80" i="23"/>
  <c r="T80" i="23"/>
  <c r="S80" i="23"/>
  <c r="O80" i="23"/>
  <c r="N80" i="23"/>
  <c r="J80" i="23"/>
  <c r="H80" i="23"/>
  <c r="D80" i="23"/>
  <c r="F80" i="23" s="1"/>
  <c r="C80" i="23"/>
  <c r="B80" i="23"/>
  <c r="A80" i="23"/>
  <c r="AC79" i="23"/>
  <c r="Y79" i="23"/>
  <c r="V79" i="23"/>
  <c r="U79" i="23"/>
  <c r="R79" i="23"/>
  <c r="Q79" i="23"/>
  <c r="N79" i="23"/>
  <c r="M79" i="23"/>
  <c r="J79" i="23"/>
  <c r="I79" i="23"/>
  <c r="D79" i="23"/>
  <c r="F79" i="23" s="1"/>
  <c r="C79" i="23"/>
  <c r="B79" i="23"/>
  <c r="A79" i="23"/>
  <c r="AC78" i="23"/>
  <c r="Y78" i="23"/>
  <c r="T78" i="23"/>
  <c r="P78" i="23"/>
  <c r="N78" i="23"/>
  <c r="J78" i="23"/>
  <c r="I78" i="23"/>
  <c r="D78" i="23"/>
  <c r="F78" i="23" s="1"/>
  <c r="C78" i="23"/>
  <c r="B78" i="23"/>
  <c r="A78" i="23"/>
  <c r="AC77" i="23"/>
  <c r="Y77" i="23"/>
  <c r="U77" i="23"/>
  <c r="S77" i="23"/>
  <c r="O77" i="23"/>
  <c r="N77" i="23"/>
  <c r="J77" i="23"/>
  <c r="I77" i="23"/>
  <c r="D77" i="23"/>
  <c r="F77" i="23" s="1"/>
  <c r="C77" i="23"/>
  <c r="B77" i="23"/>
  <c r="A77" i="23"/>
  <c r="AC76" i="23"/>
  <c r="X76" i="23"/>
  <c r="S76" i="23"/>
  <c r="O76" i="23"/>
  <c r="N76" i="23"/>
  <c r="H76" i="23"/>
  <c r="D76" i="23"/>
  <c r="F76" i="23" s="1"/>
  <c r="C76" i="23"/>
  <c r="B76" i="23"/>
  <c r="A76" i="23"/>
  <c r="AC75" i="23"/>
  <c r="Y75" i="23"/>
  <c r="U75" i="23"/>
  <c r="R75" i="23"/>
  <c r="Q75" i="23"/>
  <c r="M75" i="23"/>
  <c r="J75" i="23"/>
  <c r="I75" i="23"/>
  <c r="D75" i="23"/>
  <c r="F75" i="23" s="1"/>
  <c r="C75" i="23"/>
  <c r="B75" i="23"/>
  <c r="A75" i="23"/>
  <c r="AC74" i="23"/>
  <c r="Y74" i="23"/>
  <c r="U74" i="23"/>
  <c r="T74" i="23"/>
  <c r="P74" i="23"/>
  <c r="N74" i="23"/>
  <c r="J74" i="23"/>
  <c r="I74" i="23"/>
  <c r="D74" i="23"/>
  <c r="F74" i="23" s="1"/>
  <c r="C74" i="23"/>
  <c r="B74" i="23"/>
  <c r="A74" i="23"/>
  <c r="AC73" i="23"/>
  <c r="Y73" i="23"/>
  <c r="U73" i="23"/>
  <c r="S73" i="23"/>
  <c r="O73" i="23"/>
  <c r="N73" i="23"/>
  <c r="J73" i="23"/>
  <c r="I73" i="23"/>
  <c r="D73" i="23"/>
  <c r="F73" i="23" s="1"/>
  <c r="C73" i="23"/>
  <c r="B73" i="23"/>
  <c r="A73" i="23"/>
  <c r="AC72" i="23"/>
  <c r="X72" i="23"/>
  <c r="T72" i="23"/>
  <c r="S72" i="23"/>
  <c r="O72" i="23"/>
  <c r="N72" i="23"/>
  <c r="J72" i="23"/>
  <c r="H72" i="23"/>
  <c r="D72" i="23"/>
  <c r="F72" i="23" s="1"/>
  <c r="C72" i="23"/>
  <c r="B72" i="23"/>
  <c r="A72" i="23"/>
  <c r="AC71" i="23"/>
  <c r="Y71" i="23"/>
  <c r="V71" i="23"/>
  <c r="U71" i="23"/>
  <c r="R71" i="23"/>
  <c r="Q71" i="23"/>
  <c r="P71" i="23"/>
  <c r="N71" i="23"/>
  <c r="M71" i="23"/>
  <c r="L71" i="23"/>
  <c r="J71" i="23"/>
  <c r="I71" i="23"/>
  <c r="H71" i="23"/>
  <c r="D71" i="23"/>
  <c r="F71" i="23" s="1"/>
  <c r="C71" i="23"/>
  <c r="B71" i="23"/>
  <c r="A71" i="23"/>
  <c r="AC70" i="23"/>
  <c r="Y70" i="23" s="1"/>
  <c r="X70" i="23"/>
  <c r="T70" i="23"/>
  <c r="P70" i="23"/>
  <c r="M70" i="23"/>
  <c r="I70" i="23"/>
  <c r="D70" i="23"/>
  <c r="F70" i="23" s="1"/>
  <c r="C70" i="23"/>
  <c r="B70" i="23"/>
  <c r="A70" i="23"/>
  <c r="AC69" i="23"/>
  <c r="Y69" i="23" s="1"/>
  <c r="W69" i="23"/>
  <c r="S69" i="23"/>
  <c r="O69" i="23"/>
  <c r="M69" i="23"/>
  <c r="I69" i="23"/>
  <c r="G69" i="23"/>
  <c r="D69" i="23"/>
  <c r="F69" i="23" s="1"/>
  <c r="C69" i="23"/>
  <c r="B69" i="23"/>
  <c r="A69" i="23"/>
  <c r="AC68" i="23"/>
  <c r="J68" i="23" s="1"/>
  <c r="R68" i="23"/>
  <c r="F68" i="23"/>
  <c r="D68" i="23"/>
  <c r="C68" i="23"/>
  <c r="B68" i="23"/>
  <c r="A68" i="23"/>
  <c r="AC67" i="23"/>
  <c r="X67" i="23" s="1"/>
  <c r="Y67" i="23"/>
  <c r="V67" i="23"/>
  <c r="U67" i="23"/>
  <c r="S67" i="23"/>
  <c r="Q67" i="23"/>
  <c r="O67" i="23"/>
  <c r="N67" i="23"/>
  <c r="K67" i="23"/>
  <c r="J67" i="23"/>
  <c r="I67" i="23"/>
  <c r="D67" i="23"/>
  <c r="F67" i="23" s="1"/>
  <c r="C67" i="23"/>
  <c r="B67" i="23"/>
  <c r="A67" i="23"/>
  <c r="AC66" i="23"/>
  <c r="T66" i="23" s="1"/>
  <c r="V66" i="23"/>
  <c r="R66" i="23"/>
  <c r="N66" i="23"/>
  <c r="J66" i="23"/>
  <c r="F66" i="23"/>
  <c r="D66" i="23"/>
  <c r="C66" i="23"/>
  <c r="B66" i="23"/>
  <c r="A66" i="23"/>
  <c r="AC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D65" i="23"/>
  <c r="F65" i="23" s="1"/>
  <c r="C65" i="23"/>
  <c r="B65" i="23"/>
  <c r="A65" i="23"/>
  <c r="AC64" i="23"/>
  <c r="X64" i="23"/>
  <c r="V64" i="23"/>
  <c r="T64" i="23"/>
  <c r="R64" i="23"/>
  <c r="P64" i="23"/>
  <c r="N64" i="23"/>
  <c r="L64" i="23"/>
  <c r="J64" i="23"/>
  <c r="H64" i="23"/>
  <c r="D64" i="23"/>
  <c r="F64" i="23" s="1"/>
  <c r="C64" i="23"/>
  <c r="B64" i="23"/>
  <c r="A64" i="23"/>
  <c r="AC63" i="23"/>
  <c r="X63" i="23" s="1"/>
  <c r="W63" i="23"/>
  <c r="U63" i="23"/>
  <c r="R63" i="23"/>
  <c r="O63" i="23"/>
  <c r="M63" i="23"/>
  <c r="J63" i="23"/>
  <c r="G63" i="23"/>
  <c r="D63" i="23"/>
  <c r="F63" i="23" s="1"/>
  <c r="C63" i="23"/>
  <c r="B63" i="23"/>
  <c r="A63" i="23"/>
  <c r="AC62" i="23"/>
  <c r="R62" i="23" s="1"/>
  <c r="X62" i="23"/>
  <c r="P62" i="23"/>
  <c r="J62" i="23"/>
  <c r="H62" i="23"/>
  <c r="D62" i="23"/>
  <c r="F62" i="23" s="1"/>
  <c r="C62" i="23"/>
  <c r="B62" i="23"/>
  <c r="A62" i="23"/>
  <c r="AC61" i="23"/>
  <c r="X61" i="23" s="1"/>
  <c r="V61" i="23"/>
  <c r="R61" i="23"/>
  <c r="N61" i="23"/>
  <c r="J61" i="23"/>
  <c r="D61" i="23"/>
  <c r="F61" i="23" s="1"/>
  <c r="C61" i="23"/>
  <c r="B61" i="23"/>
  <c r="A61" i="23"/>
  <c r="AC60" i="23"/>
  <c r="V60" i="23" s="1"/>
  <c r="P60" i="23"/>
  <c r="F60" i="23"/>
  <c r="D60" i="23"/>
  <c r="C60" i="23"/>
  <c r="B60" i="23"/>
  <c r="A60" i="23"/>
  <c r="AC59" i="23"/>
  <c r="X59" i="23" s="1"/>
  <c r="Y59" i="23"/>
  <c r="V59" i="23"/>
  <c r="U59" i="23"/>
  <c r="S59" i="23"/>
  <c r="Q59" i="23"/>
  <c r="O59" i="23"/>
  <c r="N59" i="23"/>
  <c r="K59" i="23"/>
  <c r="J59" i="23"/>
  <c r="I59" i="23"/>
  <c r="D59" i="23"/>
  <c r="F59" i="23" s="1"/>
  <c r="C59" i="23"/>
  <c r="B59" i="23"/>
  <c r="A59" i="23"/>
  <c r="AC58" i="23"/>
  <c r="T58" i="23" s="1"/>
  <c r="D58" i="23"/>
  <c r="F58" i="23" s="1"/>
  <c r="C58" i="23"/>
  <c r="B58" i="23"/>
  <c r="A58" i="23"/>
  <c r="AC57" i="23"/>
  <c r="X57" i="23" s="1"/>
  <c r="V57" i="23"/>
  <c r="R57" i="23"/>
  <c r="N57" i="23"/>
  <c r="J57" i="23"/>
  <c r="D57" i="23"/>
  <c r="F57" i="23" s="1"/>
  <c r="C57" i="23"/>
  <c r="B57" i="23"/>
  <c r="A57" i="23"/>
  <c r="AC56" i="23"/>
  <c r="R56" i="23" s="1"/>
  <c r="J56" i="23"/>
  <c r="F56" i="23"/>
  <c r="D56" i="23"/>
  <c r="C56" i="23"/>
  <c r="B56" i="23"/>
  <c r="A56" i="23"/>
  <c r="AC55" i="23"/>
  <c r="X55" i="23" s="1"/>
  <c r="Y55" i="23"/>
  <c r="W55" i="23"/>
  <c r="V55" i="23"/>
  <c r="U55" i="23"/>
  <c r="S55" i="23"/>
  <c r="R55" i="23"/>
  <c r="Q55" i="23"/>
  <c r="O55" i="23"/>
  <c r="N55" i="23"/>
  <c r="M55" i="23"/>
  <c r="K55" i="23"/>
  <c r="J55" i="23"/>
  <c r="I55" i="23"/>
  <c r="G55" i="23"/>
  <c r="D55" i="23"/>
  <c r="F55" i="23" s="1"/>
  <c r="C55" i="23"/>
  <c r="B55" i="23"/>
  <c r="A55" i="23"/>
  <c r="AC54" i="23"/>
  <c r="X54" i="23" s="1"/>
  <c r="V54" i="23"/>
  <c r="R54" i="23"/>
  <c r="N54" i="23"/>
  <c r="J54" i="23"/>
  <c r="F54" i="23"/>
  <c r="D54" i="23"/>
  <c r="C54" i="23"/>
  <c r="B54" i="23"/>
  <c r="A54" i="23"/>
  <c r="AC53" i="23"/>
  <c r="X53" i="23" s="1"/>
  <c r="Y53" i="23"/>
  <c r="W53" i="23"/>
  <c r="V53" i="23"/>
  <c r="U53" i="23"/>
  <c r="S53" i="23"/>
  <c r="R53" i="23"/>
  <c r="Q53" i="23"/>
  <c r="O53" i="23"/>
  <c r="N53" i="23"/>
  <c r="M53" i="23"/>
  <c r="K53" i="23"/>
  <c r="J53" i="23"/>
  <c r="I53" i="23"/>
  <c r="G53" i="23"/>
  <c r="D53" i="23"/>
  <c r="F53" i="23" s="1"/>
  <c r="C53" i="23"/>
  <c r="B53" i="23"/>
  <c r="A53" i="23"/>
  <c r="AC52" i="23"/>
  <c r="J52" i="23" s="1"/>
  <c r="R52" i="23"/>
  <c r="F52" i="23"/>
  <c r="D52" i="23"/>
  <c r="C52" i="23"/>
  <c r="B52" i="23"/>
  <c r="A52" i="23"/>
  <c r="AC51" i="23"/>
  <c r="X51" i="23" s="1"/>
  <c r="Y51" i="23"/>
  <c r="V51" i="23"/>
  <c r="U51" i="23"/>
  <c r="S51" i="23"/>
  <c r="Q51" i="23"/>
  <c r="O51" i="23"/>
  <c r="N51" i="23"/>
  <c r="K51" i="23"/>
  <c r="J51" i="23"/>
  <c r="I51" i="23"/>
  <c r="D51" i="23"/>
  <c r="F51" i="23" s="1"/>
  <c r="C51" i="23"/>
  <c r="B51" i="23"/>
  <c r="A51" i="23"/>
  <c r="AC50" i="23"/>
  <c r="V50" i="23" s="1"/>
  <c r="P50" i="23"/>
  <c r="F50" i="23"/>
  <c r="D50" i="23"/>
  <c r="C50" i="23"/>
  <c r="B50" i="23"/>
  <c r="A50" i="23"/>
  <c r="AC49" i="23"/>
  <c r="X49" i="23" s="1"/>
  <c r="Y49" i="23"/>
  <c r="W49" i="23"/>
  <c r="V49" i="23"/>
  <c r="U49" i="23"/>
  <c r="S49" i="23"/>
  <c r="R49" i="23"/>
  <c r="Q49" i="23"/>
  <c r="O49" i="23"/>
  <c r="N49" i="23"/>
  <c r="M49" i="23"/>
  <c r="K49" i="23"/>
  <c r="J49" i="23"/>
  <c r="I49" i="23"/>
  <c r="G49" i="23"/>
  <c r="D49" i="23"/>
  <c r="F49" i="23" s="1"/>
  <c r="C49" i="23"/>
  <c r="B49" i="23"/>
  <c r="A49" i="23"/>
  <c r="AC48" i="23"/>
  <c r="V48" i="23" s="1"/>
  <c r="X48" i="23"/>
  <c r="T48" i="23"/>
  <c r="R48" i="23"/>
  <c r="P48" i="23"/>
  <c r="L48" i="23"/>
  <c r="J48" i="23"/>
  <c r="H48" i="23"/>
  <c r="D48" i="23"/>
  <c r="F48" i="23" s="1"/>
  <c r="C48" i="23"/>
  <c r="B48" i="23"/>
  <c r="A48" i="23"/>
  <c r="AC47" i="23"/>
  <c r="X47" i="23" s="1"/>
  <c r="U47" i="23"/>
  <c r="O47" i="23"/>
  <c r="J47" i="23"/>
  <c r="D47" i="23"/>
  <c r="F47" i="23" s="1"/>
  <c r="C47" i="23"/>
  <c r="B47" i="23"/>
  <c r="A47" i="23"/>
  <c r="AC46" i="23"/>
  <c r="X46" i="23"/>
  <c r="R46" i="23"/>
  <c r="P46" i="23"/>
  <c r="J46" i="23"/>
  <c r="H46" i="23"/>
  <c r="D46" i="23"/>
  <c r="F46" i="23" s="1"/>
  <c r="C46" i="23"/>
  <c r="B46" i="23"/>
  <c r="A46" i="23"/>
  <c r="AC45" i="23"/>
  <c r="Y45" i="23" s="1"/>
  <c r="X45" i="23"/>
  <c r="V45" i="23"/>
  <c r="T45" i="23"/>
  <c r="R45" i="23"/>
  <c r="P45" i="23"/>
  <c r="N45" i="23"/>
  <c r="L45" i="23"/>
  <c r="J45" i="23"/>
  <c r="H45" i="23"/>
  <c r="D45" i="23"/>
  <c r="F45" i="23" s="1"/>
  <c r="C45" i="23"/>
  <c r="B45" i="23"/>
  <c r="A45" i="23"/>
  <c r="AC44" i="23"/>
  <c r="X44" i="23" s="1"/>
  <c r="V44" i="23"/>
  <c r="P44" i="23"/>
  <c r="J44" i="23"/>
  <c r="F44" i="23"/>
  <c r="D44" i="23"/>
  <c r="C44" i="23"/>
  <c r="B44" i="23"/>
  <c r="A44" i="23"/>
  <c r="AC43" i="23"/>
  <c r="X43" i="23" s="1"/>
  <c r="Y43" i="23"/>
  <c r="W43" i="23"/>
  <c r="V43" i="23"/>
  <c r="U43" i="23"/>
  <c r="S43" i="23"/>
  <c r="R43" i="23"/>
  <c r="Q43" i="23"/>
  <c r="O43" i="23"/>
  <c r="N43" i="23"/>
  <c r="M43" i="23"/>
  <c r="K43" i="23"/>
  <c r="J43" i="23"/>
  <c r="I43" i="23"/>
  <c r="G43" i="23"/>
  <c r="D43" i="23"/>
  <c r="F43" i="23" s="1"/>
  <c r="C43" i="23"/>
  <c r="B43" i="23"/>
  <c r="A43" i="23"/>
  <c r="AC42" i="23"/>
  <c r="T42" i="23" s="1"/>
  <c r="J42" i="23"/>
  <c r="D42" i="23"/>
  <c r="F42" i="23" s="1"/>
  <c r="C42" i="23"/>
  <c r="B42" i="23"/>
  <c r="A42" i="23"/>
  <c r="AC41" i="23"/>
  <c r="Y41" i="23" s="1"/>
  <c r="X41" i="23"/>
  <c r="V41" i="23"/>
  <c r="T41" i="23"/>
  <c r="R41" i="23"/>
  <c r="P41" i="23"/>
  <c r="N41" i="23"/>
  <c r="L41" i="23"/>
  <c r="J41" i="23"/>
  <c r="H41" i="23"/>
  <c r="D41" i="23"/>
  <c r="F41" i="23" s="1"/>
  <c r="C41" i="23"/>
  <c r="B41" i="23"/>
  <c r="A41" i="23"/>
  <c r="AC40" i="23"/>
  <c r="X40" i="23" s="1"/>
  <c r="R40" i="23"/>
  <c r="J40" i="23"/>
  <c r="F40" i="23"/>
  <c r="D40" i="23"/>
  <c r="C40" i="23"/>
  <c r="B40" i="23"/>
  <c r="A40" i="23"/>
  <c r="AC39" i="23"/>
  <c r="X39" i="23" s="1"/>
  <c r="Y39" i="23"/>
  <c r="V39" i="23"/>
  <c r="U39" i="23"/>
  <c r="S39" i="23"/>
  <c r="Q39" i="23"/>
  <c r="O39" i="23"/>
  <c r="N39" i="23"/>
  <c r="K39" i="23"/>
  <c r="J39" i="23"/>
  <c r="I39" i="23"/>
  <c r="D39" i="23"/>
  <c r="F39" i="23" s="1"/>
  <c r="C39" i="23"/>
  <c r="B39" i="23"/>
  <c r="A39" i="23"/>
  <c r="AC38" i="23"/>
  <c r="V38" i="23" s="1"/>
  <c r="R38" i="23"/>
  <c r="J38" i="23"/>
  <c r="F38" i="23"/>
  <c r="D38" i="23"/>
  <c r="C38" i="23"/>
  <c r="B38" i="23"/>
  <c r="A38" i="23"/>
  <c r="AC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D37" i="23"/>
  <c r="F37" i="23" s="1"/>
  <c r="C37" i="23"/>
  <c r="B37" i="23"/>
  <c r="A37" i="23"/>
  <c r="AC36" i="23"/>
  <c r="T36" i="23" s="1"/>
  <c r="R36" i="23"/>
  <c r="J36" i="23"/>
  <c r="F36" i="23"/>
  <c r="D36" i="23"/>
  <c r="C36" i="23"/>
  <c r="B36" i="23"/>
  <c r="A36" i="23"/>
  <c r="AC35" i="23"/>
  <c r="X35" i="23" s="1"/>
  <c r="Y35" i="23"/>
  <c r="W35" i="23"/>
  <c r="V35" i="23"/>
  <c r="U35" i="23"/>
  <c r="S35" i="23"/>
  <c r="R35" i="23"/>
  <c r="Q35" i="23"/>
  <c r="O35" i="23"/>
  <c r="N35" i="23"/>
  <c r="M35" i="23"/>
  <c r="K35" i="23"/>
  <c r="J35" i="23"/>
  <c r="I35" i="23"/>
  <c r="G35" i="23"/>
  <c r="D35" i="23"/>
  <c r="F35" i="23" s="1"/>
  <c r="C35" i="23"/>
  <c r="B35" i="23"/>
  <c r="A35" i="23"/>
  <c r="AC34" i="23"/>
  <c r="X34" i="23" s="1"/>
  <c r="T34" i="23"/>
  <c r="O34" i="23"/>
  <c r="J34" i="23"/>
  <c r="F34" i="23"/>
  <c r="D34" i="23"/>
  <c r="C34" i="23"/>
  <c r="B34" i="23"/>
  <c r="A34" i="23"/>
  <c r="AC33" i="23"/>
  <c r="X33" i="23" s="1"/>
  <c r="Y33" i="23"/>
  <c r="W33" i="23"/>
  <c r="V33" i="23"/>
  <c r="U33" i="23"/>
  <c r="S33" i="23"/>
  <c r="R33" i="23"/>
  <c r="Q33" i="23"/>
  <c r="O33" i="23"/>
  <c r="N33" i="23"/>
  <c r="M33" i="23"/>
  <c r="K33" i="23"/>
  <c r="J33" i="23"/>
  <c r="I33" i="23"/>
  <c r="G33" i="23"/>
  <c r="D33" i="23"/>
  <c r="F33" i="23" s="1"/>
  <c r="C33" i="23"/>
  <c r="B33" i="23"/>
  <c r="A33" i="23"/>
  <c r="AC32" i="23"/>
  <c r="U32" i="23" s="1"/>
  <c r="Y32" i="23"/>
  <c r="T32" i="23"/>
  <c r="P32" i="23"/>
  <c r="N32" i="23"/>
  <c r="I32" i="23"/>
  <c r="D32" i="23"/>
  <c r="F32" i="23" s="1"/>
  <c r="C32" i="23"/>
  <c r="B32" i="23"/>
  <c r="A32" i="23"/>
  <c r="AC31" i="23"/>
  <c r="U31" i="23" s="1"/>
  <c r="Y31" i="23"/>
  <c r="S31" i="23"/>
  <c r="O31" i="23"/>
  <c r="N31" i="23"/>
  <c r="I31" i="23"/>
  <c r="D31" i="23"/>
  <c r="F31" i="23" s="1"/>
  <c r="C31" i="23"/>
  <c r="B31" i="23"/>
  <c r="A31" i="23"/>
  <c r="AC30" i="23"/>
  <c r="T30" i="23" s="1"/>
  <c r="X30" i="23"/>
  <c r="S30" i="23"/>
  <c r="O30" i="23"/>
  <c r="N30" i="23"/>
  <c r="I30" i="23"/>
  <c r="D30" i="23"/>
  <c r="F30" i="23" s="1"/>
  <c r="C30" i="23"/>
  <c r="B30" i="23"/>
  <c r="A30" i="23"/>
  <c r="AC29" i="23"/>
  <c r="Y29" i="23" s="1"/>
  <c r="V29" i="23"/>
  <c r="N29" i="23"/>
  <c r="J29" i="23"/>
  <c r="F29" i="23"/>
  <c r="D29" i="23"/>
  <c r="C29" i="23"/>
  <c r="B29" i="23"/>
  <c r="A29" i="23"/>
  <c r="AC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D28" i="23"/>
  <c r="F28" i="23" s="1"/>
  <c r="C28" i="23"/>
  <c r="B28" i="23"/>
  <c r="A28" i="23"/>
  <c r="AC27" i="23"/>
  <c r="W27" i="23" s="1"/>
  <c r="Y27" i="23"/>
  <c r="X27" i="23"/>
  <c r="V27" i="23"/>
  <c r="U27" i="23"/>
  <c r="T27" i="23"/>
  <c r="R27" i="23"/>
  <c r="Q27" i="23"/>
  <c r="P27" i="23"/>
  <c r="N27" i="23"/>
  <c r="M27" i="23"/>
  <c r="L27" i="23"/>
  <c r="J27" i="23"/>
  <c r="I27" i="23"/>
  <c r="H27" i="23"/>
  <c r="D27" i="23"/>
  <c r="F27" i="23" s="1"/>
  <c r="C27" i="23"/>
  <c r="B27" i="23"/>
  <c r="A27" i="23"/>
  <c r="AC26" i="23"/>
  <c r="X26" i="23" s="1"/>
  <c r="R26" i="23"/>
  <c r="J26" i="23"/>
  <c r="D26" i="23"/>
  <c r="F26" i="23" s="1"/>
  <c r="C26" i="23"/>
  <c r="B26" i="23"/>
  <c r="A26" i="23"/>
  <c r="AC25" i="23"/>
  <c r="Y25" i="23" s="1"/>
  <c r="R25" i="23"/>
  <c r="J25" i="23"/>
  <c r="D25" i="23"/>
  <c r="F25" i="23" s="1"/>
  <c r="C25" i="23"/>
  <c r="B25" i="23"/>
  <c r="A25" i="23"/>
  <c r="AC24" i="23"/>
  <c r="X24" i="23" s="1"/>
  <c r="V24" i="23"/>
  <c r="R24" i="23"/>
  <c r="N24" i="23"/>
  <c r="J24" i="23"/>
  <c r="D24" i="23"/>
  <c r="F24" i="23" s="1"/>
  <c r="C24" i="23"/>
  <c r="B24" i="23"/>
  <c r="A24" i="23"/>
  <c r="AC23" i="23"/>
  <c r="W23" i="23" s="1"/>
  <c r="U23" i="23"/>
  <c r="P23" i="23"/>
  <c r="J23" i="23"/>
  <c r="D23" i="23"/>
  <c r="F23" i="23" s="1"/>
  <c r="C23" i="23"/>
  <c r="B23" i="23"/>
  <c r="A23" i="23"/>
  <c r="AC22" i="23"/>
  <c r="X22" i="23" s="1"/>
  <c r="Y22" i="23"/>
  <c r="U22" i="23"/>
  <c r="R22" i="23"/>
  <c r="Q22" i="23"/>
  <c r="M22" i="23"/>
  <c r="J22" i="23"/>
  <c r="I22" i="23"/>
  <c r="D22" i="23"/>
  <c r="F22" i="23" s="1"/>
  <c r="C22" i="23"/>
  <c r="B22" i="23"/>
  <c r="A22" i="23"/>
  <c r="AC21" i="23"/>
  <c r="Y21" i="23" s="1"/>
  <c r="V21" i="23"/>
  <c r="R21" i="23"/>
  <c r="N21" i="23"/>
  <c r="J21" i="23"/>
  <c r="F21" i="23"/>
  <c r="D21" i="23"/>
  <c r="C21" i="23"/>
  <c r="B21" i="23"/>
  <c r="A21" i="23"/>
  <c r="AC20" i="23"/>
  <c r="X20" i="23" s="1"/>
  <c r="Y20" i="23"/>
  <c r="W20" i="23"/>
  <c r="V20" i="23"/>
  <c r="U20" i="23"/>
  <c r="S20" i="23"/>
  <c r="R20" i="23"/>
  <c r="Q20" i="23"/>
  <c r="O20" i="23"/>
  <c r="N20" i="23"/>
  <c r="M20" i="23"/>
  <c r="K20" i="23"/>
  <c r="J20" i="23"/>
  <c r="I20" i="23"/>
  <c r="G20" i="23"/>
  <c r="D20" i="23"/>
  <c r="F20" i="23" s="1"/>
  <c r="C20" i="23"/>
  <c r="B20" i="23"/>
  <c r="A20" i="23"/>
  <c r="AC19" i="23"/>
  <c r="W19" i="23" s="1"/>
  <c r="Y19" i="23"/>
  <c r="V19" i="23"/>
  <c r="U19" i="23"/>
  <c r="T19" i="23"/>
  <c r="Q19" i="23"/>
  <c r="P19" i="23"/>
  <c r="N19" i="23"/>
  <c r="L19" i="23"/>
  <c r="J19" i="23"/>
  <c r="I19" i="23"/>
  <c r="D19" i="23"/>
  <c r="F19" i="23" s="1"/>
  <c r="C19" i="23"/>
  <c r="B19" i="23"/>
  <c r="A19" i="23"/>
  <c r="AC18" i="23"/>
  <c r="X18" i="23" s="1"/>
  <c r="V18" i="23"/>
  <c r="R18" i="23"/>
  <c r="N18" i="23"/>
  <c r="J18" i="23"/>
  <c r="D18" i="23"/>
  <c r="F18" i="23" s="1"/>
  <c r="C18" i="23"/>
  <c r="B18" i="23"/>
  <c r="A18" i="23"/>
  <c r="AC17" i="23"/>
  <c r="Y17" i="23" s="1"/>
  <c r="J17" i="23"/>
  <c r="D17" i="23"/>
  <c r="F17" i="23" s="1"/>
  <c r="C17" i="23"/>
  <c r="B17" i="23"/>
  <c r="A17" i="23"/>
  <c r="AC16" i="23"/>
  <c r="Y16" i="23" s="1"/>
  <c r="X16" i="23"/>
  <c r="V16" i="23"/>
  <c r="T16" i="23"/>
  <c r="R16" i="23"/>
  <c r="P16" i="23"/>
  <c r="N16" i="23"/>
  <c r="L16" i="23"/>
  <c r="J16" i="23"/>
  <c r="H16" i="23"/>
  <c r="D16" i="23"/>
  <c r="F16" i="23" s="1"/>
  <c r="C16" i="23"/>
  <c r="B16" i="23"/>
  <c r="A16" i="23"/>
  <c r="AC15" i="23"/>
  <c r="W15" i="23" s="1"/>
  <c r="X15" i="23"/>
  <c r="U15" i="23"/>
  <c r="R15" i="23"/>
  <c r="P15" i="23"/>
  <c r="M15" i="23"/>
  <c r="J15" i="23"/>
  <c r="H15" i="23"/>
  <c r="D15" i="23"/>
  <c r="F15" i="23" s="1"/>
  <c r="C15" i="23"/>
  <c r="B15" i="23"/>
  <c r="A15" i="23"/>
  <c r="AC14" i="23"/>
  <c r="X14" i="23" s="1"/>
  <c r="Y14" i="23"/>
  <c r="V14" i="23"/>
  <c r="U14" i="23"/>
  <c r="R14" i="23"/>
  <c r="Q14" i="23"/>
  <c r="N14" i="23"/>
  <c r="M14" i="23"/>
  <c r="J14" i="23"/>
  <c r="I14" i="23"/>
  <c r="D14" i="23"/>
  <c r="F14" i="23" s="1"/>
  <c r="C14" i="23"/>
  <c r="B14" i="23"/>
  <c r="A14" i="23"/>
  <c r="AC13" i="23"/>
  <c r="Y13" i="23" s="1"/>
  <c r="V13" i="23"/>
  <c r="N13" i="23"/>
  <c r="J13" i="23"/>
  <c r="F13" i="23"/>
  <c r="D13" i="23"/>
  <c r="C13" i="23"/>
  <c r="B13" i="23"/>
  <c r="A13" i="23"/>
  <c r="AC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D12" i="23"/>
  <c r="F12" i="23" s="1"/>
  <c r="C12" i="23"/>
  <c r="B12" i="23"/>
  <c r="A12" i="23"/>
  <c r="AC11" i="23"/>
  <c r="W11" i="23" s="1"/>
  <c r="Y11" i="23"/>
  <c r="X11" i="23"/>
  <c r="V11" i="23"/>
  <c r="U11" i="23"/>
  <c r="T11" i="23"/>
  <c r="R11" i="23"/>
  <c r="Q11" i="23"/>
  <c r="P11" i="23"/>
  <c r="N11" i="23"/>
  <c r="M11" i="23"/>
  <c r="L11" i="23"/>
  <c r="J11" i="23"/>
  <c r="I11" i="23"/>
  <c r="H11" i="23"/>
  <c r="D11" i="23"/>
  <c r="F11" i="23" s="1"/>
  <c r="C11" i="23"/>
  <c r="B11" i="23"/>
  <c r="A11" i="23"/>
  <c r="AC10" i="23"/>
  <c r="X10" i="23" s="1"/>
  <c r="R10" i="23"/>
  <c r="J10" i="23"/>
  <c r="D10" i="23"/>
  <c r="F10" i="23" s="1"/>
  <c r="C10" i="23"/>
  <c r="B10" i="23"/>
  <c r="A10" i="23"/>
  <c r="AC9" i="23"/>
  <c r="Y9" i="23" s="1"/>
  <c r="R9" i="23"/>
  <c r="J9" i="23"/>
  <c r="D9" i="23"/>
  <c r="F9" i="23" s="1"/>
  <c r="C9" i="23"/>
  <c r="B9" i="23"/>
  <c r="A9" i="23"/>
  <c r="AC8" i="23"/>
  <c r="L8" i="23" s="1"/>
  <c r="V8" i="23"/>
  <c r="R8" i="23"/>
  <c r="N8" i="23"/>
  <c r="J8" i="23"/>
  <c r="D8" i="23"/>
  <c r="F8" i="23" s="1"/>
  <c r="C8" i="23"/>
  <c r="B8" i="23"/>
  <c r="A8" i="23"/>
  <c r="AC7" i="23"/>
  <c r="W7" i="23" s="1"/>
  <c r="U7" i="23"/>
  <c r="P7" i="23"/>
  <c r="J7" i="23"/>
  <c r="D7" i="23"/>
  <c r="F7" i="23" s="1"/>
  <c r="C7" i="23"/>
  <c r="B7" i="23"/>
  <c r="A7" i="23"/>
  <c r="AC6" i="23"/>
  <c r="X6" i="23" s="1"/>
  <c r="Y6" i="23"/>
  <c r="U6" i="23"/>
  <c r="R6" i="23"/>
  <c r="Q6" i="23"/>
  <c r="M6" i="23"/>
  <c r="J6" i="23"/>
  <c r="I6" i="23"/>
  <c r="D6" i="23"/>
  <c r="F6" i="23" s="1"/>
  <c r="C6" i="23"/>
  <c r="B6" i="23"/>
  <c r="A6" i="23"/>
  <c r="AC5" i="23"/>
  <c r="Y5" i="23" s="1"/>
  <c r="V5" i="23"/>
  <c r="R5" i="23"/>
  <c r="N5" i="23"/>
  <c r="J5" i="23"/>
  <c r="F5" i="23"/>
  <c r="D5" i="23"/>
  <c r="C5" i="23"/>
  <c r="B5" i="23"/>
  <c r="A5" i="23"/>
  <c r="AC4" i="23"/>
  <c r="X4" i="23" s="1"/>
  <c r="Y4" i="23"/>
  <c r="W4" i="23"/>
  <c r="V4" i="23"/>
  <c r="U4" i="23"/>
  <c r="S4" i="23"/>
  <c r="R4" i="23"/>
  <c r="Q4" i="23"/>
  <c r="O4" i="23"/>
  <c r="N4" i="23"/>
  <c r="M4" i="23"/>
  <c r="K4" i="23"/>
  <c r="J4" i="23"/>
  <c r="I4" i="23"/>
  <c r="G4" i="23"/>
  <c r="D4" i="23"/>
  <c r="F4" i="23" s="1"/>
  <c r="C4" i="23"/>
  <c r="B4" i="23"/>
  <c r="A4" i="23"/>
  <c r="CZ168" i="14"/>
  <c r="CY168" i="14"/>
  <c r="CX168" i="14"/>
  <c r="CS168" i="14"/>
  <c r="BI168" i="14"/>
  <c r="BB168" i="14"/>
  <c r="AZ168" i="14"/>
  <c r="AW168" i="14"/>
  <c r="AV168" i="14"/>
  <c r="AT168" i="14"/>
  <c r="AG168" i="14"/>
  <c r="W168" i="14" s="1"/>
  <c r="AE168" i="14"/>
  <c r="CV168" i="14" s="1"/>
  <c r="X168" i="14"/>
  <c r="S168" i="14"/>
  <c r="P168" i="14"/>
  <c r="O168" i="14"/>
  <c r="N168" i="14"/>
  <c r="CM168" i="14" s="1"/>
  <c r="K168" i="14"/>
  <c r="A168" i="14"/>
  <c r="CZ167" i="14"/>
  <c r="CY167" i="14"/>
  <c r="CX167" i="14"/>
  <c r="CV167" i="14"/>
  <c r="CS167" i="14"/>
  <c r="CP167" i="14"/>
  <c r="CJ167" i="14"/>
  <c r="BI167" i="14"/>
  <c r="BB167" i="14"/>
  <c r="AZ167" i="14"/>
  <c r="AW167" i="14"/>
  <c r="AV167" i="14"/>
  <c r="AT167" i="14"/>
  <c r="AG167" i="14"/>
  <c r="AE167" i="14"/>
  <c r="X167" i="14"/>
  <c r="W167" i="14"/>
  <c r="S167" i="14"/>
  <c r="O167" i="14"/>
  <c r="N167" i="14"/>
  <c r="CM167" i="14" s="1"/>
  <c r="K167" i="14"/>
  <c r="P167" i="14" s="1"/>
  <c r="A167" i="14"/>
  <c r="CZ166" i="14"/>
  <c r="CY166" i="14"/>
  <c r="CX166" i="14"/>
  <c r="CV166" i="14"/>
  <c r="CS166" i="14"/>
  <c r="CP166" i="14"/>
  <c r="CJ166" i="14"/>
  <c r="BI166" i="14"/>
  <c r="BB166" i="14"/>
  <c r="AZ166" i="14"/>
  <c r="AW166" i="14"/>
  <c r="AV166" i="14"/>
  <c r="AT166" i="14"/>
  <c r="AG166" i="14"/>
  <c r="AE166" i="14"/>
  <c r="W166" i="14"/>
  <c r="S166" i="14"/>
  <c r="O166" i="14"/>
  <c r="N166" i="14"/>
  <c r="CM166" i="14" s="1"/>
  <c r="K166" i="14"/>
  <c r="P166" i="14" s="1"/>
  <c r="A166" i="14"/>
  <c r="CZ165" i="14"/>
  <c r="CY165" i="14"/>
  <c r="CX165" i="14"/>
  <c r="CV165" i="14"/>
  <c r="CS165" i="14"/>
  <c r="CP165" i="14"/>
  <c r="CJ165" i="14"/>
  <c r="BI165" i="14"/>
  <c r="BB165" i="14"/>
  <c r="AZ165" i="14"/>
  <c r="AW165" i="14"/>
  <c r="AV165" i="14"/>
  <c r="AT165" i="14"/>
  <c r="AG165" i="14"/>
  <c r="W165" i="14" s="1"/>
  <c r="AE165" i="14"/>
  <c r="S165" i="14"/>
  <c r="O165" i="14"/>
  <c r="N165" i="14"/>
  <c r="X165" i="14" s="1"/>
  <c r="K165" i="14"/>
  <c r="P165" i="14" s="1"/>
  <c r="A165" i="14"/>
  <c r="CZ164" i="14"/>
  <c r="CY164" i="14"/>
  <c r="CX164" i="14"/>
  <c r="CS164" i="14"/>
  <c r="BI164" i="14"/>
  <c r="BB164" i="14"/>
  <c r="AZ164" i="14"/>
  <c r="AW164" i="14"/>
  <c r="AV164" i="14"/>
  <c r="AT164" i="14"/>
  <c r="AG164" i="14"/>
  <c r="W164" i="14" s="1"/>
  <c r="AE164" i="14"/>
  <c r="CV164" i="14" s="1"/>
  <c r="X164" i="14"/>
  <c r="S164" i="14"/>
  <c r="P164" i="14"/>
  <c r="O164" i="14"/>
  <c r="N164" i="14"/>
  <c r="CM164" i="14" s="1"/>
  <c r="K164" i="14"/>
  <c r="A164" i="14"/>
  <c r="CZ163" i="14"/>
  <c r="CY163" i="14"/>
  <c r="CX163" i="14"/>
  <c r="CV163" i="14"/>
  <c r="CS163" i="14"/>
  <c r="CP163" i="14"/>
  <c r="CJ163" i="14"/>
  <c r="BI163" i="14"/>
  <c r="BB163" i="14"/>
  <c r="AZ163" i="14"/>
  <c r="AW163" i="14"/>
  <c r="AV163" i="14"/>
  <c r="AT163" i="14"/>
  <c r="AG163" i="14"/>
  <c r="AE163" i="14"/>
  <c r="X163" i="14"/>
  <c r="W163" i="14"/>
  <c r="S163" i="14"/>
  <c r="O163" i="14"/>
  <c r="N163" i="14"/>
  <c r="CM163" i="14" s="1"/>
  <c r="K163" i="14"/>
  <c r="P163" i="14" s="1"/>
  <c r="A163" i="14"/>
  <c r="CZ162" i="14"/>
  <c r="CY162" i="14"/>
  <c r="CX162" i="14"/>
  <c r="CV162" i="14"/>
  <c r="CS162" i="14"/>
  <c r="CP162" i="14"/>
  <c r="CJ162" i="14"/>
  <c r="BI162" i="14"/>
  <c r="BB162" i="14"/>
  <c r="AZ162" i="14"/>
  <c r="AW162" i="14"/>
  <c r="AV162" i="14"/>
  <c r="AT162" i="14"/>
  <c r="AG162" i="14"/>
  <c r="AE162" i="14"/>
  <c r="W162" i="14"/>
  <c r="S162" i="14"/>
  <c r="O162" i="14"/>
  <c r="N162" i="14"/>
  <c r="X162" i="14" s="1"/>
  <c r="K162" i="14"/>
  <c r="P162" i="14" s="1"/>
  <c r="A162" i="14"/>
  <c r="CZ161" i="14"/>
  <c r="CY161" i="14"/>
  <c r="CX161" i="14"/>
  <c r="CV161" i="14"/>
  <c r="CS161" i="14"/>
  <c r="CP161" i="14"/>
  <c r="CM161" i="14"/>
  <c r="CJ161" i="14"/>
  <c r="BI161" i="14"/>
  <c r="BB161" i="14"/>
  <c r="AZ161" i="14"/>
  <c r="AW161" i="14"/>
  <c r="AV161" i="14"/>
  <c r="AT161" i="14"/>
  <c r="AG161" i="14"/>
  <c r="W161" i="14" s="1"/>
  <c r="AE161" i="14"/>
  <c r="S161" i="14"/>
  <c r="O161" i="14"/>
  <c r="N161" i="14"/>
  <c r="X161" i="14" s="1"/>
  <c r="K161" i="14"/>
  <c r="P161" i="14" s="1"/>
  <c r="A161" i="14"/>
  <c r="CZ160" i="14"/>
  <c r="CY160" i="14"/>
  <c r="CX160" i="14"/>
  <c r="CS160" i="14"/>
  <c r="BI160" i="14"/>
  <c r="BB160" i="14"/>
  <c r="AZ160" i="14"/>
  <c r="AW160" i="14"/>
  <c r="AV160" i="14"/>
  <c r="AT160" i="14"/>
  <c r="AG160" i="14"/>
  <c r="W160" i="14" s="1"/>
  <c r="AE160" i="14"/>
  <c r="X160" i="14"/>
  <c r="S160" i="14"/>
  <c r="P160" i="14"/>
  <c r="O160" i="14"/>
  <c r="N160" i="14"/>
  <c r="CM160" i="14" s="1"/>
  <c r="K160" i="14"/>
  <c r="A160" i="14"/>
  <c r="CZ159" i="14"/>
  <c r="CY159" i="14"/>
  <c r="CX159" i="14"/>
  <c r="CS159" i="14"/>
  <c r="BI159" i="14"/>
  <c r="BB159" i="14"/>
  <c r="AZ159" i="14"/>
  <c r="AW159" i="14"/>
  <c r="AV159" i="14"/>
  <c r="AT159" i="14"/>
  <c r="AG159" i="14"/>
  <c r="AE159" i="14"/>
  <c r="CJ159" i="14" s="1"/>
  <c r="X159" i="14"/>
  <c r="W159" i="14"/>
  <c r="S159" i="14"/>
  <c r="O159" i="14"/>
  <c r="N159" i="14"/>
  <c r="CM159" i="14" s="1"/>
  <c r="K159" i="14"/>
  <c r="P159" i="14" s="1"/>
  <c r="A159" i="14"/>
  <c r="CZ158" i="14"/>
  <c r="CY158" i="14"/>
  <c r="CX158" i="14"/>
  <c r="CV158" i="14"/>
  <c r="CS158" i="14"/>
  <c r="CP158" i="14"/>
  <c r="BI158" i="14"/>
  <c r="BB158" i="14"/>
  <c r="AZ158" i="14"/>
  <c r="AW158" i="14"/>
  <c r="AV158" i="14"/>
  <c r="AT158" i="14"/>
  <c r="AG158" i="14"/>
  <c r="AE158" i="14"/>
  <c r="CJ158" i="14" s="1"/>
  <c r="W158" i="14"/>
  <c r="S158" i="14"/>
  <c r="O158" i="14"/>
  <c r="N158" i="14"/>
  <c r="CM158" i="14" s="1"/>
  <c r="K158" i="14"/>
  <c r="P158" i="14" s="1"/>
  <c r="A158" i="14"/>
  <c r="CZ157" i="14"/>
  <c r="CY157" i="14"/>
  <c r="CX157" i="14"/>
  <c r="CV157" i="14"/>
  <c r="CS157" i="14"/>
  <c r="CM157" i="14"/>
  <c r="CJ157" i="14"/>
  <c r="BI157" i="14"/>
  <c r="BB157" i="14"/>
  <c r="AZ157" i="14"/>
  <c r="AW157" i="14"/>
  <c r="AV157" i="14"/>
  <c r="AT157" i="14"/>
  <c r="AG157" i="14"/>
  <c r="AE157" i="14"/>
  <c r="CP157" i="14" s="1"/>
  <c r="W157" i="14"/>
  <c r="S157" i="14"/>
  <c r="O157" i="14"/>
  <c r="N157" i="14"/>
  <c r="X157" i="14" s="1"/>
  <c r="K157" i="14"/>
  <c r="P157" i="14" s="1"/>
  <c r="A157" i="14"/>
  <c r="CZ156" i="14"/>
  <c r="CY156" i="14"/>
  <c r="CX156" i="14"/>
  <c r="CS156" i="14"/>
  <c r="BI156" i="14"/>
  <c r="BB156" i="14"/>
  <c r="AZ156" i="14"/>
  <c r="AW156" i="14"/>
  <c r="AV156" i="14"/>
  <c r="AT156" i="14"/>
  <c r="AG156" i="14"/>
  <c r="W156" i="14" s="1"/>
  <c r="AE156" i="14"/>
  <c r="CV156" i="14" s="1"/>
  <c r="S156" i="14"/>
  <c r="P156" i="14"/>
  <c r="O156" i="14"/>
  <c r="N156" i="14"/>
  <c r="X156" i="14" s="1"/>
  <c r="K156" i="14"/>
  <c r="A156" i="14"/>
  <c r="CZ155" i="14"/>
  <c r="CY155" i="14"/>
  <c r="CX155" i="14"/>
  <c r="CS155" i="14"/>
  <c r="CP155" i="14"/>
  <c r="CJ155" i="14"/>
  <c r="BI155" i="14"/>
  <c r="BB155" i="14"/>
  <c r="AZ155" i="14"/>
  <c r="AW155" i="14"/>
  <c r="AV155" i="14"/>
  <c r="AT155" i="14"/>
  <c r="AG155" i="14"/>
  <c r="W155" i="14" s="1"/>
  <c r="AE155" i="14"/>
  <c r="CV155" i="14" s="1"/>
  <c r="X155" i="14"/>
  <c r="S155" i="14"/>
  <c r="O155" i="14"/>
  <c r="N155" i="14"/>
  <c r="CM155" i="14" s="1"/>
  <c r="K155" i="14"/>
  <c r="P155" i="14" s="1"/>
  <c r="A155" i="14"/>
  <c r="CZ154" i="14"/>
  <c r="CY154" i="14"/>
  <c r="CX154" i="14"/>
  <c r="CS154" i="14"/>
  <c r="BI154" i="14"/>
  <c r="BB154" i="14"/>
  <c r="AZ154" i="14"/>
  <c r="AW154" i="14"/>
  <c r="AV154" i="14"/>
  <c r="AT154" i="14"/>
  <c r="AG154" i="14"/>
  <c r="AE154" i="14"/>
  <c r="CV154" i="14" s="1"/>
  <c r="X154" i="14"/>
  <c r="W154" i="14"/>
  <c r="S154" i="14"/>
  <c r="P154" i="14"/>
  <c r="O154" i="14"/>
  <c r="N154" i="14"/>
  <c r="CM154" i="14" s="1"/>
  <c r="K154" i="14"/>
  <c r="A154" i="14"/>
  <c r="CZ153" i="14"/>
  <c r="CY153" i="14"/>
  <c r="CX153" i="14"/>
  <c r="CV153" i="14"/>
  <c r="CS153" i="14"/>
  <c r="CP153" i="14"/>
  <c r="CJ153" i="14"/>
  <c r="BI153" i="14"/>
  <c r="BB153" i="14"/>
  <c r="AZ153" i="14"/>
  <c r="AW153" i="14"/>
  <c r="AV153" i="14"/>
  <c r="AT153" i="14"/>
  <c r="AG153" i="14"/>
  <c r="AE153" i="14"/>
  <c r="W153" i="14"/>
  <c r="S153" i="14"/>
  <c r="O153" i="14"/>
  <c r="N153" i="14"/>
  <c r="CM153" i="14" s="1"/>
  <c r="K153" i="14"/>
  <c r="P153" i="14" s="1"/>
  <c r="A153" i="14"/>
  <c r="CZ152" i="14"/>
  <c r="CY152" i="14"/>
  <c r="CX152" i="14"/>
  <c r="CS152" i="14"/>
  <c r="CM152" i="14"/>
  <c r="BI152" i="14"/>
  <c r="BB152" i="14"/>
  <c r="AZ152" i="14"/>
  <c r="AW152" i="14"/>
  <c r="AV152" i="14"/>
  <c r="AT152" i="14"/>
  <c r="AG152" i="14"/>
  <c r="W152" i="14" s="1"/>
  <c r="AE152" i="14"/>
  <c r="CV152" i="14" s="1"/>
  <c r="S152" i="14"/>
  <c r="P152" i="14"/>
  <c r="O152" i="14"/>
  <c r="N152" i="14"/>
  <c r="X152" i="14" s="1"/>
  <c r="K152" i="14"/>
  <c r="A152" i="14"/>
  <c r="CZ151" i="14"/>
  <c r="CY151" i="14"/>
  <c r="CX151" i="14"/>
  <c r="CV151" i="14"/>
  <c r="CS151" i="14"/>
  <c r="CP151" i="14"/>
  <c r="CJ151" i="14"/>
  <c r="BI151" i="14"/>
  <c r="BB151" i="14"/>
  <c r="AZ151" i="14"/>
  <c r="AW151" i="14"/>
  <c r="AV151" i="14"/>
  <c r="AT151" i="14"/>
  <c r="AG151" i="14"/>
  <c r="W151" i="14" s="1"/>
  <c r="AE151" i="14"/>
  <c r="X151" i="14"/>
  <c r="S151" i="14"/>
  <c r="O151" i="14"/>
  <c r="N151" i="14"/>
  <c r="CM151" i="14" s="1"/>
  <c r="K151" i="14"/>
  <c r="P151" i="14" s="1"/>
  <c r="A151" i="14"/>
  <c r="CZ150" i="14"/>
  <c r="CY150" i="14"/>
  <c r="CX150" i="14"/>
  <c r="CS150" i="14"/>
  <c r="BI150" i="14"/>
  <c r="BB150" i="14"/>
  <c r="AZ150" i="14"/>
  <c r="AW150" i="14"/>
  <c r="AV150" i="14"/>
  <c r="AT150" i="14"/>
  <c r="AG150" i="14"/>
  <c r="AE150" i="14"/>
  <c r="X150" i="14"/>
  <c r="W150" i="14"/>
  <c r="S150" i="14"/>
  <c r="P150" i="14"/>
  <c r="O150" i="14"/>
  <c r="N150" i="14"/>
  <c r="CM150" i="14" s="1"/>
  <c r="K150" i="14"/>
  <c r="A150" i="14"/>
  <c r="CZ149" i="14"/>
  <c r="CY149" i="14"/>
  <c r="CX149" i="14"/>
  <c r="CV149" i="14"/>
  <c r="CS149" i="14"/>
  <c r="CP149" i="14"/>
  <c r="CJ149" i="14"/>
  <c r="BI149" i="14"/>
  <c r="BB149" i="14"/>
  <c r="AZ149" i="14"/>
  <c r="AW149" i="14"/>
  <c r="AV149" i="14"/>
  <c r="AT149" i="14"/>
  <c r="AG149" i="14"/>
  <c r="AE149" i="14"/>
  <c r="W149" i="14"/>
  <c r="S149" i="14"/>
  <c r="O149" i="14"/>
  <c r="N149" i="14"/>
  <c r="CM149" i="14" s="1"/>
  <c r="K149" i="14"/>
  <c r="P149" i="14" s="1"/>
  <c r="A149" i="14"/>
  <c r="CZ148" i="14"/>
  <c r="CY148" i="14"/>
  <c r="CX148" i="14"/>
  <c r="CS148" i="14"/>
  <c r="BI148" i="14"/>
  <c r="BB148" i="14"/>
  <c r="AZ148" i="14"/>
  <c r="AW148" i="14"/>
  <c r="AV148" i="14"/>
  <c r="AT148" i="14"/>
  <c r="AG148" i="14"/>
  <c r="W148" i="14" s="1"/>
  <c r="AE148" i="14"/>
  <c r="S148" i="14"/>
  <c r="P148" i="14"/>
  <c r="O148" i="14"/>
  <c r="N148" i="14"/>
  <c r="CM148" i="14" s="1"/>
  <c r="K148" i="14"/>
  <c r="A148" i="14"/>
  <c r="CZ147" i="14"/>
  <c r="CY147" i="14"/>
  <c r="CX147" i="14"/>
  <c r="CS147" i="14"/>
  <c r="CJ147" i="14"/>
  <c r="BI147" i="14"/>
  <c r="BB147" i="14"/>
  <c r="AZ147" i="14"/>
  <c r="AW147" i="14"/>
  <c r="AV147" i="14"/>
  <c r="AT147" i="14"/>
  <c r="AG147" i="14"/>
  <c r="AE147" i="14"/>
  <c r="CV147" i="14" s="1"/>
  <c r="W147" i="14"/>
  <c r="S147" i="14"/>
  <c r="O147" i="14"/>
  <c r="N147" i="14"/>
  <c r="CM147" i="14" s="1"/>
  <c r="K147" i="14"/>
  <c r="P147" i="14" s="1"/>
  <c r="A147" i="14"/>
  <c r="CZ146" i="14"/>
  <c r="CY146" i="14"/>
  <c r="CX146" i="14"/>
  <c r="CS146" i="14"/>
  <c r="BI146" i="14"/>
  <c r="BB146" i="14"/>
  <c r="AZ146" i="14"/>
  <c r="AW146" i="14"/>
  <c r="AV146" i="14"/>
  <c r="AT146" i="14"/>
  <c r="AG146" i="14"/>
  <c r="W146" i="14" s="1"/>
  <c r="AE146" i="14"/>
  <c r="CV146" i="14" s="1"/>
  <c r="X146" i="14"/>
  <c r="S146" i="14"/>
  <c r="P146" i="14"/>
  <c r="O146" i="14"/>
  <c r="N146" i="14"/>
  <c r="CM146" i="14" s="1"/>
  <c r="K146" i="14"/>
  <c r="A146" i="14"/>
  <c r="CZ145" i="14"/>
  <c r="CY145" i="14"/>
  <c r="CX145" i="14"/>
  <c r="CS145" i="14"/>
  <c r="BI145" i="14"/>
  <c r="BB145" i="14"/>
  <c r="AZ145" i="14"/>
  <c r="AW145" i="14"/>
  <c r="AV145" i="14"/>
  <c r="AT145" i="14"/>
  <c r="AG145" i="14"/>
  <c r="AE145" i="14"/>
  <c r="CV145" i="14" s="1"/>
  <c r="X145" i="14"/>
  <c r="W145" i="14"/>
  <c r="S145" i="14"/>
  <c r="O145" i="14"/>
  <c r="N145" i="14"/>
  <c r="CM145" i="14" s="1"/>
  <c r="K145" i="14"/>
  <c r="P145" i="14" s="1"/>
  <c r="A145" i="14"/>
  <c r="CZ144" i="14"/>
  <c r="CY144" i="14"/>
  <c r="CX144" i="14"/>
  <c r="CS144" i="14"/>
  <c r="CJ144" i="14"/>
  <c r="BI144" i="14"/>
  <c r="BB144" i="14"/>
  <c r="AZ144" i="14"/>
  <c r="AW144" i="14"/>
  <c r="AV144" i="14"/>
  <c r="AT144" i="14"/>
  <c r="AG144" i="14"/>
  <c r="AE144" i="14"/>
  <c r="CV144" i="14" s="1"/>
  <c r="W144" i="14"/>
  <c r="S144" i="14"/>
  <c r="O144" i="14"/>
  <c r="N144" i="14"/>
  <c r="CM144" i="14" s="1"/>
  <c r="K144" i="14"/>
  <c r="P144" i="14" s="1"/>
  <c r="A144" i="14"/>
  <c r="CZ143" i="14"/>
  <c r="CY143" i="14"/>
  <c r="CX143" i="14"/>
  <c r="CS143" i="14"/>
  <c r="BI143" i="14"/>
  <c r="BB143" i="14"/>
  <c r="AZ143" i="14"/>
  <c r="AW143" i="14"/>
  <c r="AV143" i="14"/>
  <c r="AT143" i="14"/>
  <c r="AG143" i="14"/>
  <c r="W143" i="14" s="1"/>
  <c r="AE143" i="14"/>
  <c r="CV143" i="14" s="1"/>
  <c r="S143" i="14"/>
  <c r="O143" i="14"/>
  <c r="N143" i="14"/>
  <c r="CM143" i="14" s="1"/>
  <c r="K143" i="14"/>
  <c r="P143" i="14" s="1"/>
  <c r="A143" i="14"/>
  <c r="CZ142" i="14"/>
  <c r="CY142" i="14"/>
  <c r="CX142" i="14"/>
  <c r="CS142" i="14"/>
  <c r="BI142" i="14"/>
  <c r="BB142" i="14"/>
  <c r="AZ142" i="14"/>
  <c r="AW142" i="14"/>
  <c r="AV142" i="14"/>
  <c r="AT142" i="14"/>
  <c r="AG142" i="14"/>
  <c r="W142" i="14" s="1"/>
  <c r="AE142" i="14"/>
  <c r="CV142" i="14" s="1"/>
  <c r="X142" i="14"/>
  <c r="S142" i="14"/>
  <c r="P142" i="14"/>
  <c r="O142" i="14"/>
  <c r="N142" i="14"/>
  <c r="CM142" i="14" s="1"/>
  <c r="K142" i="14"/>
  <c r="A142" i="14"/>
  <c r="CZ141" i="14"/>
  <c r="CY141" i="14"/>
  <c r="CX141" i="14"/>
  <c r="CV141" i="14"/>
  <c r="CS141" i="14"/>
  <c r="CP141" i="14"/>
  <c r="CJ141" i="14"/>
  <c r="BI141" i="14"/>
  <c r="BB141" i="14"/>
  <c r="AZ141" i="14"/>
  <c r="AW141" i="14"/>
  <c r="AV141" i="14"/>
  <c r="AT141" i="14"/>
  <c r="AG141" i="14"/>
  <c r="AE141" i="14"/>
  <c r="X141" i="14"/>
  <c r="W141" i="14"/>
  <c r="S141" i="14"/>
  <c r="O141" i="14"/>
  <c r="N141" i="14"/>
  <c r="CM141" i="14" s="1"/>
  <c r="K141" i="14"/>
  <c r="P141" i="14" s="1"/>
  <c r="A141" i="14"/>
  <c r="CZ140" i="14"/>
  <c r="CY140" i="14"/>
  <c r="CX140" i="14"/>
  <c r="CV140" i="14"/>
  <c r="CS140" i="14"/>
  <c r="CP140" i="14"/>
  <c r="CJ140" i="14"/>
  <c r="BI140" i="14"/>
  <c r="BB140" i="14"/>
  <c r="AZ140" i="14"/>
  <c r="AW140" i="14"/>
  <c r="AV140" i="14"/>
  <c r="AT140" i="14"/>
  <c r="AG140" i="14"/>
  <c r="AE140" i="14"/>
  <c r="W140" i="14"/>
  <c r="S140" i="14"/>
  <c r="O140" i="14"/>
  <c r="N140" i="14"/>
  <c r="CM140" i="14" s="1"/>
  <c r="K140" i="14"/>
  <c r="P140" i="14" s="1"/>
  <c r="A140" i="14"/>
  <c r="CZ139" i="14"/>
  <c r="CY139" i="14"/>
  <c r="CX139" i="14"/>
  <c r="CV139" i="14"/>
  <c r="CS139" i="14"/>
  <c r="CP139" i="14"/>
  <c r="CJ139" i="14"/>
  <c r="BI139" i="14"/>
  <c r="BB139" i="14"/>
  <c r="AZ139" i="14"/>
  <c r="AW139" i="14"/>
  <c r="AV139" i="14"/>
  <c r="AT139" i="14"/>
  <c r="AG139" i="14"/>
  <c r="W139" i="14" s="1"/>
  <c r="AE139" i="14"/>
  <c r="S139" i="14"/>
  <c r="O139" i="14"/>
  <c r="N139" i="14"/>
  <c r="CM139" i="14" s="1"/>
  <c r="K139" i="14"/>
  <c r="P139" i="14" s="1"/>
  <c r="A139" i="14"/>
  <c r="CZ138" i="14"/>
  <c r="CY138" i="14"/>
  <c r="CX138" i="14"/>
  <c r="CS138" i="14"/>
  <c r="BI138" i="14"/>
  <c r="BB138" i="14"/>
  <c r="AZ138" i="14"/>
  <c r="AW138" i="14"/>
  <c r="AV138" i="14"/>
  <c r="AT138" i="14"/>
  <c r="AG138" i="14"/>
  <c r="W138" i="14" s="1"/>
  <c r="AE138" i="14"/>
  <c r="CV138" i="14" s="1"/>
  <c r="X138" i="14"/>
  <c r="S138" i="14"/>
  <c r="P138" i="14"/>
  <c r="O138" i="14"/>
  <c r="N138" i="14"/>
  <c r="CM138" i="14" s="1"/>
  <c r="K138" i="14"/>
  <c r="A138" i="14"/>
  <c r="CZ137" i="14"/>
  <c r="CY137" i="14"/>
  <c r="CX137" i="14"/>
  <c r="CV137" i="14"/>
  <c r="CS137" i="14"/>
  <c r="CP137" i="14"/>
  <c r="CJ137" i="14"/>
  <c r="BI137" i="14"/>
  <c r="BB137" i="14"/>
  <c r="AZ137" i="14"/>
  <c r="AW137" i="14"/>
  <c r="AV137" i="14"/>
  <c r="AT137" i="14"/>
  <c r="AG137" i="14"/>
  <c r="AE137" i="14"/>
  <c r="X137" i="14"/>
  <c r="W137" i="14"/>
  <c r="S137" i="14"/>
  <c r="O137" i="14"/>
  <c r="N137" i="14"/>
  <c r="CM137" i="14" s="1"/>
  <c r="K137" i="14"/>
  <c r="P137" i="14" s="1"/>
  <c r="A137" i="14"/>
  <c r="CZ136" i="14"/>
  <c r="CY136" i="14"/>
  <c r="CX136" i="14"/>
  <c r="CV136" i="14"/>
  <c r="CS136" i="14"/>
  <c r="CP136" i="14"/>
  <c r="CJ136" i="14"/>
  <c r="BI136" i="14"/>
  <c r="BB136" i="14"/>
  <c r="AZ136" i="14"/>
  <c r="AW136" i="14"/>
  <c r="AV136" i="14"/>
  <c r="AT136" i="14"/>
  <c r="AG136" i="14"/>
  <c r="AE136" i="14"/>
  <c r="W136" i="14"/>
  <c r="S136" i="14"/>
  <c r="O136" i="14"/>
  <c r="N136" i="14"/>
  <c r="CM136" i="14" s="1"/>
  <c r="K136" i="14"/>
  <c r="P136" i="14" s="1"/>
  <c r="A136" i="14"/>
  <c r="CZ135" i="14"/>
  <c r="CY135" i="14"/>
  <c r="CX135" i="14"/>
  <c r="CV135" i="14"/>
  <c r="CS135" i="14"/>
  <c r="CP135" i="14"/>
  <c r="CM135" i="14"/>
  <c r="CJ135" i="14"/>
  <c r="BI135" i="14"/>
  <c r="BB135" i="14"/>
  <c r="AZ135" i="14"/>
  <c r="AW135" i="14"/>
  <c r="AV135" i="14"/>
  <c r="AT135" i="14"/>
  <c r="AG135" i="14"/>
  <c r="W135" i="14" s="1"/>
  <c r="AE135" i="14"/>
  <c r="S135" i="14"/>
  <c r="O135" i="14"/>
  <c r="N135" i="14"/>
  <c r="X135" i="14" s="1"/>
  <c r="K135" i="14"/>
  <c r="P135" i="14" s="1"/>
  <c r="A135" i="14"/>
  <c r="CZ134" i="14"/>
  <c r="CY134" i="14"/>
  <c r="CX134" i="14"/>
  <c r="CS134" i="14"/>
  <c r="BI134" i="14"/>
  <c r="BB134" i="14"/>
  <c r="AZ134" i="14"/>
  <c r="AW134" i="14"/>
  <c r="AV134" i="14"/>
  <c r="AT134" i="14"/>
  <c r="AG134" i="14"/>
  <c r="W134" i="14" s="1"/>
  <c r="AE134" i="14"/>
  <c r="X134" i="14"/>
  <c r="S134" i="14"/>
  <c r="P134" i="14"/>
  <c r="O134" i="14"/>
  <c r="N134" i="14"/>
  <c r="CM134" i="14" s="1"/>
  <c r="K134" i="14"/>
  <c r="A134" i="14"/>
  <c r="CZ133" i="14"/>
  <c r="CY133" i="14"/>
  <c r="CX133" i="14"/>
  <c r="CS133" i="14"/>
  <c r="BI133" i="14"/>
  <c r="BB133" i="14"/>
  <c r="AZ133" i="14"/>
  <c r="AW133" i="14"/>
  <c r="AV133" i="14"/>
  <c r="AT133" i="14"/>
  <c r="AG133" i="14"/>
  <c r="AE133" i="14"/>
  <c r="CJ133" i="14" s="1"/>
  <c r="X133" i="14"/>
  <c r="W133" i="14"/>
  <c r="S133" i="14"/>
  <c r="P133" i="14"/>
  <c r="O133" i="14"/>
  <c r="N133" i="14"/>
  <c r="CM133" i="14" s="1"/>
  <c r="K133" i="14"/>
  <c r="A133" i="14"/>
  <c r="CZ132" i="14"/>
  <c r="CY132" i="14"/>
  <c r="CX132" i="14"/>
  <c r="CS132" i="14"/>
  <c r="CM132" i="14"/>
  <c r="BI132" i="14"/>
  <c r="BB132" i="14"/>
  <c r="AZ132" i="14"/>
  <c r="AW132" i="14"/>
  <c r="AV132" i="14"/>
  <c r="AT132" i="14"/>
  <c r="AG132" i="14"/>
  <c r="W132" i="14" s="1"/>
  <c r="AE132" i="14"/>
  <c r="CJ132" i="14" s="1"/>
  <c r="X132" i="14"/>
  <c r="S132" i="14"/>
  <c r="P132" i="14"/>
  <c r="O132" i="14"/>
  <c r="N132" i="14"/>
  <c r="K132" i="14"/>
  <c r="A132" i="14"/>
  <c r="CZ131" i="14"/>
  <c r="CY131" i="14"/>
  <c r="CX131" i="14"/>
  <c r="CS131" i="14"/>
  <c r="BI131" i="14"/>
  <c r="BB131" i="14"/>
  <c r="AZ131" i="14"/>
  <c r="AW131" i="14"/>
  <c r="AV131" i="14"/>
  <c r="AT131" i="14"/>
  <c r="AG131" i="14"/>
  <c r="AE131" i="14"/>
  <c r="CV131" i="14" s="1"/>
  <c r="X131" i="14"/>
  <c r="W131" i="14"/>
  <c r="S131" i="14"/>
  <c r="O131" i="14"/>
  <c r="N131" i="14"/>
  <c r="CM131" i="14" s="1"/>
  <c r="K131" i="14"/>
  <c r="P131" i="14" s="1"/>
  <c r="A131" i="14"/>
  <c r="CZ130" i="14"/>
  <c r="CY130" i="14"/>
  <c r="CX130" i="14"/>
  <c r="CV130" i="14"/>
  <c r="CS130" i="14"/>
  <c r="CP130" i="14"/>
  <c r="CJ130" i="14"/>
  <c r="BI130" i="14"/>
  <c r="BB130" i="14"/>
  <c r="AZ130" i="14"/>
  <c r="AW130" i="14"/>
  <c r="AV130" i="14"/>
  <c r="AT130" i="14"/>
  <c r="AG130" i="14"/>
  <c r="AE130" i="14"/>
  <c r="W130" i="14"/>
  <c r="S130" i="14"/>
  <c r="O130" i="14"/>
  <c r="N130" i="14"/>
  <c r="CM130" i="14" s="1"/>
  <c r="K130" i="14"/>
  <c r="P130" i="14" s="1"/>
  <c r="A130" i="14"/>
  <c r="CZ129" i="14"/>
  <c r="CY129" i="14"/>
  <c r="CX129" i="14"/>
  <c r="CS129" i="14"/>
  <c r="BI129" i="14"/>
  <c r="BB129" i="14"/>
  <c r="AZ129" i="14"/>
  <c r="AW129" i="14"/>
  <c r="AV129" i="14"/>
  <c r="AT129" i="14"/>
  <c r="AG129" i="14"/>
  <c r="W129" i="14" s="1"/>
  <c r="AE129" i="14"/>
  <c r="CV129" i="14" s="1"/>
  <c r="S129" i="14"/>
  <c r="P129" i="14"/>
  <c r="O129" i="14"/>
  <c r="N129" i="14"/>
  <c r="CM129" i="14" s="1"/>
  <c r="K129" i="14"/>
  <c r="A129" i="14"/>
  <c r="CZ128" i="14"/>
  <c r="CY128" i="14"/>
  <c r="CX128" i="14"/>
  <c r="CS128" i="14"/>
  <c r="BI128" i="14"/>
  <c r="BB128" i="14"/>
  <c r="AZ128" i="14"/>
  <c r="AW128" i="14"/>
  <c r="AV128" i="14"/>
  <c r="AT128" i="14"/>
  <c r="AG128" i="14"/>
  <c r="W128" i="14" s="1"/>
  <c r="AE128" i="14"/>
  <c r="CV128" i="14" s="1"/>
  <c r="X128" i="14"/>
  <c r="S128" i="14"/>
  <c r="P128" i="14"/>
  <c r="O128" i="14"/>
  <c r="N128" i="14"/>
  <c r="CM128" i="14" s="1"/>
  <c r="K128" i="14"/>
  <c r="A128" i="14"/>
  <c r="CZ127" i="14"/>
  <c r="CY127" i="14"/>
  <c r="CX127" i="14"/>
  <c r="CV127" i="14"/>
  <c r="CS127" i="14"/>
  <c r="CP127" i="14"/>
  <c r="CJ127" i="14"/>
  <c r="BI127" i="14"/>
  <c r="BB127" i="14"/>
  <c r="AZ127" i="14"/>
  <c r="AW127" i="14"/>
  <c r="AV127" i="14"/>
  <c r="AT127" i="14"/>
  <c r="AG127" i="14"/>
  <c r="AE127" i="14"/>
  <c r="X127" i="14"/>
  <c r="W127" i="14"/>
  <c r="S127" i="14"/>
  <c r="O127" i="14"/>
  <c r="N127" i="14"/>
  <c r="CM127" i="14" s="1"/>
  <c r="K127" i="14"/>
  <c r="P127" i="14" s="1"/>
  <c r="A127" i="14"/>
  <c r="CZ126" i="14"/>
  <c r="CY126" i="14"/>
  <c r="CX126" i="14"/>
  <c r="CV126" i="14"/>
  <c r="CS126" i="14"/>
  <c r="CP126" i="14"/>
  <c r="CJ126" i="14"/>
  <c r="BI126" i="14"/>
  <c r="BB126" i="14"/>
  <c r="AZ126" i="14"/>
  <c r="AW126" i="14"/>
  <c r="AV126" i="14"/>
  <c r="AT126" i="14"/>
  <c r="AG126" i="14"/>
  <c r="AE126" i="14"/>
  <c r="W126" i="14"/>
  <c r="S126" i="14"/>
  <c r="O126" i="14"/>
  <c r="N126" i="14"/>
  <c r="CM126" i="14" s="1"/>
  <c r="K126" i="14"/>
  <c r="P126" i="14" s="1"/>
  <c r="A126" i="14"/>
  <c r="CZ125" i="14"/>
  <c r="CY125" i="14"/>
  <c r="CX125" i="14"/>
  <c r="CS125" i="14"/>
  <c r="BI125" i="14"/>
  <c r="BB125" i="14"/>
  <c r="AZ125" i="14"/>
  <c r="AW125" i="14"/>
  <c r="AV125" i="14"/>
  <c r="AT125" i="14"/>
  <c r="AG125" i="14"/>
  <c r="W125" i="14" s="1"/>
  <c r="AE125" i="14"/>
  <c r="CV125" i="14" s="1"/>
  <c r="S125" i="14"/>
  <c r="P125" i="14"/>
  <c r="O125" i="14"/>
  <c r="N125" i="14"/>
  <c r="CM125" i="14" s="1"/>
  <c r="K125" i="14"/>
  <c r="A125" i="14"/>
  <c r="CZ124" i="14"/>
  <c r="CY124" i="14"/>
  <c r="CX124" i="14"/>
  <c r="CS124" i="14"/>
  <c r="BI124" i="14"/>
  <c r="BB124" i="14"/>
  <c r="AZ124" i="14"/>
  <c r="AW124" i="14"/>
  <c r="AV124" i="14"/>
  <c r="AT124" i="14"/>
  <c r="AG124" i="14"/>
  <c r="W124" i="14" s="1"/>
  <c r="AE124" i="14"/>
  <c r="CV124" i="14" s="1"/>
  <c r="X124" i="14"/>
  <c r="S124" i="14"/>
  <c r="P124" i="14"/>
  <c r="O124" i="14"/>
  <c r="N124" i="14"/>
  <c r="CM124" i="14" s="1"/>
  <c r="K124" i="14"/>
  <c r="A124" i="14"/>
  <c r="CZ123" i="14"/>
  <c r="CY123" i="14"/>
  <c r="CX123" i="14"/>
  <c r="CV123" i="14"/>
  <c r="CS123" i="14"/>
  <c r="CP123" i="14"/>
  <c r="CJ123" i="14"/>
  <c r="BI123" i="14"/>
  <c r="BB123" i="14"/>
  <c r="AZ123" i="14"/>
  <c r="AW123" i="14"/>
  <c r="AV123" i="14"/>
  <c r="AT123" i="14"/>
  <c r="AG123" i="14"/>
  <c r="AE123" i="14"/>
  <c r="X123" i="14"/>
  <c r="W123" i="14"/>
  <c r="S123" i="14"/>
  <c r="O123" i="14"/>
  <c r="N123" i="14"/>
  <c r="CM123" i="14" s="1"/>
  <c r="K123" i="14"/>
  <c r="P123" i="14" s="1"/>
  <c r="A123" i="14"/>
  <c r="CZ122" i="14"/>
  <c r="CY122" i="14"/>
  <c r="CX122" i="14"/>
  <c r="CV122" i="14"/>
  <c r="CS122" i="14"/>
  <c r="CP122" i="14"/>
  <c r="CJ122" i="14"/>
  <c r="BI122" i="14"/>
  <c r="BB122" i="14"/>
  <c r="AZ122" i="14"/>
  <c r="AW122" i="14"/>
  <c r="AV122" i="14"/>
  <c r="AT122" i="14"/>
  <c r="AG122" i="14"/>
  <c r="AE122" i="14"/>
  <c r="W122" i="14"/>
  <c r="S122" i="14"/>
  <c r="O122" i="14"/>
  <c r="N122" i="14"/>
  <c r="CM122" i="14" s="1"/>
  <c r="K122" i="14"/>
  <c r="P122" i="14" s="1"/>
  <c r="A122" i="14"/>
  <c r="CZ121" i="14"/>
  <c r="CY121" i="14"/>
  <c r="CX121" i="14"/>
  <c r="CS121" i="14"/>
  <c r="BI121" i="14"/>
  <c r="BB121" i="14"/>
  <c r="AZ121" i="14"/>
  <c r="AW121" i="14"/>
  <c r="AV121" i="14"/>
  <c r="AT121" i="14"/>
  <c r="AG121" i="14"/>
  <c r="W121" i="14" s="1"/>
  <c r="AE121" i="14"/>
  <c r="CV121" i="14" s="1"/>
  <c r="S121" i="14"/>
  <c r="P121" i="14"/>
  <c r="O121" i="14"/>
  <c r="N121" i="14"/>
  <c r="CM121" i="14" s="1"/>
  <c r="K121" i="14"/>
  <c r="A121" i="14"/>
  <c r="CZ120" i="14"/>
  <c r="CY120" i="14"/>
  <c r="CX120" i="14"/>
  <c r="CS120" i="14"/>
  <c r="BI120" i="14"/>
  <c r="BB120" i="14"/>
  <c r="AZ120" i="14"/>
  <c r="AW120" i="14"/>
  <c r="AV120" i="14"/>
  <c r="AT120" i="14"/>
  <c r="AG120" i="14"/>
  <c r="W120" i="14" s="1"/>
  <c r="AE120" i="14"/>
  <c r="X120" i="14"/>
  <c r="S120" i="14"/>
  <c r="P120" i="14"/>
  <c r="O120" i="14"/>
  <c r="N120" i="14"/>
  <c r="CM120" i="14" s="1"/>
  <c r="K120" i="14"/>
  <c r="A120" i="14"/>
  <c r="CZ119" i="14"/>
  <c r="CY119" i="14"/>
  <c r="CX119" i="14"/>
  <c r="CS119" i="14"/>
  <c r="CJ119" i="14"/>
  <c r="BI119" i="14"/>
  <c r="BB119" i="14"/>
  <c r="AZ119" i="14"/>
  <c r="AW119" i="14"/>
  <c r="AV119" i="14"/>
  <c r="AT119" i="14"/>
  <c r="AG119" i="14"/>
  <c r="AE119" i="14"/>
  <c r="CP119" i="14" s="1"/>
  <c r="X119" i="14"/>
  <c r="W119" i="14"/>
  <c r="S119" i="14"/>
  <c r="O119" i="14"/>
  <c r="N119" i="14"/>
  <c r="CM119" i="14" s="1"/>
  <c r="K119" i="14"/>
  <c r="P119" i="14" s="1"/>
  <c r="A119" i="14"/>
  <c r="CZ118" i="14"/>
  <c r="CY118" i="14"/>
  <c r="CX118" i="14"/>
  <c r="CV118" i="14"/>
  <c r="CS118" i="14"/>
  <c r="CP118" i="14"/>
  <c r="CJ118" i="14"/>
  <c r="BI118" i="14"/>
  <c r="BB118" i="14"/>
  <c r="AZ118" i="14"/>
  <c r="AW118" i="14"/>
  <c r="AV118" i="14"/>
  <c r="AT118" i="14"/>
  <c r="AG118" i="14"/>
  <c r="AE118" i="14"/>
  <c r="W118" i="14"/>
  <c r="S118" i="14"/>
  <c r="O118" i="14"/>
  <c r="N118" i="14"/>
  <c r="X118" i="14" s="1"/>
  <c r="K118" i="14"/>
  <c r="P118" i="14" s="1"/>
  <c r="A118" i="14"/>
  <c r="CZ117" i="14"/>
  <c r="CY117" i="14"/>
  <c r="CX117" i="14"/>
  <c r="CS117" i="14"/>
  <c r="BI117" i="14"/>
  <c r="BB117" i="14"/>
  <c r="AZ117" i="14"/>
  <c r="AW117" i="14"/>
  <c r="AV117" i="14"/>
  <c r="AT117" i="14"/>
  <c r="AG117" i="14"/>
  <c r="W117" i="14" s="1"/>
  <c r="AE117" i="14"/>
  <c r="CV117" i="14" s="1"/>
  <c r="S117" i="14"/>
  <c r="P117" i="14"/>
  <c r="O117" i="14"/>
  <c r="N117" i="14"/>
  <c r="X117" i="14" s="1"/>
  <c r="K117" i="14"/>
  <c r="A117" i="14"/>
  <c r="CZ116" i="14"/>
  <c r="CY116" i="14"/>
  <c r="CX116" i="14"/>
  <c r="CS116" i="14"/>
  <c r="BI116" i="14"/>
  <c r="BB116" i="14"/>
  <c r="AZ116" i="14"/>
  <c r="AW116" i="14"/>
  <c r="AV116" i="14"/>
  <c r="AT116" i="14"/>
  <c r="AG116" i="14"/>
  <c r="W116" i="14" s="1"/>
  <c r="AE116" i="14"/>
  <c r="X116" i="14"/>
  <c r="S116" i="14"/>
  <c r="P116" i="14"/>
  <c r="O116" i="14"/>
  <c r="N116" i="14"/>
  <c r="CM116" i="14" s="1"/>
  <c r="K116" i="14"/>
  <c r="A116" i="14"/>
  <c r="CZ115" i="14"/>
  <c r="CY115" i="14"/>
  <c r="CX115" i="14"/>
  <c r="CV115" i="14"/>
  <c r="CS115" i="14"/>
  <c r="CP115" i="14"/>
  <c r="CJ115" i="14"/>
  <c r="BI115" i="14"/>
  <c r="BB115" i="14"/>
  <c r="AZ115" i="14"/>
  <c r="AW115" i="14"/>
  <c r="AV115" i="14"/>
  <c r="AT115" i="14"/>
  <c r="AG115" i="14"/>
  <c r="AE115" i="14"/>
  <c r="X115" i="14"/>
  <c r="W115" i="14"/>
  <c r="S115" i="14"/>
  <c r="O115" i="14"/>
  <c r="N115" i="14"/>
  <c r="CM115" i="14" s="1"/>
  <c r="K115" i="14"/>
  <c r="P115" i="14" s="1"/>
  <c r="A115" i="14"/>
  <c r="CZ114" i="14"/>
  <c r="CY114" i="14"/>
  <c r="CX114" i="14"/>
  <c r="CV114" i="14"/>
  <c r="CS114" i="14"/>
  <c r="CP114" i="14"/>
  <c r="CM114" i="14"/>
  <c r="CJ114" i="14"/>
  <c r="BI114" i="14"/>
  <c r="BB114" i="14"/>
  <c r="AZ114" i="14"/>
  <c r="AW114" i="14"/>
  <c r="AV114" i="14"/>
  <c r="AT114" i="14"/>
  <c r="AG114" i="14"/>
  <c r="AE114" i="14"/>
  <c r="W114" i="14"/>
  <c r="S114" i="14"/>
  <c r="O114" i="14"/>
  <c r="N114" i="14"/>
  <c r="X114" i="14" s="1"/>
  <c r="K114" i="14"/>
  <c r="P114" i="14" s="1"/>
  <c r="A114" i="14"/>
  <c r="CZ113" i="14"/>
  <c r="CY113" i="14"/>
  <c r="CX113" i="14"/>
  <c r="CS113" i="14"/>
  <c r="CM113" i="14"/>
  <c r="BI113" i="14"/>
  <c r="BB113" i="14"/>
  <c r="AZ113" i="14"/>
  <c r="AW113" i="14"/>
  <c r="AV113" i="14"/>
  <c r="AT113" i="14"/>
  <c r="AG113" i="14"/>
  <c r="W113" i="14" s="1"/>
  <c r="AE113" i="14"/>
  <c r="X113" i="14"/>
  <c r="S113" i="14"/>
  <c r="P113" i="14"/>
  <c r="O113" i="14"/>
  <c r="N113" i="14"/>
  <c r="K113" i="14"/>
  <c r="A113" i="14"/>
  <c r="CZ112" i="14"/>
  <c r="CY112" i="14"/>
  <c r="CX112" i="14"/>
  <c r="CV112" i="14"/>
  <c r="CS112" i="14"/>
  <c r="CP112" i="14"/>
  <c r="CJ112" i="14"/>
  <c r="BI112" i="14"/>
  <c r="BB112" i="14"/>
  <c r="AZ112" i="14"/>
  <c r="AW112" i="14"/>
  <c r="AV112" i="14"/>
  <c r="AT112" i="14"/>
  <c r="AG112" i="14"/>
  <c r="AE112" i="14"/>
  <c r="X112" i="14"/>
  <c r="W112" i="14"/>
  <c r="S112" i="14"/>
  <c r="O112" i="14"/>
  <c r="N112" i="14"/>
  <c r="CM112" i="14" s="1"/>
  <c r="K112" i="14"/>
  <c r="P112" i="14" s="1"/>
  <c r="A112" i="14"/>
  <c r="CZ111" i="14"/>
  <c r="CY111" i="14"/>
  <c r="CX111" i="14"/>
  <c r="CV111" i="14"/>
  <c r="CS111" i="14"/>
  <c r="CP111" i="14"/>
  <c r="CJ111" i="14"/>
  <c r="BI111" i="14"/>
  <c r="BB111" i="14"/>
  <c r="AZ111" i="14"/>
  <c r="AW111" i="14"/>
  <c r="AV111" i="14"/>
  <c r="AT111" i="14"/>
  <c r="AG111" i="14"/>
  <c r="AE111" i="14"/>
  <c r="W111" i="14"/>
  <c r="S111" i="14"/>
  <c r="O111" i="14"/>
  <c r="N111" i="14"/>
  <c r="CM111" i="14" s="1"/>
  <c r="K111" i="14"/>
  <c r="P111" i="14" s="1"/>
  <c r="A111" i="14"/>
  <c r="CZ110" i="14"/>
  <c r="CY110" i="14"/>
  <c r="CX110" i="14"/>
  <c r="CV110" i="14"/>
  <c r="CS110" i="14"/>
  <c r="CP110" i="14"/>
  <c r="CJ110" i="14"/>
  <c r="BI110" i="14"/>
  <c r="BB110" i="14"/>
  <c r="AZ110" i="14"/>
  <c r="AW110" i="14"/>
  <c r="AV110" i="14"/>
  <c r="AT110" i="14"/>
  <c r="AG110" i="14"/>
  <c r="W110" i="14" s="1"/>
  <c r="AE110" i="14"/>
  <c r="S110" i="14"/>
  <c r="O110" i="14"/>
  <c r="N110" i="14"/>
  <c r="CM110" i="14" s="1"/>
  <c r="K110" i="14"/>
  <c r="P110" i="14" s="1"/>
  <c r="A110" i="14"/>
  <c r="CZ109" i="14"/>
  <c r="CY109" i="14"/>
  <c r="CX109" i="14"/>
  <c r="CS109" i="14"/>
  <c r="BI109" i="14"/>
  <c r="BB109" i="14"/>
  <c r="AZ109" i="14"/>
  <c r="AW109" i="14"/>
  <c r="AV109" i="14"/>
  <c r="AT109" i="14"/>
  <c r="AG109" i="14"/>
  <c r="W109" i="14" s="1"/>
  <c r="AE109" i="14"/>
  <c r="CV109" i="14" s="1"/>
  <c r="X109" i="14"/>
  <c r="S109" i="14"/>
  <c r="P109" i="14"/>
  <c r="O109" i="14"/>
  <c r="N109" i="14"/>
  <c r="CM109" i="14" s="1"/>
  <c r="K109" i="14"/>
  <c r="A109" i="14"/>
  <c r="CZ108" i="14"/>
  <c r="CY108" i="14"/>
  <c r="CX108" i="14"/>
  <c r="CV108" i="14"/>
  <c r="CS108" i="14"/>
  <c r="CP108" i="14"/>
  <c r="CJ108" i="14"/>
  <c r="BI108" i="14"/>
  <c r="BB108" i="14"/>
  <c r="AZ108" i="14"/>
  <c r="AW108" i="14"/>
  <c r="AV108" i="14"/>
  <c r="AT108" i="14"/>
  <c r="AG108" i="14"/>
  <c r="AE108" i="14"/>
  <c r="X108" i="14"/>
  <c r="W108" i="14"/>
  <c r="S108" i="14"/>
  <c r="O108" i="14"/>
  <c r="N108" i="14"/>
  <c r="CM108" i="14" s="1"/>
  <c r="K108" i="14"/>
  <c r="P108" i="14" s="1"/>
  <c r="A108" i="14"/>
  <c r="CZ107" i="14"/>
  <c r="CY107" i="14"/>
  <c r="CX107" i="14"/>
  <c r="CV107" i="14"/>
  <c r="CS107" i="14"/>
  <c r="CP107" i="14"/>
  <c r="CJ107" i="14"/>
  <c r="BI107" i="14"/>
  <c r="BB107" i="14"/>
  <c r="AZ107" i="14"/>
  <c r="AW107" i="14"/>
  <c r="AV107" i="14"/>
  <c r="AT107" i="14"/>
  <c r="AG107" i="14"/>
  <c r="AE107" i="14"/>
  <c r="W107" i="14"/>
  <c r="S107" i="14"/>
  <c r="O107" i="14"/>
  <c r="N107" i="14"/>
  <c r="CM107" i="14" s="1"/>
  <c r="K107" i="14"/>
  <c r="P107" i="14" s="1"/>
  <c r="A107" i="14"/>
  <c r="CZ106" i="14"/>
  <c r="CY106" i="14"/>
  <c r="CX106" i="14"/>
  <c r="CV106" i="14"/>
  <c r="CS106" i="14"/>
  <c r="CP106" i="14"/>
  <c r="CJ106" i="14"/>
  <c r="BI106" i="14"/>
  <c r="BB106" i="14"/>
  <c r="AZ106" i="14"/>
  <c r="AW106" i="14"/>
  <c r="AV106" i="14"/>
  <c r="AT106" i="14"/>
  <c r="AG106" i="14"/>
  <c r="W106" i="14" s="1"/>
  <c r="AE106" i="14"/>
  <c r="S106" i="14"/>
  <c r="O106" i="14"/>
  <c r="N106" i="14"/>
  <c r="CM106" i="14" s="1"/>
  <c r="K106" i="14"/>
  <c r="P106" i="14" s="1"/>
  <c r="A106" i="14"/>
  <c r="CZ105" i="14"/>
  <c r="CY105" i="14"/>
  <c r="CX105" i="14"/>
  <c r="CS105" i="14"/>
  <c r="BI105" i="14"/>
  <c r="BB105" i="14"/>
  <c r="AZ105" i="14"/>
  <c r="AW105" i="14"/>
  <c r="AV105" i="14"/>
  <c r="AT105" i="14"/>
  <c r="AG105" i="14"/>
  <c r="W105" i="14" s="1"/>
  <c r="AE105" i="14"/>
  <c r="CV105" i="14" s="1"/>
  <c r="X105" i="14"/>
  <c r="S105" i="14"/>
  <c r="P105" i="14"/>
  <c r="O105" i="14"/>
  <c r="N105" i="14"/>
  <c r="CM105" i="14" s="1"/>
  <c r="K105" i="14"/>
  <c r="A105" i="14"/>
  <c r="CZ104" i="14"/>
  <c r="CY104" i="14"/>
  <c r="CX104" i="14"/>
  <c r="CV104" i="14"/>
  <c r="CS104" i="14"/>
  <c r="CP104" i="14"/>
  <c r="CJ104" i="14"/>
  <c r="BI104" i="14"/>
  <c r="BB104" i="14"/>
  <c r="AZ104" i="14"/>
  <c r="AW104" i="14"/>
  <c r="AV104" i="14"/>
  <c r="AT104" i="14"/>
  <c r="AG104" i="14"/>
  <c r="AE104" i="14"/>
  <c r="X104" i="14"/>
  <c r="W104" i="14"/>
  <c r="S104" i="14"/>
  <c r="O104" i="14"/>
  <c r="N104" i="14"/>
  <c r="CM104" i="14" s="1"/>
  <c r="K104" i="14"/>
  <c r="P104" i="14" s="1"/>
  <c r="A104" i="14"/>
  <c r="CZ103" i="14"/>
  <c r="CY103" i="14"/>
  <c r="CX103" i="14"/>
  <c r="CV103" i="14"/>
  <c r="CS103" i="14"/>
  <c r="CP103" i="14"/>
  <c r="CJ103" i="14"/>
  <c r="BI103" i="14"/>
  <c r="BB103" i="14"/>
  <c r="AZ103" i="14"/>
  <c r="AW103" i="14"/>
  <c r="AV103" i="14"/>
  <c r="AT103" i="14"/>
  <c r="AG103" i="14"/>
  <c r="AE103" i="14"/>
  <c r="W103" i="14"/>
  <c r="S103" i="14"/>
  <c r="O103" i="14"/>
  <c r="N103" i="14"/>
  <c r="CM103" i="14" s="1"/>
  <c r="K103" i="14"/>
  <c r="P103" i="14" s="1"/>
  <c r="A103" i="14"/>
  <c r="CZ102" i="14"/>
  <c r="CY102" i="14"/>
  <c r="CX102" i="14"/>
  <c r="CV102" i="14"/>
  <c r="CS102" i="14"/>
  <c r="CP102" i="14"/>
  <c r="CJ102" i="14"/>
  <c r="BI102" i="14"/>
  <c r="BB102" i="14"/>
  <c r="AZ102" i="14"/>
  <c r="AW102" i="14"/>
  <c r="AV102" i="14"/>
  <c r="AT102" i="14"/>
  <c r="AG102" i="14"/>
  <c r="W102" i="14" s="1"/>
  <c r="AE102" i="14"/>
  <c r="S102" i="14"/>
  <c r="O102" i="14"/>
  <c r="N102" i="14"/>
  <c r="CM102" i="14" s="1"/>
  <c r="K102" i="14"/>
  <c r="P102" i="14" s="1"/>
  <c r="A102" i="14"/>
  <c r="CZ101" i="14"/>
  <c r="CY101" i="14"/>
  <c r="CX101" i="14"/>
  <c r="CS101" i="14"/>
  <c r="BI101" i="14"/>
  <c r="BB101" i="14"/>
  <c r="AZ101" i="14"/>
  <c r="AW101" i="14"/>
  <c r="AV101" i="14"/>
  <c r="AT101" i="14"/>
  <c r="AG101" i="14"/>
  <c r="W101" i="14" s="1"/>
  <c r="AE101" i="14"/>
  <c r="CV101" i="14" s="1"/>
  <c r="X101" i="14"/>
  <c r="S101" i="14"/>
  <c r="P101" i="14"/>
  <c r="O101" i="14"/>
  <c r="N101" i="14"/>
  <c r="CM101" i="14" s="1"/>
  <c r="K101" i="14"/>
  <c r="A101" i="14"/>
  <c r="CZ100" i="14"/>
  <c r="CY100" i="14"/>
  <c r="CX100" i="14"/>
  <c r="CV100" i="14"/>
  <c r="CS100" i="14"/>
  <c r="CP100" i="14"/>
  <c r="CJ100" i="14"/>
  <c r="BI100" i="14"/>
  <c r="BB100" i="14"/>
  <c r="AZ100" i="14"/>
  <c r="AW100" i="14"/>
  <c r="AV100" i="14"/>
  <c r="AT100" i="14"/>
  <c r="AG100" i="14"/>
  <c r="AE100" i="14"/>
  <c r="X100" i="14"/>
  <c r="W100" i="14"/>
  <c r="S100" i="14"/>
  <c r="O100" i="14"/>
  <c r="N100" i="14"/>
  <c r="CM100" i="14" s="1"/>
  <c r="K100" i="14"/>
  <c r="P100" i="14" s="1"/>
  <c r="A100" i="14"/>
  <c r="CZ99" i="14"/>
  <c r="CY99" i="14"/>
  <c r="CX99" i="14"/>
  <c r="CV99" i="14"/>
  <c r="CS99" i="14"/>
  <c r="CP99" i="14"/>
  <c r="CJ99" i="14"/>
  <c r="BI99" i="14"/>
  <c r="BB99" i="14"/>
  <c r="AZ99" i="14"/>
  <c r="AW99" i="14"/>
  <c r="AV99" i="14"/>
  <c r="AT99" i="14"/>
  <c r="AG99" i="14"/>
  <c r="AE99" i="14"/>
  <c r="W99" i="14"/>
  <c r="S99" i="14"/>
  <c r="O99" i="14"/>
  <c r="N99" i="14"/>
  <c r="X99" i="14" s="1"/>
  <c r="K99" i="14"/>
  <c r="P99" i="14" s="1"/>
  <c r="A99" i="14"/>
  <c r="CZ98" i="14"/>
  <c r="CY98" i="14"/>
  <c r="CX98" i="14"/>
  <c r="CV98" i="14"/>
  <c r="CS98" i="14"/>
  <c r="CP98" i="14"/>
  <c r="CJ98" i="14"/>
  <c r="BI98" i="14"/>
  <c r="BB98" i="14"/>
  <c r="AZ98" i="14"/>
  <c r="AW98" i="14"/>
  <c r="AV98" i="14"/>
  <c r="AT98" i="14"/>
  <c r="AG98" i="14"/>
  <c r="W98" i="14" s="1"/>
  <c r="AE98" i="14"/>
  <c r="S98" i="14"/>
  <c r="O98" i="14"/>
  <c r="N98" i="14"/>
  <c r="CM98" i="14" s="1"/>
  <c r="K98" i="14"/>
  <c r="P98" i="14" s="1"/>
  <c r="A98" i="14"/>
  <c r="CZ97" i="14"/>
  <c r="CY97" i="14"/>
  <c r="CX97" i="14"/>
  <c r="CS97" i="14"/>
  <c r="BI97" i="14"/>
  <c r="BB97" i="14"/>
  <c r="AZ97" i="14"/>
  <c r="AW97" i="14"/>
  <c r="AV97" i="14"/>
  <c r="AT97" i="14"/>
  <c r="AG97" i="14"/>
  <c r="W97" i="14" s="1"/>
  <c r="AE97" i="14"/>
  <c r="X97" i="14"/>
  <c r="S97" i="14"/>
  <c r="P97" i="14"/>
  <c r="O97" i="14"/>
  <c r="N97" i="14"/>
  <c r="CM97" i="14" s="1"/>
  <c r="K97" i="14"/>
  <c r="A97" i="14"/>
  <c r="CZ96" i="14"/>
  <c r="CY96" i="14"/>
  <c r="CX96" i="14"/>
  <c r="CV96" i="14"/>
  <c r="CS96" i="14"/>
  <c r="CP96" i="14"/>
  <c r="CJ96" i="14"/>
  <c r="BI96" i="14"/>
  <c r="BB96" i="14"/>
  <c r="AZ96" i="14"/>
  <c r="AW96" i="14"/>
  <c r="AV96" i="14"/>
  <c r="AT96" i="14"/>
  <c r="AG96" i="14"/>
  <c r="AE96" i="14"/>
  <c r="X96" i="14"/>
  <c r="W96" i="14"/>
  <c r="S96" i="14"/>
  <c r="O96" i="14"/>
  <c r="N96" i="14"/>
  <c r="CM96" i="14" s="1"/>
  <c r="K96" i="14"/>
  <c r="P96" i="14" s="1"/>
  <c r="A96" i="14"/>
  <c r="CZ95" i="14"/>
  <c r="CY95" i="14"/>
  <c r="CX95" i="14"/>
  <c r="CV95" i="14"/>
  <c r="CS95" i="14"/>
  <c r="CP95" i="14"/>
  <c r="CM95" i="14"/>
  <c r="CJ95" i="14"/>
  <c r="BI95" i="14"/>
  <c r="BB95" i="14"/>
  <c r="AZ95" i="14"/>
  <c r="AW95" i="14"/>
  <c r="AV95" i="14"/>
  <c r="AT95" i="14"/>
  <c r="AG95" i="14"/>
  <c r="AE95" i="14"/>
  <c r="W95" i="14"/>
  <c r="S95" i="14"/>
  <c r="O95" i="14"/>
  <c r="N95" i="14"/>
  <c r="X95" i="14" s="1"/>
  <c r="K95" i="14"/>
  <c r="P95" i="14" s="1"/>
  <c r="A95" i="14"/>
  <c r="CZ94" i="14"/>
  <c r="CY94" i="14"/>
  <c r="CX94" i="14"/>
  <c r="CV94" i="14"/>
  <c r="CS94" i="14"/>
  <c r="CP94" i="14"/>
  <c r="CJ94" i="14"/>
  <c r="BI94" i="14"/>
  <c r="BB94" i="14"/>
  <c r="AZ94" i="14"/>
  <c r="AW94" i="14"/>
  <c r="AV94" i="14"/>
  <c r="AT94" i="14"/>
  <c r="AG94" i="14"/>
  <c r="W94" i="14" s="1"/>
  <c r="AE94" i="14"/>
  <c r="S94" i="14"/>
  <c r="O94" i="14"/>
  <c r="N94" i="14"/>
  <c r="X94" i="14" s="1"/>
  <c r="K94" i="14"/>
  <c r="P94" i="14" s="1"/>
  <c r="A94" i="14"/>
  <c r="CZ93" i="14"/>
  <c r="CY93" i="14"/>
  <c r="CX93" i="14"/>
  <c r="CS93" i="14"/>
  <c r="BI93" i="14"/>
  <c r="BB93" i="14"/>
  <c r="AZ93" i="14"/>
  <c r="AW93" i="14"/>
  <c r="AV93" i="14"/>
  <c r="AT93" i="14"/>
  <c r="AG93" i="14"/>
  <c r="W93" i="14" s="1"/>
  <c r="AE93" i="14"/>
  <c r="S93" i="14"/>
  <c r="P93" i="14"/>
  <c r="O93" i="14"/>
  <c r="N93" i="14"/>
  <c r="X93" i="14" s="1"/>
  <c r="K93" i="14"/>
  <c r="A93" i="14"/>
  <c r="CZ92" i="14"/>
  <c r="CY92" i="14"/>
  <c r="CX92" i="14"/>
  <c r="CV92" i="14"/>
  <c r="CS92" i="14"/>
  <c r="CP92" i="14"/>
  <c r="BI92" i="14"/>
  <c r="BB92" i="14"/>
  <c r="AZ92" i="14"/>
  <c r="AW92" i="14"/>
  <c r="AV92" i="14"/>
  <c r="AT92" i="14"/>
  <c r="AG92" i="14"/>
  <c r="W92" i="14" s="1"/>
  <c r="AE92" i="14"/>
  <c r="CJ92" i="14" s="1"/>
  <c r="X92" i="14"/>
  <c r="S92" i="14"/>
  <c r="O92" i="14"/>
  <c r="N92" i="14"/>
  <c r="CM92" i="14" s="1"/>
  <c r="K92" i="14"/>
  <c r="P92" i="14" s="1"/>
  <c r="A92" i="14"/>
  <c r="CZ91" i="14"/>
  <c r="CY91" i="14"/>
  <c r="CX91" i="14"/>
  <c r="CV91" i="14"/>
  <c r="CS91" i="14"/>
  <c r="CP91" i="14"/>
  <c r="BI91" i="14"/>
  <c r="BB91" i="14"/>
  <c r="AZ91" i="14"/>
  <c r="AW91" i="14"/>
  <c r="AV91" i="14"/>
  <c r="AT91" i="14"/>
  <c r="AG91" i="14"/>
  <c r="AE91" i="14"/>
  <c r="CJ91" i="14" s="1"/>
  <c r="W91" i="14"/>
  <c r="S91" i="14"/>
  <c r="O91" i="14"/>
  <c r="N91" i="14"/>
  <c r="CM91" i="14" s="1"/>
  <c r="K91" i="14"/>
  <c r="P91" i="14" s="1"/>
  <c r="A91" i="14"/>
  <c r="CZ90" i="14"/>
  <c r="CY90" i="14"/>
  <c r="CX90" i="14"/>
  <c r="CV90" i="14"/>
  <c r="CS90" i="14"/>
  <c r="CM90" i="14"/>
  <c r="CJ90" i="14"/>
  <c r="BI90" i="14"/>
  <c r="BB90" i="14"/>
  <c r="AZ90" i="14"/>
  <c r="AW90" i="14"/>
  <c r="AV90" i="14"/>
  <c r="AT90" i="14"/>
  <c r="AG90" i="14"/>
  <c r="AE90" i="14"/>
  <c r="CP90" i="14" s="1"/>
  <c r="W90" i="14"/>
  <c r="S90" i="14"/>
  <c r="O90" i="14"/>
  <c r="N90" i="14"/>
  <c r="X90" i="14" s="1"/>
  <c r="K90" i="14"/>
  <c r="P90" i="14" s="1"/>
  <c r="A90" i="14"/>
  <c r="CZ89" i="14"/>
  <c r="CY89" i="14"/>
  <c r="CX89" i="14"/>
  <c r="CS89" i="14"/>
  <c r="BI89" i="14"/>
  <c r="BB89" i="14"/>
  <c r="AZ89" i="14"/>
  <c r="AW89" i="14"/>
  <c r="AV89" i="14"/>
  <c r="AT89" i="14"/>
  <c r="AG89" i="14"/>
  <c r="W89" i="14" s="1"/>
  <c r="AE89" i="14"/>
  <c r="CV89" i="14" s="1"/>
  <c r="S89" i="14"/>
  <c r="P89" i="14"/>
  <c r="O89" i="14"/>
  <c r="N89" i="14"/>
  <c r="CM89" i="14" s="1"/>
  <c r="K89" i="14"/>
  <c r="A89" i="14"/>
  <c r="CZ88" i="14"/>
  <c r="CY88" i="14"/>
  <c r="CX88" i="14"/>
  <c r="CS88" i="14"/>
  <c r="BI88" i="14"/>
  <c r="BB88" i="14"/>
  <c r="AZ88" i="14"/>
  <c r="AW88" i="14"/>
  <c r="AV88" i="14"/>
  <c r="AT88" i="14"/>
  <c r="AG88" i="14"/>
  <c r="W88" i="14" s="1"/>
  <c r="AE88" i="14"/>
  <c r="CV88" i="14" s="1"/>
  <c r="X88" i="14"/>
  <c r="S88" i="14"/>
  <c r="P88" i="14"/>
  <c r="O88" i="14"/>
  <c r="N88" i="14"/>
  <c r="CM88" i="14" s="1"/>
  <c r="K88" i="14"/>
  <c r="A88" i="14"/>
  <c r="CZ87" i="14"/>
  <c r="CY87" i="14"/>
  <c r="CX87" i="14"/>
  <c r="CS87" i="14"/>
  <c r="BI87" i="14"/>
  <c r="BB87" i="14"/>
  <c r="AZ87" i="14"/>
  <c r="AW87" i="14"/>
  <c r="AV87" i="14"/>
  <c r="AT87" i="14"/>
  <c r="AG87" i="14"/>
  <c r="AE87" i="14"/>
  <c r="CV87" i="14" s="1"/>
  <c r="X87" i="14"/>
  <c r="W87" i="14"/>
  <c r="S87" i="14"/>
  <c r="P87" i="14"/>
  <c r="O87" i="14"/>
  <c r="N87" i="14"/>
  <c r="CM87" i="14" s="1"/>
  <c r="K87" i="14"/>
  <c r="A87" i="14"/>
  <c r="CZ86" i="14"/>
  <c r="CY86" i="14"/>
  <c r="CX86" i="14"/>
  <c r="CV86" i="14"/>
  <c r="CS86" i="14"/>
  <c r="CP86" i="14"/>
  <c r="CJ86" i="14"/>
  <c r="BI86" i="14"/>
  <c r="BB86" i="14"/>
  <c r="AZ86" i="14"/>
  <c r="AW86" i="14"/>
  <c r="AV86" i="14"/>
  <c r="AT86" i="14"/>
  <c r="AG86" i="14"/>
  <c r="AE86" i="14"/>
  <c r="W86" i="14"/>
  <c r="S86" i="14"/>
  <c r="O86" i="14"/>
  <c r="N86" i="14"/>
  <c r="CM86" i="14" s="1"/>
  <c r="K86" i="14"/>
  <c r="P86" i="14" s="1"/>
  <c r="A86" i="14"/>
  <c r="CZ85" i="14"/>
  <c r="CY85" i="14"/>
  <c r="CX85" i="14"/>
  <c r="CS85" i="14"/>
  <c r="BI85" i="14"/>
  <c r="BB85" i="14"/>
  <c r="AZ85" i="14"/>
  <c r="AW85" i="14"/>
  <c r="AV85" i="14"/>
  <c r="AT85" i="14"/>
  <c r="AG85" i="14"/>
  <c r="W85" i="14" s="1"/>
  <c r="AE85" i="14"/>
  <c r="CV85" i="14" s="1"/>
  <c r="S85" i="14"/>
  <c r="P85" i="14"/>
  <c r="O85" i="14"/>
  <c r="N85" i="14"/>
  <c r="CM85" i="14" s="1"/>
  <c r="K85" i="14"/>
  <c r="A85" i="14"/>
  <c r="CZ84" i="14"/>
  <c r="CY84" i="14"/>
  <c r="CX84" i="14"/>
  <c r="CS84" i="14"/>
  <c r="BI84" i="14"/>
  <c r="BB84" i="14"/>
  <c r="AZ84" i="14"/>
  <c r="AW84" i="14"/>
  <c r="AV84" i="14"/>
  <c r="AT84" i="14"/>
  <c r="AG84" i="14"/>
  <c r="W84" i="14" s="1"/>
  <c r="AE84" i="14"/>
  <c r="CV84" i="14" s="1"/>
  <c r="X84" i="14"/>
  <c r="S84" i="14"/>
  <c r="O84" i="14"/>
  <c r="N84" i="14"/>
  <c r="CM84" i="14" s="1"/>
  <c r="K84" i="14"/>
  <c r="P84" i="14" s="1"/>
  <c r="A84" i="14"/>
  <c r="CZ83" i="14"/>
  <c r="CY83" i="14"/>
  <c r="CX83" i="14"/>
  <c r="CS83" i="14"/>
  <c r="BI83" i="14"/>
  <c r="BB83" i="14"/>
  <c r="AZ83" i="14"/>
  <c r="AW83" i="14"/>
  <c r="AV83" i="14"/>
  <c r="AT83" i="14"/>
  <c r="AG83" i="14"/>
  <c r="AE83" i="14"/>
  <c r="CV83" i="14" s="1"/>
  <c r="X83" i="14"/>
  <c r="W83" i="14"/>
  <c r="S83" i="14"/>
  <c r="P83" i="14"/>
  <c r="O83" i="14"/>
  <c r="N83" i="14"/>
  <c r="CM83" i="14" s="1"/>
  <c r="K83" i="14"/>
  <c r="A83" i="14"/>
  <c r="CZ82" i="14"/>
  <c r="CY82" i="14"/>
  <c r="CX82" i="14"/>
  <c r="CV82" i="14"/>
  <c r="CS82" i="14"/>
  <c r="CP82" i="14"/>
  <c r="CJ82" i="14"/>
  <c r="BI82" i="14"/>
  <c r="BB82" i="14"/>
  <c r="AZ82" i="14"/>
  <c r="AW82" i="14"/>
  <c r="AV82" i="14"/>
  <c r="AT82" i="14"/>
  <c r="AG82" i="14"/>
  <c r="AE82" i="14"/>
  <c r="W82" i="14"/>
  <c r="S82" i="14"/>
  <c r="O82" i="14"/>
  <c r="N82" i="14"/>
  <c r="CM82" i="14" s="1"/>
  <c r="K82" i="14"/>
  <c r="P82" i="14" s="1"/>
  <c r="A82" i="14"/>
  <c r="CZ81" i="14"/>
  <c r="CY81" i="14"/>
  <c r="CX81" i="14"/>
  <c r="CS81" i="14"/>
  <c r="BI81" i="14"/>
  <c r="BB81" i="14"/>
  <c r="AZ81" i="14"/>
  <c r="AW81" i="14"/>
  <c r="AV81" i="14"/>
  <c r="AT81" i="14"/>
  <c r="AG81" i="14"/>
  <c r="W81" i="14" s="1"/>
  <c r="AE81" i="14"/>
  <c r="CV81" i="14" s="1"/>
  <c r="S81" i="14"/>
  <c r="P81" i="14"/>
  <c r="O81" i="14"/>
  <c r="N81" i="14"/>
  <c r="CM81" i="14" s="1"/>
  <c r="K81" i="14"/>
  <c r="A81" i="14"/>
  <c r="CZ80" i="14"/>
  <c r="CY80" i="14"/>
  <c r="CX80" i="14"/>
  <c r="CV80" i="14"/>
  <c r="CS80" i="14"/>
  <c r="CP80" i="14"/>
  <c r="CJ80" i="14"/>
  <c r="BI80" i="14"/>
  <c r="BB80" i="14"/>
  <c r="AZ80" i="14"/>
  <c r="AW80" i="14"/>
  <c r="AV80" i="14"/>
  <c r="AT80" i="14"/>
  <c r="AG80" i="14"/>
  <c r="W80" i="14" s="1"/>
  <c r="AE80" i="14"/>
  <c r="X80" i="14"/>
  <c r="S80" i="14"/>
  <c r="O80" i="14"/>
  <c r="N80" i="14"/>
  <c r="CM80" i="14" s="1"/>
  <c r="K80" i="14"/>
  <c r="P80" i="14" s="1"/>
  <c r="A80" i="14"/>
  <c r="CZ79" i="14"/>
  <c r="CY79" i="14"/>
  <c r="CX79" i="14"/>
  <c r="CS79" i="14"/>
  <c r="BI79" i="14"/>
  <c r="BB79" i="14"/>
  <c r="AZ79" i="14"/>
  <c r="AW79" i="14"/>
  <c r="AV79" i="14"/>
  <c r="AT79" i="14"/>
  <c r="AG79" i="14"/>
  <c r="AE79" i="14"/>
  <c r="CV79" i="14" s="1"/>
  <c r="X79" i="14"/>
  <c r="W79" i="14"/>
  <c r="S79" i="14"/>
  <c r="P79" i="14"/>
  <c r="O79" i="14"/>
  <c r="N79" i="14"/>
  <c r="CM79" i="14" s="1"/>
  <c r="K79" i="14"/>
  <c r="A79" i="14"/>
  <c r="CZ78" i="14"/>
  <c r="CY78" i="14"/>
  <c r="CX78" i="14"/>
  <c r="CV78" i="14"/>
  <c r="CS78" i="14"/>
  <c r="CP78" i="14"/>
  <c r="CJ78" i="14"/>
  <c r="BI78" i="14"/>
  <c r="BB78" i="14"/>
  <c r="AZ78" i="14"/>
  <c r="AW78" i="14"/>
  <c r="AV78" i="14"/>
  <c r="AT78" i="14"/>
  <c r="AG78" i="14"/>
  <c r="AE78" i="14"/>
  <c r="W78" i="14"/>
  <c r="S78" i="14"/>
  <c r="O78" i="14"/>
  <c r="N78" i="14"/>
  <c r="CM78" i="14" s="1"/>
  <c r="K78" i="14"/>
  <c r="P78" i="14" s="1"/>
  <c r="A78" i="14"/>
  <c r="CZ77" i="14"/>
  <c r="CY77" i="14"/>
  <c r="CX77" i="14"/>
  <c r="CS77" i="14"/>
  <c r="BI77" i="14"/>
  <c r="BB77" i="14"/>
  <c r="AZ77" i="14"/>
  <c r="AW77" i="14"/>
  <c r="AV77" i="14"/>
  <c r="AT77" i="14"/>
  <c r="AG77" i="14"/>
  <c r="W77" i="14" s="1"/>
  <c r="AE77" i="14"/>
  <c r="CV77" i="14" s="1"/>
  <c r="S77" i="14"/>
  <c r="P77" i="14"/>
  <c r="O77" i="14"/>
  <c r="N77" i="14"/>
  <c r="X77" i="14" s="1"/>
  <c r="K77" i="14"/>
  <c r="A77" i="14"/>
  <c r="CZ76" i="14"/>
  <c r="CY76" i="14"/>
  <c r="CX76" i="14"/>
  <c r="CV76" i="14"/>
  <c r="CS76" i="14"/>
  <c r="CP76" i="14"/>
  <c r="CJ76" i="14"/>
  <c r="BI76" i="14"/>
  <c r="BB76" i="14"/>
  <c r="AZ76" i="14"/>
  <c r="AW76" i="14"/>
  <c r="AV76" i="14"/>
  <c r="AT76" i="14"/>
  <c r="AG76" i="14"/>
  <c r="AE76" i="14"/>
  <c r="X76" i="14"/>
  <c r="W76" i="14"/>
  <c r="S76" i="14"/>
  <c r="O76" i="14"/>
  <c r="N76" i="14"/>
  <c r="CM76" i="14" s="1"/>
  <c r="K76" i="14"/>
  <c r="P76" i="14" s="1"/>
  <c r="A76" i="14"/>
  <c r="CZ75" i="14"/>
  <c r="CY75" i="14"/>
  <c r="CX75" i="14"/>
  <c r="CS75" i="14"/>
  <c r="BI75" i="14"/>
  <c r="BB75" i="14"/>
  <c r="AZ75" i="14"/>
  <c r="AW75" i="14"/>
  <c r="AV75" i="14"/>
  <c r="AT75" i="14"/>
  <c r="AG75" i="14"/>
  <c r="AE75" i="14"/>
  <c r="X75" i="14"/>
  <c r="W75" i="14"/>
  <c r="S75" i="14"/>
  <c r="P75" i="14"/>
  <c r="O75" i="14"/>
  <c r="N75" i="14"/>
  <c r="CM75" i="14" s="1"/>
  <c r="K75" i="14"/>
  <c r="A75" i="14"/>
  <c r="CZ74" i="14"/>
  <c r="CY74" i="14"/>
  <c r="CX74" i="14"/>
  <c r="CV74" i="14"/>
  <c r="CS74" i="14"/>
  <c r="CP74" i="14"/>
  <c r="CJ74" i="14"/>
  <c r="BI74" i="14"/>
  <c r="BB74" i="14"/>
  <c r="AZ74" i="14"/>
  <c r="AW74" i="14"/>
  <c r="AV74" i="14"/>
  <c r="AT74" i="14"/>
  <c r="AG74" i="14"/>
  <c r="AE74" i="14"/>
  <c r="W74" i="14"/>
  <c r="S74" i="14"/>
  <c r="O74" i="14"/>
  <c r="N74" i="14"/>
  <c r="CM74" i="14" s="1"/>
  <c r="K74" i="14"/>
  <c r="P74" i="14" s="1"/>
  <c r="A74" i="14"/>
  <c r="CZ73" i="14"/>
  <c r="CY73" i="14"/>
  <c r="CX73" i="14"/>
  <c r="CS73" i="14"/>
  <c r="CM73" i="14"/>
  <c r="BI73" i="14"/>
  <c r="BB73" i="14"/>
  <c r="AZ73" i="14"/>
  <c r="AW73" i="14"/>
  <c r="AV73" i="14"/>
  <c r="AT73" i="14"/>
  <c r="AG73" i="14"/>
  <c r="W73" i="14" s="1"/>
  <c r="AE73" i="14"/>
  <c r="S73" i="14"/>
  <c r="P73" i="14"/>
  <c r="O73" i="14"/>
  <c r="N73" i="14"/>
  <c r="X73" i="14" s="1"/>
  <c r="K73" i="14"/>
  <c r="A73" i="14"/>
  <c r="CZ72" i="14"/>
  <c r="CY72" i="14"/>
  <c r="CX72" i="14"/>
  <c r="CV72" i="14"/>
  <c r="CS72" i="14"/>
  <c r="CP72" i="14"/>
  <c r="CJ72" i="14"/>
  <c r="BI72" i="14"/>
  <c r="BB72" i="14"/>
  <c r="AZ72" i="14"/>
  <c r="AW72" i="14"/>
  <c r="AV72" i="14"/>
  <c r="AT72" i="14"/>
  <c r="AG72" i="14"/>
  <c r="W72" i="14" s="1"/>
  <c r="AE72" i="14"/>
  <c r="X72" i="14"/>
  <c r="S72" i="14"/>
  <c r="O72" i="14"/>
  <c r="N72" i="14"/>
  <c r="CM72" i="14" s="1"/>
  <c r="K72" i="14"/>
  <c r="P72" i="14" s="1"/>
  <c r="A72" i="14"/>
  <c r="CZ71" i="14"/>
  <c r="CY71" i="14"/>
  <c r="CX71" i="14"/>
  <c r="CS71" i="14"/>
  <c r="BI71" i="14"/>
  <c r="BB71" i="14"/>
  <c r="AZ71" i="14"/>
  <c r="AW71" i="14"/>
  <c r="AV71" i="14"/>
  <c r="AT71" i="14"/>
  <c r="AG71" i="14"/>
  <c r="AE71" i="14"/>
  <c r="W71" i="14"/>
  <c r="S71" i="14"/>
  <c r="P71" i="14"/>
  <c r="O71" i="14"/>
  <c r="N71" i="14"/>
  <c r="CM71" i="14" s="1"/>
  <c r="K71" i="14"/>
  <c r="A71" i="14"/>
  <c r="CZ70" i="14"/>
  <c r="CY70" i="14"/>
  <c r="CX70" i="14"/>
  <c r="CV70" i="14"/>
  <c r="CS70" i="14"/>
  <c r="CP70" i="14"/>
  <c r="CJ70" i="14"/>
  <c r="BI70" i="14"/>
  <c r="BB70" i="14"/>
  <c r="AZ70" i="14"/>
  <c r="AW70" i="14"/>
  <c r="AV70" i="14"/>
  <c r="AT70" i="14"/>
  <c r="AG70" i="14"/>
  <c r="AE70" i="14"/>
  <c r="W70" i="14"/>
  <c r="S70" i="14"/>
  <c r="O70" i="14"/>
  <c r="N70" i="14"/>
  <c r="K70" i="14"/>
  <c r="P70" i="14" s="1"/>
  <c r="A70" i="14"/>
  <c r="CZ69" i="14"/>
  <c r="CY69" i="14"/>
  <c r="CX69" i="14"/>
  <c r="CS69" i="14"/>
  <c r="BI69" i="14"/>
  <c r="BB69" i="14"/>
  <c r="AZ69" i="14"/>
  <c r="AW69" i="14"/>
  <c r="AV69" i="14"/>
  <c r="AT69" i="14"/>
  <c r="AG69" i="14"/>
  <c r="W69" i="14" s="1"/>
  <c r="AE69" i="14"/>
  <c r="S69" i="14"/>
  <c r="P69" i="14"/>
  <c r="O69" i="14"/>
  <c r="N69" i="14"/>
  <c r="X69" i="14" s="1"/>
  <c r="K69" i="14"/>
  <c r="A69" i="14"/>
  <c r="CZ68" i="14"/>
  <c r="CY68" i="14"/>
  <c r="CX68" i="14"/>
  <c r="CS68" i="14"/>
  <c r="BI68" i="14"/>
  <c r="BB68" i="14"/>
  <c r="AZ68" i="14"/>
  <c r="AW68" i="14"/>
  <c r="AV68" i="14"/>
  <c r="AT68" i="14"/>
  <c r="AG68" i="14"/>
  <c r="AE68" i="14"/>
  <c r="CJ68" i="14" s="1"/>
  <c r="X68" i="14"/>
  <c r="W68" i="14"/>
  <c r="S68" i="14"/>
  <c r="O68" i="14"/>
  <c r="N68" i="14"/>
  <c r="CM68" i="14" s="1"/>
  <c r="K68" i="14"/>
  <c r="P68" i="14" s="1"/>
  <c r="A68" i="14"/>
  <c r="CZ67" i="14"/>
  <c r="CY67" i="14"/>
  <c r="CX67" i="14"/>
  <c r="CV67" i="14"/>
  <c r="CS67" i="14"/>
  <c r="CP67" i="14"/>
  <c r="CJ67" i="14"/>
  <c r="BI67" i="14"/>
  <c r="BB67" i="14"/>
  <c r="AZ67" i="14"/>
  <c r="AW67" i="14"/>
  <c r="AV67" i="14"/>
  <c r="AT67" i="14"/>
  <c r="AG67" i="14"/>
  <c r="AE67" i="14"/>
  <c r="W67" i="14"/>
  <c r="S67" i="14"/>
  <c r="O67" i="14"/>
  <c r="N67" i="14"/>
  <c r="CM67" i="14" s="1"/>
  <c r="K67" i="14"/>
  <c r="P67" i="14" s="1"/>
  <c r="A67" i="14"/>
  <c r="CZ66" i="14"/>
  <c r="CY66" i="14"/>
  <c r="CX66" i="14"/>
  <c r="CV66" i="14"/>
  <c r="CS66" i="14"/>
  <c r="CP66" i="14"/>
  <c r="CJ66" i="14"/>
  <c r="BI66" i="14"/>
  <c r="BB66" i="14"/>
  <c r="AZ66" i="14"/>
  <c r="AW66" i="14"/>
  <c r="AV66" i="14"/>
  <c r="AT66" i="14"/>
  <c r="AG66" i="14"/>
  <c r="AE66" i="14"/>
  <c r="W66" i="14"/>
  <c r="S66" i="14"/>
  <c r="O66" i="14"/>
  <c r="N66" i="14"/>
  <c r="CM66" i="14" s="1"/>
  <c r="K66" i="14"/>
  <c r="P66" i="14" s="1"/>
  <c r="A66" i="14"/>
  <c r="CZ65" i="14"/>
  <c r="CY65" i="14"/>
  <c r="CX65" i="14"/>
  <c r="CS65" i="14"/>
  <c r="BI65" i="14"/>
  <c r="BB65" i="14"/>
  <c r="AZ65" i="14"/>
  <c r="AW65" i="14"/>
  <c r="AV65" i="14"/>
  <c r="AT65" i="14"/>
  <c r="AG65" i="14"/>
  <c r="W65" i="14" s="1"/>
  <c r="AE65" i="14"/>
  <c r="CV65" i="14" s="1"/>
  <c r="X65" i="14"/>
  <c r="S65" i="14"/>
  <c r="P65" i="14"/>
  <c r="O65" i="14"/>
  <c r="N65" i="14"/>
  <c r="CM65" i="14" s="1"/>
  <c r="K65" i="14"/>
  <c r="A65" i="14"/>
  <c r="CZ64" i="14"/>
  <c r="CY64" i="14"/>
  <c r="CX64" i="14"/>
  <c r="CV64" i="14"/>
  <c r="CS64" i="14"/>
  <c r="CP64" i="14"/>
  <c r="CJ64" i="14"/>
  <c r="BI64" i="14"/>
  <c r="BB64" i="14"/>
  <c r="AZ64" i="14"/>
  <c r="AW64" i="14"/>
  <c r="AV64" i="14"/>
  <c r="AT64" i="14"/>
  <c r="AG64" i="14"/>
  <c r="AE64" i="14"/>
  <c r="X64" i="14"/>
  <c r="W64" i="14"/>
  <c r="S64" i="14"/>
  <c r="O64" i="14"/>
  <c r="N64" i="14"/>
  <c r="CM64" i="14" s="1"/>
  <c r="K64" i="14"/>
  <c r="P64" i="14" s="1"/>
  <c r="A64" i="14"/>
  <c r="CZ63" i="14"/>
  <c r="CY63" i="14"/>
  <c r="CX63" i="14"/>
  <c r="CS63" i="14"/>
  <c r="BI63" i="14"/>
  <c r="BB63" i="14"/>
  <c r="AZ63" i="14"/>
  <c r="AW63" i="14"/>
  <c r="AV63" i="14"/>
  <c r="AT63" i="14"/>
  <c r="AG63" i="14"/>
  <c r="AE63" i="14"/>
  <c r="CV63" i="14" s="1"/>
  <c r="W63" i="14"/>
  <c r="S63" i="14"/>
  <c r="O63" i="14"/>
  <c r="N63" i="14"/>
  <c r="CM63" i="14" s="1"/>
  <c r="K63" i="14"/>
  <c r="P63" i="14" s="1"/>
  <c r="A63" i="14"/>
  <c r="CZ62" i="14"/>
  <c r="CY62" i="14"/>
  <c r="CX62" i="14"/>
  <c r="CV62" i="14"/>
  <c r="CS62" i="14"/>
  <c r="CP62" i="14"/>
  <c r="CJ62" i="14"/>
  <c r="BI62" i="14"/>
  <c r="BB62" i="14"/>
  <c r="AZ62" i="14"/>
  <c r="AW62" i="14"/>
  <c r="AV62" i="14"/>
  <c r="AT62" i="14"/>
  <c r="AG62" i="14"/>
  <c r="W62" i="14" s="1"/>
  <c r="AE62" i="14"/>
  <c r="S62" i="14"/>
  <c r="O62" i="14"/>
  <c r="N62" i="14"/>
  <c r="CM62" i="14" s="1"/>
  <c r="K62" i="14"/>
  <c r="P62" i="14" s="1"/>
  <c r="A62" i="14"/>
  <c r="CZ61" i="14"/>
  <c r="CY61" i="14"/>
  <c r="CX61" i="14"/>
  <c r="CS61" i="14"/>
  <c r="BI61" i="14"/>
  <c r="BB61" i="14"/>
  <c r="AZ61" i="14"/>
  <c r="AW61" i="14"/>
  <c r="AV61" i="14"/>
  <c r="AT61" i="14"/>
  <c r="AG61" i="14"/>
  <c r="W61" i="14" s="1"/>
  <c r="AE61" i="14"/>
  <c r="CV61" i="14" s="1"/>
  <c r="X61" i="14"/>
  <c r="S61" i="14"/>
  <c r="P61" i="14"/>
  <c r="O61" i="14"/>
  <c r="N61" i="14"/>
  <c r="CM61" i="14" s="1"/>
  <c r="K61" i="14"/>
  <c r="A61" i="14"/>
  <c r="CZ60" i="14"/>
  <c r="CY60" i="14"/>
  <c r="CX60" i="14"/>
  <c r="CV60" i="14"/>
  <c r="CS60" i="14"/>
  <c r="CP60" i="14"/>
  <c r="CJ60" i="14"/>
  <c r="BI60" i="14"/>
  <c r="BB60" i="14"/>
  <c r="AZ60" i="14"/>
  <c r="AW60" i="14"/>
  <c r="AV60" i="14"/>
  <c r="AT60" i="14"/>
  <c r="AG60" i="14"/>
  <c r="AE60" i="14"/>
  <c r="X60" i="14"/>
  <c r="W60" i="14"/>
  <c r="S60" i="14"/>
  <c r="O60" i="14"/>
  <c r="N60" i="14"/>
  <c r="CM60" i="14" s="1"/>
  <c r="K60" i="14"/>
  <c r="P60" i="14" s="1"/>
  <c r="A60" i="14"/>
  <c r="CZ59" i="14"/>
  <c r="CY59" i="14"/>
  <c r="CX59" i="14"/>
  <c r="CV59" i="14"/>
  <c r="CS59" i="14"/>
  <c r="CP59" i="14"/>
  <c r="CJ59" i="14"/>
  <c r="BI59" i="14"/>
  <c r="BB59" i="14"/>
  <c r="AZ59" i="14"/>
  <c r="AW59" i="14"/>
  <c r="AV59" i="14"/>
  <c r="AT59" i="14"/>
  <c r="AG59" i="14"/>
  <c r="AE59" i="14"/>
  <c r="W59" i="14"/>
  <c r="S59" i="14"/>
  <c r="O59" i="14"/>
  <c r="N59" i="14"/>
  <c r="CM59" i="14" s="1"/>
  <c r="K59" i="14"/>
  <c r="P59" i="14" s="1"/>
  <c r="A59" i="14"/>
  <c r="CZ58" i="14"/>
  <c r="CY58" i="14"/>
  <c r="CX58" i="14"/>
  <c r="CV58" i="14"/>
  <c r="CS58" i="14"/>
  <c r="CP58" i="14"/>
  <c r="CJ58" i="14"/>
  <c r="BI58" i="14"/>
  <c r="BB58" i="14"/>
  <c r="AZ58" i="14"/>
  <c r="AW58" i="14"/>
  <c r="AV58" i="14"/>
  <c r="AT58" i="14"/>
  <c r="AG58" i="14"/>
  <c r="W58" i="14" s="1"/>
  <c r="AE58" i="14"/>
  <c r="S58" i="14"/>
  <c r="O58" i="14"/>
  <c r="N58" i="14"/>
  <c r="CM58" i="14" s="1"/>
  <c r="K58" i="14"/>
  <c r="P58" i="14" s="1"/>
  <c r="A58" i="14"/>
  <c r="CZ57" i="14"/>
  <c r="CY57" i="14"/>
  <c r="CX57" i="14"/>
  <c r="CS57" i="14"/>
  <c r="BI57" i="14"/>
  <c r="BB57" i="14"/>
  <c r="AZ57" i="14"/>
  <c r="AW57" i="14"/>
  <c r="AV57" i="14"/>
  <c r="AT57" i="14"/>
  <c r="AG57" i="14"/>
  <c r="W57" i="14" s="1"/>
  <c r="AE57" i="14"/>
  <c r="CV57" i="14" s="1"/>
  <c r="X57" i="14"/>
  <c r="S57" i="14"/>
  <c r="P57" i="14"/>
  <c r="O57" i="14"/>
  <c r="N57" i="14"/>
  <c r="CM57" i="14" s="1"/>
  <c r="K57" i="14"/>
  <c r="A57" i="14"/>
  <c r="CZ56" i="14"/>
  <c r="CY56" i="14"/>
  <c r="CX56" i="14"/>
  <c r="CV56" i="14"/>
  <c r="CS56" i="14"/>
  <c r="CP56" i="14"/>
  <c r="CJ56" i="14"/>
  <c r="BI56" i="14"/>
  <c r="BB56" i="14"/>
  <c r="AZ56" i="14"/>
  <c r="AW56" i="14"/>
  <c r="AV56" i="14"/>
  <c r="AT56" i="14"/>
  <c r="AG56" i="14"/>
  <c r="AE56" i="14"/>
  <c r="X56" i="14"/>
  <c r="W56" i="14"/>
  <c r="S56" i="14"/>
  <c r="O56" i="14"/>
  <c r="N56" i="14"/>
  <c r="CM56" i="14" s="1"/>
  <c r="K56" i="14"/>
  <c r="P56" i="14" s="1"/>
  <c r="A56" i="14"/>
  <c r="CZ55" i="14"/>
  <c r="CY55" i="14"/>
  <c r="CX55" i="14"/>
  <c r="CV55" i="14"/>
  <c r="CS55" i="14"/>
  <c r="CP55" i="14"/>
  <c r="CJ55" i="14"/>
  <c r="BI55" i="14"/>
  <c r="BB55" i="14"/>
  <c r="AZ55" i="14"/>
  <c r="AW55" i="14"/>
  <c r="AV55" i="14"/>
  <c r="AT55" i="14"/>
  <c r="AG55" i="14"/>
  <c r="AE55" i="14"/>
  <c r="W55" i="14"/>
  <c r="S55" i="14"/>
  <c r="O55" i="14"/>
  <c r="N55" i="14"/>
  <c r="CM55" i="14" s="1"/>
  <c r="K55" i="14"/>
  <c r="P55" i="14" s="1"/>
  <c r="A55" i="14"/>
  <c r="CZ54" i="14"/>
  <c r="CY54" i="14"/>
  <c r="CX54" i="14"/>
  <c r="CV54" i="14"/>
  <c r="CS54" i="14"/>
  <c r="CP54" i="14"/>
  <c r="CJ54" i="14"/>
  <c r="BI54" i="14"/>
  <c r="BB54" i="14"/>
  <c r="AZ54" i="14"/>
  <c r="AW54" i="14"/>
  <c r="AV54" i="14"/>
  <c r="AT54" i="14"/>
  <c r="AG54" i="14"/>
  <c r="W54" i="14" s="1"/>
  <c r="AE54" i="14"/>
  <c r="S54" i="14"/>
  <c r="O54" i="14"/>
  <c r="N54" i="14"/>
  <c r="CM54" i="14" s="1"/>
  <c r="K54" i="14"/>
  <c r="P54" i="14" s="1"/>
  <c r="A54" i="14"/>
  <c r="CZ53" i="14"/>
  <c r="CY53" i="14"/>
  <c r="CX53" i="14"/>
  <c r="CS53" i="14"/>
  <c r="BI53" i="14"/>
  <c r="BB53" i="14"/>
  <c r="AZ53" i="14"/>
  <c r="AW53" i="14"/>
  <c r="AV53" i="14"/>
  <c r="AT53" i="14"/>
  <c r="AG53" i="14"/>
  <c r="W53" i="14" s="1"/>
  <c r="AE53" i="14"/>
  <c r="CV53" i="14" s="1"/>
  <c r="X53" i="14"/>
  <c r="S53" i="14"/>
  <c r="P53" i="14"/>
  <c r="O53" i="14"/>
  <c r="N53" i="14"/>
  <c r="CM53" i="14" s="1"/>
  <c r="K53" i="14"/>
  <c r="A53" i="14"/>
  <c r="CZ52" i="14"/>
  <c r="CY52" i="14"/>
  <c r="CX52" i="14"/>
  <c r="CV52" i="14"/>
  <c r="CS52" i="14"/>
  <c r="CP52" i="14"/>
  <c r="CJ52" i="14"/>
  <c r="BI52" i="14"/>
  <c r="BB52" i="14"/>
  <c r="AZ52" i="14"/>
  <c r="AW52" i="14"/>
  <c r="AV52" i="14"/>
  <c r="AT52" i="14"/>
  <c r="AG52" i="14"/>
  <c r="AE52" i="14"/>
  <c r="X52" i="14"/>
  <c r="W52" i="14"/>
  <c r="S52" i="14"/>
  <c r="O52" i="14"/>
  <c r="N52" i="14"/>
  <c r="CM52" i="14" s="1"/>
  <c r="K52" i="14"/>
  <c r="P52" i="14" s="1"/>
  <c r="A52" i="14"/>
  <c r="CZ51" i="14"/>
  <c r="CY51" i="14"/>
  <c r="CX51" i="14"/>
  <c r="CS51" i="14"/>
  <c r="BI51" i="14"/>
  <c r="BB51" i="14"/>
  <c r="AZ51" i="14"/>
  <c r="AW51" i="14"/>
  <c r="AV51" i="14"/>
  <c r="AT51" i="14"/>
  <c r="AG51" i="14"/>
  <c r="AE51" i="14"/>
  <c r="CV51" i="14" s="1"/>
  <c r="W51" i="14"/>
  <c r="S51" i="14"/>
  <c r="O51" i="14"/>
  <c r="N51" i="14"/>
  <c r="CM51" i="14" s="1"/>
  <c r="K51" i="14"/>
  <c r="P51" i="14" s="1"/>
  <c r="A51" i="14"/>
  <c r="CZ50" i="14"/>
  <c r="CY50" i="14"/>
  <c r="CX50" i="14"/>
  <c r="CV50" i="14"/>
  <c r="CS50" i="14"/>
  <c r="CP50" i="14"/>
  <c r="CJ50" i="14"/>
  <c r="BI50" i="14"/>
  <c r="BB50" i="14"/>
  <c r="AZ50" i="14"/>
  <c r="AW50" i="14"/>
  <c r="AV50" i="14"/>
  <c r="AT50" i="14"/>
  <c r="AG50" i="14"/>
  <c r="W50" i="14" s="1"/>
  <c r="AE50" i="14"/>
  <c r="S50" i="14"/>
  <c r="O50" i="14"/>
  <c r="N50" i="14"/>
  <c r="CM50" i="14" s="1"/>
  <c r="K50" i="14"/>
  <c r="P50" i="14" s="1"/>
  <c r="A50" i="14"/>
  <c r="CZ49" i="14"/>
  <c r="CY49" i="14"/>
  <c r="CX49" i="14"/>
  <c r="CS49" i="14"/>
  <c r="BI49" i="14"/>
  <c r="BB49" i="14"/>
  <c r="AZ49" i="14"/>
  <c r="AW49" i="14"/>
  <c r="AV49" i="14"/>
  <c r="AT49" i="14"/>
  <c r="AG49" i="14"/>
  <c r="W49" i="14" s="1"/>
  <c r="AE49" i="14"/>
  <c r="CV49" i="14" s="1"/>
  <c r="X49" i="14"/>
  <c r="S49" i="14"/>
  <c r="P49" i="14"/>
  <c r="O49" i="14"/>
  <c r="N49" i="14"/>
  <c r="CM49" i="14" s="1"/>
  <c r="K49" i="14"/>
  <c r="A49" i="14"/>
  <c r="CZ48" i="14"/>
  <c r="CY48" i="14"/>
  <c r="CX48" i="14"/>
  <c r="CV48" i="14"/>
  <c r="CS48" i="14"/>
  <c r="CP48" i="14"/>
  <c r="CJ48" i="14"/>
  <c r="BI48" i="14"/>
  <c r="BB48" i="14"/>
  <c r="AZ48" i="14"/>
  <c r="AW48" i="14"/>
  <c r="AV48" i="14"/>
  <c r="AT48" i="14"/>
  <c r="AG48" i="14"/>
  <c r="AE48" i="14"/>
  <c r="X48" i="14"/>
  <c r="W48" i="14"/>
  <c r="S48" i="14"/>
  <c r="O48" i="14"/>
  <c r="N48" i="14"/>
  <c r="CM48" i="14" s="1"/>
  <c r="K48" i="14"/>
  <c r="P48" i="14" s="1"/>
  <c r="A48" i="14"/>
  <c r="CZ47" i="14"/>
  <c r="CY47" i="14"/>
  <c r="CX47" i="14"/>
  <c r="CS47" i="14"/>
  <c r="BI47" i="14"/>
  <c r="BB47" i="14"/>
  <c r="AZ47" i="14"/>
  <c r="AW47" i="14"/>
  <c r="AV47" i="14"/>
  <c r="AT47" i="14"/>
  <c r="AG47" i="14"/>
  <c r="AE47" i="14"/>
  <c r="CV47" i="14" s="1"/>
  <c r="W47" i="14"/>
  <c r="S47" i="14"/>
  <c r="O47" i="14"/>
  <c r="N47" i="14"/>
  <c r="CM47" i="14" s="1"/>
  <c r="K47" i="14"/>
  <c r="P47" i="14" s="1"/>
  <c r="A47" i="14"/>
  <c r="CZ46" i="14"/>
  <c r="CY46" i="14"/>
  <c r="CX46" i="14"/>
  <c r="CV46" i="14"/>
  <c r="CS46" i="14"/>
  <c r="CP46" i="14"/>
  <c r="CJ46" i="14"/>
  <c r="BI46" i="14"/>
  <c r="BB46" i="14"/>
  <c r="AZ46" i="14"/>
  <c r="AW46" i="14"/>
  <c r="AV46" i="14"/>
  <c r="AT46" i="14"/>
  <c r="AG46" i="14"/>
  <c r="W46" i="14" s="1"/>
  <c r="AE46" i="14"/>
  <c r="S46" i="14"/>
  <c r="O46" i="14"/>
  <c r="N46" i="14"/>
  <c r="CM46" i="14" s="1"/>
  <c r="K46" i="14"/>
  <c r="P46" i="14" s="1"/>
  <c r="A46" i="14"/>
  <c r="CZ45" i="14"/>
  <c r="CY45" i="14"/>
  <c r="CX45" i="14"/>
  <c r="CS45" i="14"/>
  <c r="BI45" i="14"/>
  <c r="BB45" i="14"/>
  <c r="AZ45" i="14"/>
  <c r="AW45" i="14"/>
  <c r="AV45" i="14"/>
  <c r="AT45" i="14"/>
  <c r="AG45" i="14"/>
  <c r="W45" i="14" s="1"/>
  <c r="AE45" i="14"/>
  <c r="X45" i="14"/>
  <c r="S45" i="14"/>
  <c r="P45" i="14"/>
  <c r="O45" i="14"/>
  <c r="N45" i="14"/>
  <c r="CM45" i="14" s="1"/>
  <c r="K45" i="14"/>
  <c r="A45" i="14"/>
  <c r="CZ44" i="14"/>
  <c r="CY44" i="14"/>
  <c r="CX44" i="14"/>
  <c r="CV44" i="14"/>
  <c r="CS44" i="14"/>
  <c r="CP44" i="14"/>
  <c r="CJ44" i="14"/>
  <c r="BI44" i="14"/>
  <c r="BB44" i="14"/>
  <c r="AZ44" i="14"/>
  <c r="AW44" i="14"/>
  <c r="AV44" i="14"/>
  <c r="AT44" i="14"/>
  <c r="AG44" i="14"/>
  <c r="AE44" i="14"/>
  <c r="X44" i="14"/>
  <c r="W44" i="14"/>
  <c r="S44" i="14"/>
  <c r="O44" i="14"/>
  <c r="N44" i="14"/>
  <c r="CM44" i="14" s="1"/>
  <c r="K44" i="14"/>
  <c r="P44" i="14" s="1"/>
  <c r="A44" i="14"/>
  <c r="CZ43" i="14"/>
  <c r="CY43" i="14"/>
  <c r="CX43" i="14"/>
  <c r="CS43" i="14"/>
  <c r="BI43" i="14"/>
  <c r="BB43" i="14"/>
  <c r="AZ43" i="14"/>
  <c r="AW43" i="14"/>
  <c r="AV43" i="14"/>
  <c r="AT43" i="14"/>
  <c r="AG43" i="14"/>
  <c r="AE43" i="14"/>
  <c r="CV43" i="14" s="1"/>
  <c r="W43" i="14"/>
  <c r="S43" i="14"/>
  <c r="O43" i="14"/>
  <c r="N43" i="14"/>
  <c r="X43" i="14" s="1"/>
  <c r="K43" i="14"/>
  <c r="P43" i="14" s="1"/>
  <c r="A43" i="14"/>
  <c r="CZ42" i="14"/>
  <c r="CY42" i="14"/>
  <c r="CX42" i="14"/>
  <c r="CV42" i="14"/>
  <c r="CS42" i="14"/>
  <c r="CP42" i="14"/>
  <c r="CJ42" i="14"/>
  <c r="BI42" i="14"/>
  <c r="BB42" i="14"/>
  <c r="AZ42" i="14"/>
  <c r="AW42" i="14"/>
  <c r="AV42" i="14"/>
  <c r="AT42" i="14"/>
  <c r="AG42" i="14"/>
  <c r="AE42" i="14"/>
  <c r="W42" i="14"/>
  <c r="S42" i="14"/>
  <c r="O42" i="14"/>
  <c r="N42" i="14"/>
  <c r="K42" i="14"/>
  <c r="P42" i="14" s="1"/>
  <c r="A42" i="14"/>
  <c r="CZ41" i="14"/>
  <c r="CY41" i="14"/>
  <c r="CX41" i="14"/>
  <c r="CS41" i="14"/>
  <c r="BI41" i="14"/>
  <c r="BB41" i="14"/>
  <c r="AZ41" i="14"/>
  <c r="AW41" i="14"/>
  <c r="AV41" i="14"/>
  <c r="AT41" i="14"/>
  <c r="AG41" i="14"/>
  <c r="W41" i="14" s="1"/>
  <c r="AE41" i="14"/>
  <c r="S41" i="14"/>
  <c r="P41" i="14"/>
  <c r="O41" i="14"/>
  <c r="N41" i="14"/>
  <c r="X41" i="14" s="1"/>
  <c r="K41" i="14"/>
  <c r="A41" i="14"/>
  <c r="CZ40" i="14"/>
  <c r="CY40" i="14"/>
  <c r="CX40" i="14"/>
  <c r="CV40" i="14"/>
  <c r="CS40" i="14"/>
  <c r="CP40" i="14"/>
  <c r="BI40" i="14"/>
  <c r="BB40" i="14"/>
  <c r="AZ40" i="14"/>
  <c r="AW40" i="14"/>
  <c r="AV40" i="14"/>
  <c r="AT40" i="14"/>
  <c r="AG40" i="14"/>
  <c r="W40" i="14" s="1"/>
  <c r="AE40" i="14"/>
  <c r="CJ40" i="14" s="1"/>
  <c r="X40" i="14"/>
  <c r="S40" i="14"/>
  <c r="O40" i="14"/>
  <c r="N40" i="14"/>
  <c r="CM40" i="14" s="1"/>
  <c r="K40" i="14"/>
  <c r="P40" i="14" s="1"/>
  <c r="A40" i="14"/>
  <c r="CZ39" i="14"/>
  <c r="CY39" i="14"/>
  <c r="CX39" i="14"/>
  <c r="CS39" i="14"/>
  <c r="CP39" i="14"/>
  <c r="BI39" i="14"/>
  <c r="BB39" i="14"/>
  <c r="AZ39" i="14"/>
  <c r="AW39" i="14"/>
  <c r="AV39" i="14"/>
  <c r="AT39" i="14"/>
  <c r="AG39" i="14"/>
  <c r="AE39" i="14"/>
  <c r="CV39" i="14" s="1"/>
  <c r="W39" i="14"/>
  <c r="S39" i="14"/>
  <c r="O39" i="14"/>
  <c r="N39" i="14"/>
  <c r="K39" i="14"/>
  <c r="P39" i="14" s="1"/>
  <c r="A39" i="14"/>
  <c r="CZ38" i="14"/>
  <c r="CY38" i="14"/>
  <c r="CX38" i="14"/>
  <c r="CV38" i="14"/>
  <c r="CS38" i="14"/>
  <c r="CP38" i="14"/>
  <c r="CM38" i="14"/>
  <c r="CJ38" i="14"/>
  <c r="BI38" i="14"/>
  <c r="BB38" i="14"/>
  <c r="AZ38" i="14"/>
  <c r="AW38" i="14"/>
  <c r="AV38" i="14"/>
  <c r="AT38" i="14"/>
  <c r="AG38" i="14"/>
  <c r="AE38" i="14"/>
  <c r="W38" i="14"/>
  <c r="S38" i="14"/>
  <c r="O38" i="14"/>
  <c r="N38" i="14"/>
  <c r="X38" i="14" s="1"/>
  <c r="K38" i="14"/>
  <c r="P38" i="14" s="1"/>
  <c r="A38" i="14"/>
  <c r="CZ37" i="14"/>
  <c r="CY37" i="14"/>
  <c r="CX37" i="14"/>
  <c r="CS37" i="14"/>
  <c r="CM37" i="14"/>
  <c r="BI37" i="14"/>
  <c r="BB37" i="14"/>
  <c r="AZ37" i="14"/>
  <c r="AW37" i="14"/>
  <c r="AV37" i="14"/>
  <c r="AT37" i="14"/>
  <c r="AG37" i="14"/>
  <c r="AE37" i="14"/>
  <c r="X37" i="14"/>
  <c r="W37" i="14"/>
  <c r="S37" i="14"/>
  <c r="P37" i="14"/>
  <c r="O37" i="14"/>
  <c r="N37" i="14"/>
  <c r="K37" i="14"/>
  <c r="A37" i="14"/>
  <c r="CZ36" i="14"/>
  <c r="CY36" i="14"/>
  <c r="CX36" i="14"/>
  <c r="CV36" i="14"/>
  <c r="CS36" i="14"/>
  <c r="CP36" i="14"/>
  <c r="CJ36" i="14"/>
  <c r="BI36" i="14"/>
  <c r="BB36" i="14"/>
  <c r="AZ36" i="14"/>
  <c r="AW36" i="14"/>
  <c r="AV36" i="14"/>
  <c r="AT36" i="14"/>
  <c r="AG36" i="14"/>
  <c r="AE36" i="14"/>
  <c r="X36" i="14"/>
  <c r="W36" i="14"/>
  <c r="S36" i="14"/>
  <c r="O36" i="14"/>
  <c r="N36" i="14"/>
  <c r="CM36" i="14" s="1"/>
  <c r="K36" i="14"/>
  <c r="P36" i="14" s="1"/>
  <c r="A36" i="14"/>
  <c r="CZ35" i="14"/>
  <c r="CY35" i="14"/>
  <c r="CX35" i="14"/>
  <c r="CV35" i="14"/>
  <c r="CS35" i="14"/>
  <c r="CP35" i="14"/>
  <c r="CM35" i="14"/>
  <c r="CJ35" i="14"/>
  <c r="BI35" i="14"/>
  <c r="BB35" i="14"/>
  <c r="AZ35" i="14"/>
  <c r="AW35" i="14"/>
  <c r="AV35" i="14"/>
  <c r="AT35" i="14"/>
  <c r="AG35" i="14"/>
  <c r="AE35" i="14"/>
  <c r="W35" i="14"/>
  <c r="S35" i="14"/>
  <c r="O35" i="14"/>
  <c r="N35" i="14"/>
  <c r="X35" i="14" s="1"/>
  <c r="K35" i="14"/>
  <c r="P35" i="14" s="1"/>
  <c r="A35" i="14"/>
  <c r="CZ34" i="14"/>
  <c r="CY34" i="14"/>
  <c r="CX34" i="14"/>
  <c r="CS34" i="14"/>
  <c r="BI34" i="14"/>
  <c r="BB34" i="14"/>
  <c r="AZ34" i="14"/>
  <c r="AW34" i="14"/>
  <c r="AV34" i="14"/>
  <c r="AT34" i="14"/>
  <c r="AG34" i="14"/>
  <c r="W34" i="14" s="1"/>
  <c r="AE34" i="14"/>
  <c r="CV34" i="14" s="1"/>
  <c r="S34" i="14"/>
  <c r="O34" i="14"/>
  <c r="N34" i="14"/>
  <c r="X34" i="14" s="1"/>
  <c r="K34" i="14"/>
  <c r="P34" i="14" s="1"/>
  <c r="A34" i="14"/>
  <c r="CZ33" i="14"/>
  <c r="CY33" i="14"/>
  <c r="CX33" i="14"/>
  <c r="CS33" i="14"/>
  <c r="BI33" i="14"/>
  <c r="BB33" i="14"/>
  <c r="AZ33" i="14"/>
  <c r="AW33" i="14"/>
  <c r="AV33" i="14"/>
  <c r="AT33" i="14"/>
  <c r="AG33" i="14"/>
  <c r="W33" i="14" s="1"/>
  <c r="AE33" i="14"/>
  <c r="X33" i="14"/>
  <c r="S33" i="14"/>
  <c r="P33" i="14"/>
  <c r="O33" i="14"/>
  <c r="N33" i="14"/>
  <c r="CM33" i="14" s="1"/>
  <c r="K33" i="14"/>
  <c r="A33" i="14"/>
  <c r="CZ32" i="14"/>
  <c r="CY32" i="14"/>
  <c r="CX32" i="14"/>
  <c r="CV32" i="14"/>
  <c r="CS32" i="14"/>
  <c r="CP32" i="14"/>
  <c r="CJ32" i="14"/>
  <c r="BI32" i="14"/>
  <c r="BB32" i="14"/>
  <c r="AZ32" i="14"/>
  <c r="AW32" i="14"/>
  <c r="AV32" i="14"/>
  <c r="AT32" i="14"/>
  <c r="AG32" i="14"/>
  <c r="AE32" i="14"/>
  <c r="X32" i="14"/>
  <c r="W32" i="14"/>
  <c r="S32" i="14"/>
  <c r="O32" i="14"/>
  <c r="N32" i="14"/>
  <c r="CM32" i="14" s="1"/>
  <c r="K32" i="14"/>
  <c r="P32" i="14" s="1"/>
  <c r="A32" i="14"/>
  <c r="CZ31" i="14"/>
  <c r="CY31" i="14"/>
  <c r="CX31" i="14"/>
  <c r="CV31" i="14"/>
  <c r="CS31" i="14"/>
  <c r="CP31" i="14"/>
  <c r="CM31" i="14"/>
  <c r="CJ31" i="14"/>
  <c r="BI31" i="14"/>
  <c r="BB31" i="14"/>
  <c r="AZ31" i="14"/>
  <c r="AW31" i="14"/>
  <c r="AV31" i="14"/>
  <c r="AT31" i="14"/>
  <c r="AG31" i="14"/>
  <c r="AE31" i="14"/>
  <c r="W31" i="14"/>
  <c r="S31" i="14"/>
  <c r="O31" i="14"/>
  <c r="N31" i="14"/>
  <c r="X31" i="14" s="1"/>
  <c r="K31" i="14"/>
  <c r="P31" i="14" s="1"/>
  <c r="A31" i="14"/>
  <c r="CZ30" i="14"/>
  <c r="CY30" i="14"/>
  <c r="CX30" i="14"/>
  <c r="CS30" i="14"/>
  <c r="BI30" i="14"/>
  <c r="BB30" i="14"/>
  <c r="AZ30" i="14"/>
  <c r="AW30" i="14"/>
  <c r="AV30" i="14"/>
  <c r="AT30" i="14"/>
  <c r="AG30" i="14"/>
  <c r="W30" i="14" s="1"/>
  <c r="AE30" i="14"/>
  <c r="CV30" i="14" s="1"/>
  <c r="S30" i="14"/>
  <c r="O30" i="14"/>
  <c r="N30" i="14"/>
  <c r="X30" i="14" s="1"/>
  <c r="K30" i="14"/>
  <c r="P30" i="14" s="1"/>
  <c r="A30" i="14"/>
  <c r="CZ29" i="14"/>
  <c r="CY29" i="14"/>
  <c r="CX29" i="14"/>
  <c r="CS29" i="14"/>
  <c r="BI29" i="14"/>
  <c r="BB29" i="14"/>
  <c r="AZ29" i="14"/>
  <c r="AW29" i="14"/>
  <c r="AV29" i="14"/>
  <c r="AT29" i="14"/>
  <c r="AG29" i="14"/>
  <c r="W29" i="14" s="1"/>
  <c r="AE29" i="14"/>
  <c r="X29" i="14"/>
  <c r="S29" i="14"/>
  <c r="P29" i="14"/>
  <c r="O29" i="14"/>
  <c r="N29" i="14"/>
  <c r="CM29" i="14" s="1"/>
  <c r="K29" i="14"/>
  <c r="A29" i="14"/>
  <c r="CZ28" i="14"/>
  <c r="CY28" i="14"/>
  <c r="CX28" i="14"/>
  <c r="CV28" i="14"/>
  <c r="CS28" i="14"/>
  <c r="CP28" i="14"/>
  <c r="CJ28" i="14"/>
  <c r="BI28" i="14"/>
  <c r="BB28" i="14"/>
  <c r="AZ28" i="14"/>
  <c r="AW28" i="14"/>
  <c r="AV28" i="14"/>
  <c r="AT28" i="14"/>
  <c r="AG28" i="14"/>
  <c r="AE28" i="14"/>
  <c r="X28" i="14"/>
  <c r="W28" i="14"/>
  <c r="S28" i="14"/>
  <c r="O28" i="14"/>
  <c r="N28" i="14"/>
  <c r="CM28" i="14" s="1"/>
  <c r="K28" i="14"/>
  <c r="P28" i="14" s="1"/>
  <c r="A28" i="14"/>
  <c r="CZ27" i="14"/>
  <c r="CY27" i="14"/>
  <c r="CX27" i="14"/>
  <c r="CS27" i="14"/>
  <c r="BI27" i="14"/>
  <c r="BB27" i="14"/>
  <c r="AZ27" i="14"/>
  <c r="AW27" i="14"/>
  <c r="AV27" i="14"/>
  <c r="AT27" i="14"/>
  <c r="AG27" i="14"/>
  <c r="AE27" i="14"/>
  <c r="CV27" i="14" s="1"/>
  <c r="W27" i="14"/>
  <c r="S27" i="14"/>
  <c r="O27" i="14"/>
  <c r="N27" i="14"/>
  <c r="X27" i="14" s="1"/>
  <c r="K27" i="14"/>
  <c r="P27" i="14" s="1"/>
  <c r="A27" i="14"/>
  <c r="CZ26" i="14"/>
  <c r="CY26" i="14"/>
  <c r="CX26" i="14"/>
  <c r="CS26" i="14"/>
  <c r="BI26" i="14"/>
  <c r="BB26" i="14"/>
  <c r="AZ26" i="14"/>
  <c r="AW26" i="14"/>
  <c r="AV26" i="14"/>
  <c r="AT26" i="14"/>
  <c r="AG26" i="14"/>
  <c r="W26" i="14" s="1"/>
  <c r="AE26" i="14"/>
  <c r="CV26" i="14" s="1"/>
  <c r="S26" i="14"/>
  <c r="O26" i="14"/>
  <c r="N26" i="14"/>
  <c r="X26" i="14" s="1"/>
  <c r="K26" i="14"/>
  <c r="P26" i="14" s="1"/>
  <c r="A26" i="14"/>
  <c r="CZ25" i="14"/>
  <c r="CY25" i="14"/>
  <c r="CX25" i="14"/>
  <c r="CS25" i="14"/>
  <c r="BI25" i="14"/>
  <c r="BB25" i="14"/>
  <c r="AZ25" i="14"/>
  <c r="AW25" i="14"/>
  <c r="AV25" i="14"/>
  <c r="AT25" i="14"/>
  <c r="AG25" i="14"/>
  <c r="W25" i="14" s="1"/>
  <c r="AE25" i="14"/>
  <c r="X25" i="14"/>
  <c r="S25" i="14"/>
  <c r="P25" i="14"/>
  <c r="O25" i="14"/>
  <c r="N25" i="14"/>
  <c r="CM25" i="14" s="1"/>
  <c r="K25" i="14"/>
  <c r="A25" i="14"/>
  <c r="CZ24" i="14"/>
  <c r="CY24" i="14"/>
  <c r="CX24" i="14"/>
  <c r="CV24" i="14"/>
  <c r="CS24" i="14"/>
  <c r="CP24" i="14"/>
  <c r="CJ24" i="14"/>
  <c r="BI24" i="14"/>
  <c r="BB24" i="14"/>
  <c r="AZ24" i="14"/>
  <c r="AW24" i="14"/>
  <c r="AV24" i="14"/>
  <c r="AT24" i="14"/>
  <c r="AG24" i="14"/>
  <c r="AE24" i="14"/>
  <c r="X24" i="14"/>
  <c r="W24" i="14"/>
  <c r="S24" i="14"/>
  <c r="O24" i="14"/>
  <c r="N24" i="14"/>
  <c r="CM24" i="14" s="1"/>
  <c r="K24" i="14"/>
  <c r="P24" i="14" s="1"/>
  <c r="A24" i="14"/>
  <c r="CZ23" i="14"/>
  <c r="CY23" i="14"/>
  <c r="CX23" i="14"/>
  <c r="CV23" i="14"/>
  <c r="CS23" i="14"/>
  <c r="CP23" i="14"/>
  <c r="CM23" i="14"/>
  <c r="CJ23" i="14"/>
  <c r="BI23" i="14"/>
  <c r="BB23" i="14"/>
  <c r="AZ23" i="14"/>
  <c r="AW23" i="14"/>
  <c r="AV23" i="14"/>
  <c r="AT23" i="14"/>
  <c r="AG23" i="14"/>
  <c r="AE23" i="14"/>
  <c r="W23" i="14"/>
  <c r="S23" i="14"/>
  <c r="O23" i="14"/>
  <c r="N23" i="14"/>
  <c r="X23" i="14" s="1"/>
  <c r="K23" i="14"/>
  <c r="P23" i="14" s="1"/>
  <c r="A23" i="14"/>
  <c r="CZ22" i="14"/>
  <c r="CY22" i="14"/>
  <c r="CX22" i="14"/>
  <c r="CV22" i="14"/>
  <c r="CS22" i="14"/>
  <c r="CP22" i="14"/>
  <c r="CJ22" i="14"/>
  <c r="BI22" i="14"/>
  <c r="BB22" i="14"/>
  <c r="AZ22" i="14"/>
  <c r="AW22" i="14"/>
  <c r="AV22" i="14"/>
  <c r="AT22" i="14"/>
  <c r="AG22" i="14"/>
  <c r="W22" i="14" s="1"/>
  <c r="AE22" i="14"/>
  <c r="S22" i="14"/>
  <c r="O22" i="14"/>
  <c r="N22" i="14"/>
  <c r="X22" i="14" s="1"/>
  <c r="K22" i="14"/>
  <c r="P22" i="14" s="1"/>
  <c r="A22" i="14"/>
  <c r="CZ21" i="14"/>
  <c r="CY21" i="14"/>
  <c r="CX21" i="14"/>
  <c r="CS21" i="14"/>
  <c r="BI21" i="14"/>
  <c r="BB21" i="14"/>
  <c r="AZ21" i="14"/>
  <c r="AW21" i="14"/>
  <c r="AV21" i="14"/>
  <c r="AT21" i="14"/>
  <c r="AG21" i="14"/>
  <c r="W21" i="14" s="1"/>
  <c r="AE21" i="14"/>
  <c r="X21" i="14"/>
  <c r="S21" i="14"/>
  <c r="P21" i="14"/>
  <c r="O21" i="14"/>
  <c r="N21" i="14"/>
  <c r="CM21" i="14" s="1"/>
  <c r="K21" i="14"/>
  <c r="A21" i="14"/>
  <c r="CZ20" i="14"/>
  <c r="CY20" i="14"/>
  <c r="CX20" i="14"/>
  <c r="CV20" i="14"/>
  <c r="CS20" i="14"/>
  <c r="CP20" i="14"/>
  <c r="CJ20" i="14"/>
  <c r="BI20" i="14"/>
  <c r="BB20" i="14"/>
  <c r="AZ20" i="14"/>
  <c r="AW20" i="14"/>
  <c r="AV20" i="14"/>
  <c r="AT20" i="14"/>
  <c r="AG20" i="14"/>
  <c r="AE20" i="14"/>
  <c r="X20" i="14"/>
  <c r="W20" i="14"/>
  <c r="S20" i="14"/>
  <c r="O20" i="14"/>
  <c r="N20" i="14"/>
  <c r="CM20" i="14" s="1"/>
  <c r="K20" i="14"/>
  <c r="P20" i="14" s="1"/>
  <c r="A20" i="14"/>
  <c r="CZ19" i="14"/>
  <c r="CY19" i="14"/>
  <c r="CX19" i="14"/>
  <c r="CS19" i="14"/>
  <c r="BI19" i="14"/>
  <c r="BB19" i="14"/>
  <c r="AZ19" i="14"/>
  <c r="AW19" i="14"/>
  <c r="AV19" i="14"/>
  <c r="AT19" i="14"/>
  <c r="AG19" i="14"/>
  <c r="AE19" i="14"/>
  <c r="CV19" i="14" s="1"/>
  <c r="W19" i="14"/>
  <c r="S19" i="14"/>
  <c r="O19" i="14"/>
  <c r="N19" i="14"/>
  <c r="X19" i="14" s="1"/>
  <c r="K19" i="14"/>
  <c r="P19" i="14" s="1"/>
  <c r="A19" i="14"/>
  <c r="CZ18" i="14"/>
  <c r="CY18" i="14"/>
  <c r="CX18" i="14"/>
  <c r="CV18" i="14"/>
  <c r="CS18" i="14"/>
  <c r="CP18" i="14"/>
  <c r="CM18" i="14"/>
  <c r="CJ18" i="14"/>
  <c r="BI18" i="14"/>
  <c r="BB18" i="14"/>
  <c r="AZ18" i="14"/>
  <c r="AW18" i="14"/>
  <c r="AV18" i="14"/>
  <c r="AT18" i="14"/>
  <c r="AG18" i="14"/>
  <c r="W18" i="14" s="1"/>
  <c r="AE18" i="14"/>
  <c r="S18" i="14"/>
  <c r="O18" i="14"/>
  <c r="N18" i="14"/>
  <c r="X18" i="14" s="1"/>
  <c r="K18" i="14"/>
  <c r="P18" i="14" s="1"/>
  <c r="A18" i="14"/>
  <c r="CZ17" i="14"/>
  <c r="CY17" i="14"/>
  <c r="CX17" i="14"/>
  <c r="CS17" i="14"/>
  <c r="BI17" i="14"/>
  <c r="BB17" i="14"/>
  <c r="AZ17" i="14"/>
  <c r="AW17" i="14"/>
  <c r="AV17" i="14"/>
  <c r="AT17" i="14"/>
  <c r="AG17" i="14"/>
  <c r="W17" i="14" s="1"/>
  <c r="AE17" i="14"/>
  <c r="S17" i="14"/>
  <c r="P17" i="14"/>
  <c r="O17" i="14"/>
  <c r="N17" i="14"/>
  <c r="CM17" i="14" s="1"/>
  <c r="K17" i="14"/>
  <c r="A17" i="14"/>
  <c r="CZ16" i="14"/>
  <c r="CY16" i="14"/>
  <c r="CX16" i="14"/>
  <c r="CV16" i="14"/>
  <c r="CS16" i="14"/>
  <c r="CP16" i="14"/>
  <c r="BI16" i="14"/>
  <c r="BB16" i="14"/>
  <c r="AZ16" i="14"/>
  <c r="AW16" i="14"/>
  <c r="AV16" i="14"/>
  <c r="AT16" i="14"/>
  <c r="AG16" i="14"/>
  <c r="W16" i="14" s="1"/>
  <c r="AE16" i="14"/>
  <c r="CJ16" i="14" s="1"/>
  <c r="X16" i="14"/>
  <c r="S16" i="14"/>
  <c r="O16" i="14"/>
  <c r="N16" i="14"/>
  <c r="CM16" i="14" s="1"/>
  <c r="K16" i="14"/>
  <c r="P16" i="14" s="1"/>
  <c r="A16" i="14"/>
  <c r="CZ15" i="14"/>
  <c r="CY15" i="14"/>
  <c r="CX15" i="14"/>
  <c r="CS15" i="14"/>
  <c r="CP15" i="14"/>
  <c r="BI15" i="14"/>
  <c r="BB15" i="14"/>
  <c r="AZ15" i="14"/>
  <c r="AW15" i="14"/>
  <c r="AV15" i="14"/>
  <c r="AT15" i="14"/>
  <c r="AG15" i="14"/>
  <c r="AE15" i="14"/>
  <c r="CJ15" i="14" s="1"/>
  <c r="X15" i="14"/>
  <c r="W15" i="14"/>
  <c r="S15" i="14"/>
  <c r="P15" i="14"/>
  <c r="O15" i="14"/>
  <c r="N15" i="14"/>
  <c r="CM15" i="14" s="1"/>
  <c r="K15" i="14"/>
  <c r="A15" i="14"/>
  <c r="CZ14" i="14"/>
  <c r="CY14" i="14"/>
  <c r="CX14" i="14"/>
  <c r="CV14" i="14"/>
  <c r="CS14" i="14"/>
  <c r="CP14" i="14"/>
  <c r="CJ14" i="14"/>
  <c r="BI14" i="14"/>
  <c r="BB14" i="14"/>
  <c r="AZ14" i="14"/>
  <c r="AW14" i="14"/>
  <c r="AV14" i="14"/>
  <c r="AT14" i="14"/>
  <c r="AG14" i="14"/>
  <c r="AE14" i="14"/>
  <c r="W14" i="14"/>
  <c r="S14" i="14"/>
  <c r="O14" i="14"/>
  <c r="N14" i="14"/>
  <c r="CM14" i="14" s="1"/>
  <c r="K14" i="14"/>
  <c r="P14" i="14" s="1"/>
  <c r="A14" i="14"/>
  <c r="CZ13" i="14"/>
  <c r="CY13" i="14"/>
  <c r="CX13" i="14"/>
  <c r="CS13" i="14"/>
  <c r="BI13" i="14"/>
  <c r="BB13" i="14"/>
  <c r="AZ13" i="14"/>
  <c r="AW13" i="14"/>
  <c r="AV13" i="14"/>
  <c r="AT13" i="14"/>
  <c r="AG13" i="14"/>
  <c r="W13" i="14" s="1"/>
  <c r="AE13" i="14"/>
  <c r="CV13" i="14" s="1"/>
  <c r="S13" i="14"/>
  <c r="P13" i="14"/>
  <c r="O13" i="14"/>
  <c r="N13" i="14"/>
  <c r="CM13" i="14" s="1"/>
  <c r="K13" i="14"/>
  <c r="A13" i="14"/>
  <c r="CZ12" i="14"/>
  <c r="CY12" i="14"/>
  <c r="CX12" i="14"/>
  <c r="CV12" i="14"/>
  <c r="CS12" i="14"/>
  <c r="CP12" i="14"/>
  <c r="CJ12" i="14"/>
  <c r="BI12" i="14"/>
  <c r="BB12" i="14"/>
  <c r="AZ12" i="14"/>
  <c r="AW12" i="14"/>
  <c r="AV12" i="14"/>
  <c r="AT12" i="14"/>
  <c r="AG12" i="14"/>
  <c r="W12" i="14" s="1"/>
  <c r="AE12" i="14"/>
  <c r="X12" i="14"/>
  <c r="S12" i="14"/>
  <c r="O12" i="14"/>
  <c r="N12" i="14"/>
  <c r="CM12" i="14" s="1"/>
  <c r="K12" i="14"/>
  <c r="P12" i="14" s="1"/>
  <c r="A12" i="14"/>
  <c r="CZ11" i="14"/>
  <c r="CY11" i="14"/>
  <c r="CX11" i="14"/>
  <c r="CS11" i="14"/>
  <c r="BI11" i="14"/>
  <c r="BB11" i="14"/>
  <c r="AZ11" i="14"/>
  <c r="AW11" i="14"/>
  <c r="AV11" i="14"/>
  <c r="AT11" i="14"/>
  <c r="AG11" i="14"/>
  <c r="AE11" i="14"/>
  <c r="CV11" i="14" s="1"/>
  <c r="X11" i="14"/>
  <c r="W11" i="14"/>
  <c r="S11" i="14"/>
  <c r="P11" i="14"/>
  <c r="O11" i="14"/>
  <c r="N11" i="14"/>
  <c r="CM11" i="14" s="1"/>
  <c r="K11" i="14"/>
  <c r="A11" i="14"/>
  <c r="CZ10" i="14"/>
  <c r="CY10" i="14"/>
  <c r="CX10" i="14"/>
  <c r="CV10" i="14"/>
  <c r="CS10" i="14"/>
  <c r="CP10" i="14"/>
  <c r="CJ10" i="14"/>
  <c r="BI10" i="14"/>
  <c r="BB10" i="14"/>
  <c r="AZ10" i="14"/>
  <c r="AW10" i="14"/>
  <c r="AV10" i="14"/>
  <c r="AT10" i="14"/>
  <c r="AG10" i="14"/>
  <c r="AE10" i="14"/>
  <c r="W10" i="14"/>
  <c r="S10" i="14"/>
  <c r="O10" i="14"/>
  <c r="N10" i="14"/>
  <c r="CM10" i="14" s="1"/>
  <c r="K10" i="14"/>
  <c r="P10" i="14" s="1"/>
  <c r="A10" i="14"/>
  <c r="CZ9" i="14"/>
  <c r="CY9" i="14"/>
  <c r="CX9" i="14"/>
  <c r="CS9" i="14"/>
  <c r="BI9" i="14"/>
  <c r="BB9" i="14"/>
  <c r="AZ9" i="14"/>
  <c r="AW9" i="14"/>
  <c r="AV9" i="14"/>
  <c r="AT9" i="14"/>
  <c r="AG9" i="14"/>
  <c r="W9" i="14" s="1"/>
  <c r="AE9" i="14"/>
  <c r="CV9" i="14" s="1"/>
  <c r="S9" i="14"/>
  <c r="P9" i="14"/>
  <c r="O9" i="14"/>
  <c r="N9" i="14"/>
  <c r="CM9" i="14" s="1"/>
  <c r="K9" i="14"/>
  <c r="A9" i="14"/>
  <c r="CZ8" i="14"/>
  <c r="CY8" i="14"/>
  <c r="CX8" i="14"/>
  <c r="CV8" i="14"/>
  <c r="CS8" i="14"/>
  <c r="CP8" i="14"/>
  <c r="CJ8" i="14"/>
  <c r="BI8" i="14"/>
  <c r="BB8" i="14"/>
  <c r="AZ8" i="14"/>
  <c r="AW8" i="14"/>
  <c r="AV8" i="14"/>
  <c r="AT8" i="14"/>
  <c r="AG8" i="14"/>
  <c r="W8" i="14" s="1"/>
  <c r="AE8" i="14"/>
  <c r="X8" i="14"/>
  <c r="S8" i="14"/>
  <c r="O8" i="14"/>
  <c r="N8" i="14"/>
  <c r="CM8" i="14" s="1"/>
  <c r="K8" i="14"/>
  <c r="P8" i="14" s="1"/>
  <c r="A8" i="14"/>
  <c r="CZ7" i="14"/>
  <c r="CY7" i="14"/>
  <c r="CX7" i="14"/>
  <c r="CS7" i="14"/>
  <c r="BI7" i="14"/>
  <c r="BB7" i="14"/>
  <c r="AZ7" i="14"/>
  <c r="AW7" i="14"/>
  <c r="AV7" i="14"/>
  <c r="AT7" i="14"/>
  <c r="AG7" i="14"/>
  <c r="AE7" i="14"/>
  <c r="CV7" i="14" s="1"/>
  <c r="X7" i="14"/>
  <c r="W7" i="14"/>
  <c r="S7" i="14"/>
  <c r="P7" i="14"/>
  <c r="O7" i="14"/>
  <c r="N7" i="14"/>
  <c r="CM7" i="14" s="1"/>
  <c r="K7" i="14"/>
  <c r="A7" i="14"/>
  <c r="CZ6" i="14"/>
  <c r="CY6" i="14"/>
  <c r="CX6" i="14"/>
  <c r="CV6" i="14"/>
  <c r="CS6" i="14"/>
  <c r="CP6" i="14"/>
  <c r="CJ6" i="14"/>
  <c r="BI6" i="14"/>
  <c r="BB6" i="14"/>
  <c r="AZ6" i="14"/>
  <c r="AW6" i="14"/>
  <c r="AV6" i="14"/>
  <c r="AT6" i="14"/>
  <c r="AG6" i="14"/>
  <c r="AE6" i="14"/>
  <c r="W6" i="14"/>
  <c r="S6" i="14"/>
  <c r="O6" i="14"/>
  <c r="N6" i="14"/>
  <c r="CM6" i="14" s="1"/>
  <c r="K6" i="14"/>
  <c r="P6" i="14" s="1"/>
  <c r="A6" i="14"/>
  <c r="CZ5" i="14"/>
  <c r="CY5" i="14"/>
  <c r="CX5" i="14"/>
  <c r="CS5" i="14"/>
  <c r="BI5" i="14"/>
  <c r="BB5" i="14"/>
  <c r="AZ5" i="14"/>
  <c r="AW5" i="14"/>
  <c r="AV5" i="14"/>
  <c r="AT5" i="14"/>
  <c r="AG5" i="14"/>
  <c r="W5" i="14" s="1"/>
  <c r="AE5" i="14"/>
  <c r="CV5" i="14" s="1"/>
  <c r="S5" i="14"/>
  <c r="P5" i="14"/>
  <c r="O5" i="14"/>
  <c r="N5" i="14"/>
  <c r="CM5" i="14" s="1"/>
  <c r="K5" i="14"/>
  <c r="A5" i="14"/>
  <c r="H7" i="23" l="1"/>
  <c r="M7" i="23"/>
  <c r="R7" i="23"/>
  <c r="H8" i="23"/>
  <c r="P8" i="23"/>
  <c r="T8" i="23"/>
  <c r="X8" i="23"/>
  <c r="H4" i="23"/>
  <c r="L4" i="23"/>
  <c r="P4" i="23"/>
  <c r="T4" i="23"/>
  <c r="N6" i="23"/>
  <c r="V6" i="23"/>
  <c r="I7" i="23"/>
  <c r="N7" i="23"/>
  <c r="T7" i="23"/>
  <c r="Y7" i="23"/>
  <c r="I8" i="23"/>
  <c r="M8" i="23"/>
  <c r="Q8" i="23"/>
  <c r="U8" i="23"/>
  <c r="Y8" i="23"/>
  <c r="N9" i="23"/>
  <c r="I10" i="23"/>
  <c r="Q10" i="23"/>
  <c r="Y10" i="23"/>
  <c r="R13" i="23"/>
  <c r="L15" i="23"/>
  <c r="Q15" i="23"/>
  <c r="V15" i="23"/>
  <c r="G16" i="23"/>
  <c r="K16" i="23"/>
  <c r="O16" i="23"/>
  <c r="S16" i="23"/>
  <c r="W16" i="23"/>
  <c r="V17" i="23"/>
  <c r="M18" i="23"/>
  <c r="U18" i="23"/>
  <c r="H19" i="23"/>
  <c r="M19" i="23"/>
  <c r="R19" i="23"/>
  <c r="X19" i="23"/>
  <c r="H20" i="23"/>
  <c r="L20" i="23"/>
  <c r="P20" i="23"/>
  <c r="T20" i="23"/>
  <c r="N22" i="23"/>
  <c r="V22" i="23"/>
  <c r="I23" i="23"/>
  <c r="N23" i="23"/>
  <c r="T23" i="23"/>
  <c r="Y23" i="23"/>
  <c r="I24" i="23"/>
  <c r="M24" i="23"/>
  <c r="Q24" i="23"/>
  <c r="U24" i="23"/>
  <c r="Y24" i="23"/>
  <c r="N25" i="23"/>
  <c r="I26" i="23"/>
  <c r="Q26" i="23"/>
  <c r="Y26" i="23"/>
  <c r="R29" i="23"/>
  <c r="J30" i="23"/>
  <c r="J31" i="23"/>
  <c r="J32" i="23"/>
  <c r="H33" i="23"/>
  <c r="L33" i="23"/>
  <c r="P33" i="23"/>
  <c r="T33" i="23"/>
  <c r="H34" i="23"/>
  <c r="S34" i="23"/>
  <c r="H38" i="23"/>
  <c r="P38" i="23"/>
  <c r="X38" i="23"/>
  <c r="P40" i="23"/>
  <c r="G41" i="23"/>
  <c r="K41" i="23"/>
  <c r="O41" i="23"/>
  <c r="S41" i="23"/>
  <c r="W41" i="23"/>
  <c r="H44" i="23"/>
  <c r="R44" i="23"/>
  <c r="G45" i="23"/>
  <c r="K45" i="23"/>
  <c r="O45" i="23"/>
  <c r="S45" i="23"/>
  <c r="W45" i="23"/>
  <c r="I47" i="23"/>
  <c r="N47" i="23"/>
  <c r="S47" i="23"/>
  <c r="Y47" i="23"/>
  <c r="N50" i="23"/>
  <c r="X50" i="23"/>
  <c r="L54" i="23"/>
  <c r="T54" i="23"/>
  <c r="H56" i="23"/>
  <c r="X56" i="23"/>
  <c r="I57" i="23"/>
  <c r="M57" i="23"/>
  <c r="Q57" i="23"/>
  <c r="U57" i="23"/>
  <c r="Y57" i="23"/>
  <c r="R58" i="23"/>
  <c r="N60" i="23"/>
  <c r="X60" i="23"/>
  <c r="I61" i="23"/>
  <c r="M61" i="23"/>
  <c r="Q61" i="23"/>
  <c r="U61" i="23"/>
  <c r="Y61" i="23"/>
  <c r="K63" i="23"/>
  <c r="Q63" i="23"/>
  <c r="V63" i="23"/>
  <c r="H66" i="23"/>
  <c r="P66" i="23"/>
  <c r="X66" i="23"/>
  <c r="J69" i="23"/>
  <c r="R69" i="23"/>
  <c r="J70" i="23"/>
  <c r="R70" i="23"/>
  <c r="X75" i="23"/>
  <c r="T75" i="23"/>
  <c r="P75" i="23"/>
  <c r="L75" i="23"/>
  <c r="H75" i="23"/>
  <c r="W75" i="23"/>
  <c r="S75" i="23"/>
  <c r="O75" i="23"/>
  <c r="K75" i="23"/>
  <c r="G75" i="23"/>
  <c r="W76" i="23"/>
  <c r="R76" i="23"/>
  <c r="L76" i="23"/>
  <c r="G76" i="23"/>
  <c r="V76" i="23"/>
  <c r="P76" i="23"/>
  <c r="K76" i="23"/>
  <c r="W77" i="23"/>
  <c r="R77" i="23"/>
  <c r="M77" i="23"/>
  <c r="G77" i="23"/>
  <c r="V77" i="23"/>
  <c r="Q77" i="23"/>
  <c r="K77" i="23"/>
  <c r="X78" i="23"/>
  <c r="R78" i="23"/>
  <c r="M78" i="23"/>
  <c r="H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G8" i="23"/>
  <c r="K8" i="23"/>
  <c r="O8" i="23"/>
  <c r="S8" i="23"/>
  <c r="W8" i="23"/>
  <c r="V9" i="23"/>
  <c r="M10" i="23"/>
  <c r="U10" i="23"/>
  <c r="I15" i="23"/>
  <c r="N15" i="23"/>
  <c r="T15" i="23"/>
  <c r="Y15" i="23"/>
  <c r="I16" i="23"/>
  <c r="M16" i="23"/>
  <c r="Q16" i="23"/>
  <c r="U16" i="23"/>
  <c r="N17" i="23"/>
  <c r="I18" i="23"/>
  <c r="Q18" i="23"/>
  <c r="Y18" i="23"/>
  <c r="L23" i="23"/>
  <c r="Q23" i="23"/>
  <c r="V23" i="23"/>
  <c r="G24" i="23"/>
  <c r="K24" i="23"/>
  <c r="O24" i="23"/>
  <c r="S24" i="23"/>
  <c r="W24" i="23"/>
  <c r="V25" i="23"/>
  <c r="M26" i="23"/>
  <c r="U26" i="23"/>
  <c r="N34" i="23"/>
  <c r="L38" i="23"/>
  <c r="T38" i="23"/>
  <c r="G39" i="23"/>
  <c r="M39" i="23"/>
  <c r="R39" i="23"/>
  <c r="W39" i="23"/>
  <c r="H40" i="23"/>
  <c r="I41" i="23"/>
  <c r="M41" i="23"/>
  <c r="Q41" i="23"/>
  <c r="U41" i="23"/>
  <c r="R42" i="23"/>
  <c r="N44" i="23"/>
  <c r="I45" i="23"/>
  <c r="M45" i="23"/>
  <c r="Q45" i="23"/>
  <c r="U45" i="23"/>
  <c r="K47" i="23"/>
  <c r="Q47" i="23"/>
  <c r="V47" i="23"/>
  <c r="N48" i="23"/>
  <c r="H49" i="23"/>
  <c r="L49" i="23"/>
  <c r="P49" i="23"/>
  <c r="T49" i="23"/>
  <c r="H50" i="23"/>
  <c r="R50" i="23"/>
  <c r="G51" i="23"/>
  <c r="M51" i="23"/>
  <c r="R51" i="23"/>
  <c r="W51" i="23"/>
  <c r="H53" i="23"/>
  <c r="L53" i="23"/>
  <c r="P53" i="23"/>
  <c r="T53" i="23"/>
  <c r="H54" i="23"/>
  <c r="P54" i="23"/>
  <c r="P56" i="23"/>
  <c r="G57" i="23"/>
  <c r="K57" i="23"/>
  <c r="O57" i="23"/>
  <c r="S57" i="23"/>
  <c r="W57" i="23"/>
  <c r="G59" i="23"/>
  <c r="M59" i="23"/>
  <c r="R59" i="23"/>
  <c r="W59" i="23"/>
  <c r="H60" i="23"/>
  <c r="R60" i="23"/>
  <c r="G61" i="23"/>
  <c r="K61" i="23"/>
  <c r="O61" i="23"/>
  <c r="S61" i="23"/>
  <c r="W61" i="23"/>
  <c r="I63" i="23"/>
  <c r="N63" i="23"/>
  <c r="S63" i="23"/>
  <c r="Y63" i="23"/>
  <c r="L66" i="23"/>
  <c r="G67" i="23"/>
  <c r="M67" i="23"/>
  <c r="R67" i="23"/>
  <c r="W67" i="23"/>
  <c r="H69" i="23"/>
  <c r="N69" i="23"/>
  <c r="U69" i="23"/>
  <c r="H70" i="23"/>
  <c r="N70" i="23"/>
  <c r="U70" i="23"/>
  <c r="X71" i="23"/>
  <c r="T71" i="23"/>
  <c r="W71" i="23"/>
  <c r="S71" i="23"/>
  <c r="O71" i="23"/>
  <c r="K71" i="23"/>
  <c r="G71" i="23"/>
  <c r="W72" i="23"/>
  <c r="R72" i="23"/>
  <c r="L72" i="23"/>
  <c r="G72" i="23"/>
  <c r="V72" i="23"/>
  <c r="P72" i="23"/>
  <c r="K72" i="23"/>
  <c r="W73" i="23"/>
  <c r="R73" i="23"/>
  <c r="M73" i="23"/>
  <c r="G73" i="23"/>
  <c r="V73" i="23"/>
  <c r="Q73" i="23"/>
  <c r="K73" i="23"/>
  <c r="X74" i="23"/>
  <c r="R74" i="23"/>
  <c r="M74" i="23"/>
  <c r="H74" i="23"/>
  <c r="V74" i="23"/>
  <c r="Q74" i="23"/>
  <c r="L74" i="23"/>
  <c r="N75" i="23"/>
  <c r="V75" i="23"/>
  <c r="J76" i="23"/>
  <c r="T76" i="23"/>
  <c r="U78" i="23"/>
  <c r="X79" i="23"/>
  <c r="T79" i="23"/>
  <c r="P79" i="23"/>
  <c r="L79" i="23"/>
  <c r="H79" i="23"/>
  <c r="W79" i="23"/>
  <c r="S79" i="23"/>
  <c r="O79" i="23"/>
  <c r="K79" i="23"/>
  <c r="G79" i="23"/>
  <c r="W80" i="23"/>
  <c r="R80" i="23"/>
  <c r="L80" i="23"/>
  <c r="G80" i="23"/>
  <c r="V80" i="23"/>
  <c r="P80" i="23"/>
  <c r="K80" i="23"/>
  <c r="X7" i="23"/>
  <c r="N10" i="23"/>
  <c r="V10" i="23"/>
  <c r="R17" i="23"/>
  <c r="H23" i="23"/>
  <c r="M23" i="23"/>
  <c r="R23" i="23"/>
  <c r="X23" i="23"/>
  <c r="H24" i="23"/>
  <c r="L24" i="23"/>
  <c r="P24" i="23"/>
  <c r="T24" i="23"/>
  <c r="N26" i="23"/>
  <c r="V26" i="23"/>
  <c r="N38" i="23"/>
  <c r="G47" i="23"/>
  <c r="M47" i="23"/>
  <c r="R47" i="23"/>
  <c r="W47" i="23"/>
  <c r="J50" i="23"/>
  <c r="H57" i="23"/>
  <c r="L57" i="23"/>
  <c r="P57" i="23"/>
  <c r="T57" i="23"/>
  <c r="J58" i="23"/>
  <c r="J60" i="23"/>
  <c r="H61" i="23"/>
  <c r="L61" i="23"/>
  <c r="P61" i="23"/>
  <c r="T61" i="23"/>
  <c r="K84" i="23"/>
  <c r="S84" i="23"/>
  <c r="T86" i="23"/>
  <c r="Y86" i="23"/>
  <c r="M87" i="23"/>
  <c r="Q87" i="23"/>
  <c r="U87" i="23"/>
  <c r="H90" i="23"/>
  <c r="M90" i="23"/>
  <c r="R90" i="23"/>
  <c r="X90" i="23"/>
  <c r="H91" i="23"/>
  <c r="L91" i="23"/>
  <c r="P91" i="23"/>
  <c r="T91" i="23"/>
  <c r="X91" i="23"/>
  <c r="G92" i="23"/>
  <c r="O92" i="23"/>
  <c r="W92" i="23"/>
  <c r="H94" i="23"/>
  <c r="M94" i="23"/>
  <c r="R94" i="23"/>
  <c r="X94" i="23"/>
  <c r="H95" i="23"/>
  <c r="M95" i="23"/>
  <c r="R95" i="23"/>
  <c r="W95" i="23"/>
  <c r="J96" i="23"/>
  <c r="S96" i="23"/>
  <c r="Y100" i="23"/>
  <c r="S100" i="23"/>
  <c r="K100" i="23"/>
  <c r="W100" i="23"/>
  <c r="O100" i="23"/>
  <c r="G100" i="23"/>
  <c r="J102" i="23"/>
  <c r="U102" i="23"/>
  <c r="R112" i="23"/>
  <c r="N84" i="23"/>
  <c r="V84" i="23"/>
  <c r="I90" i="23"/>
  <c r="N90" i="23"/>
  <c r="T90" i="23"/>
  <c r="Y90" i="23"/>
  <c r="I91" i="23"/>
  <c r="M91" i="23"/>
  <c r="Q91" i="23"/>
  <c r="U91" i="23"/>
  <c r="Y91" i="23"/>
  <c r="I94" i="23"/>
  <c r="N94" i="23"/>
  <c r="T94" i="23"/>
  <c r="Y94" i="23"/>
  <c r="I95" i="23"/>
  <c r="N95" i="23"/>
  <c r="S95" i="23"/>
  <c r="K96" i="23"/>
  <c r="N100" i="23"/>
  <c r="M102" i="23"/>
  <c r="R111" i="23"/>
  <c r="J111" i="23"/>
  <c r="X95" i="23"/>
  <c r="T95" i="23"/>
  <c r="P95" i="23"/>
  <c r="L95" i="23"/>
  <c r="Y96" i="23"/>
  <c r="W96" i="23"/>
  <c r="O96" i="23"/>
  <c r="G96" i="23"/>
  <c r="W102" i="23"/>
  <c r="Y102" i="23"/>
  <c r="T102" i="23"/>
  <c r="N102" i="23"/>
  <c r="I102" i="23"/>
  <c r="V102" i="23"/>
  <c r="Q102" i="23"/>
  <c r="L102" i="23"/>
  <c r="W112" i="23"/>
  <c r="S112" i="23"/>
  <c r="O112" i="23"/>
  <c r="K112" i="23"/>
  <c r="G112" i="23"/>
  <c r="Y112" i="23"/>
  <c r="U112" i="23"/>
  <c r="Q112" i="23"/>
  <c r="M112" i="23"/>
  <c r="I112" i="23"/>
  <c r="X112" i="23"/>
  <c r="T112" i="23"/>
  <c r="P112" i="23"/>
  <c r="L112" i="23"/>
  <c r="H112" i="23"/>
  <c r="L90" i="23"/>
  <c r="Q90" i="23"/>
  <c r="V90" i="23"/>
  <c r="G91" i="23"/>
  <c r="K91" i="23"/>
  <c r="O91" i="23"/>
  <c r="S91" i="23"/>
  <c r="L94" i="23"/>
  <c r="Q94" i="23"/>
  <c r="V94" i="23"/>
  <c r="G95" i="23"/>
  <c r="K95" i="23"/>
  <c r="Q95" i="23"/>
  <c r="V95" i="23"/>
  <c r="R96" i="23"/>
  <c r="H102" i="23"/>
  <c r="R102" i="23"/>
  <c r="N112" i="23"/>
  <c r="K114" i="23"/>
  <c r="Q114" i="23"/>
  <c r="V114" i="23"/>
  <c r="L117" i="23"/>
  <c r="T117" i="23"/>
  <c r="G118" i="23"/>
  <c r="M118" i="23"/>
  <c r="R118" i="23"/>
  <c r="W118" i="23"/>
  <c r="J119" i="23"/>
  <c r="G120" i="23"/>
  <c r="K120" i="23"/>
  <c r="O120" i="23"/>
  <c r="S120" i="23"/>
  <c r="W120" i="23"/>
  <c r="N121" i="23"/>
  <c r="V121" i="23"/>
  <c r="N122" i="23"/>
  <c r="S122" i="23"/>
  <c r="Y122" i="23"/>
  <c r="R123" i="23"/>
  <c r="H124" i="23"/>
  <c r="L124" i="23"/>
  <c r="P124" i="23"/>
  <c r="T124" i="23"/>
  <c r="X124" i="23"/>
  <c r="H125" i="23"/>
  <c r="P125" i="23"/>
  <c r="X125" i="23"/>
  <c r="I128" i="23"/>
  <c r="M128" i="23"/>
  <c r="Q128" i="23"/>
  <c r="U128" i="23"/>
  <c r="J129" i="23"/>
  <c r="R129" i="23"/>
  <c r="J131" i="23"/>
  <c r="H132" i="23"/>
  <c r="N132" i="23"/>
  <c r="S132" i="23"/>
  <c r="X134" i="23"/>
  <c r="V134" i="23"/>
  <c r="Q134" i="23"/>
  <c r="K134" i="23"/>
  <c r="X138" i="23"/>
  <c r="W138" i="23"/>
  <c r="R138" i="23"/>
  <c r="M138" i="23"/>
  <c r="G138" i="23"/>
  <c r="L140" i="23"/>
  <c r="Q140" i="23"/>
  <c r="V140" i="23"/>
  <c r="H141" i="23"/>
  <c r="R141" i="23"/>
  <c r="G142" i="23"/>
  <c r="O142" i="23"/>
  <c r="V142" i="23"/>
  <c r="J143" i="23"/>
  <c r="Y154" i="23"/>
  <c r="U154" i="23"/>
  <c r="Q154" i="23"/>
  <c r="M154" i="23"/>
  <c r="I154" i="23"/>
  <c r="X154" i="23"/>
  <c r="T154" i="23"/>
  <c r="P154" i="23"/>
  <c r="L154" i="23"/>
  <c r="H154" i="23"/>
  <c r="W154" i="23"/>
  <c r="S154" i="23"/>
  <c r="O154" i="23"/>
  <c r="K154" i="23"/>
  <c r="G154" i="23"/>
  <c r="Y155" i="23"/>
  <c r="X155" i="23"/>
  <c r="S155" i="23"/>
  <c r="N155" i="23"/>
  <c r="H155" i="23"/>
  <c r="W155" i="23"/>
  <c r="R155" i="23"/>
  <c r="L155" i="23"/>
  <c r="G155" i="23"/>
  <c r="V155" i="23"/>
  <c r="P155" i="23"/>
  <c r="K155" i="23"/>
  <c r="X157" i="23"/>
  <c r="Y157" i="23"/>
  <c r="Q157" i="23"/>
  <c r="I157" i="23"/>
  <c r="V157" i="23"/>
  <c r="N157" i="23"/>
  <c r="U157" i="23"/>
  <c r="M157" i="23"/>
  <c r="X164" i="23"/>
  <c r="V164" i="23"/>
  <c r="L164" i="23"/>
  <c r="T164" i="23"/>
  <c r="J164" i="23"/>
  <c r="R164" i="23"/>
  <c r="H98" i="23"/>
  <c r="M98" i="23"/>
  <c r="R98" i="23"/>
  <c r="X98" i="23"/>
  <c r="H99" i="23"/>
  <c r="L99" i="23"/>
  <c r="P99" i="23"/>
  <c r="T99" i="23"/>
  <c r="G103" i="23"/>
  <c r="K103" i="23"/>
  <c r="O103" i="23"/>
  <c r="S103" i="23"/>
  <c r="W103" i="23"/>
  <c r="N104" i="23"/>
  <c r="V104" i="23"/>
  <c r="L109" i="23"/>
  <c r="T109" i="23"/>
  <c r="G110" i="23"/>
  <c r="M110" i="23"/>
  <c r="R110" i="23"/>
  <c r="W110" i="23"/>
  <c r="G114" i="23"/>
  <c r="M114" i="23"/>
  <c r="R114" i="23"/>
  <c r="W114" i="23"/>
  <c r="N117" i="23"/>
  <c r="V117" i="23"/>
  <c r="I118" i="23"/>
  <c r="N118" i="23"/>
  <c r="S118" i="23"/>
  <c r="Y118" i="23"/>
  <c r="H120" i="23"/>
  <c r="L120" i="23"/>
  <c r="P120" i="23"/>
  <c r="T120" i="23"/>
  <c r="H121" i="23"/>
  <c r="P121" i="23"/>
  <c r="X121" i="23"/>
  <c r="V123" i="23"/>
  <c r="I124" i="23"/>
  <c r="M124" i="23"/>
  <c r="Q124" i="23"/>
  <c r="U124" i="23"/>
  <c r="Y124" i="23"/>
  <c r="L129" i="23"/>
  <c r="R131" i="23"/>
  <c r="Y132" i="23"/>
  <c r="U132" i="23"/>
  <c r="Q132" i="23"/>
  <c r="M132" i="23"/>
  <c r="I132" i="23"/>
  <c r="W137" i="23"/>
  <c r="T137" i="23"/>
  <c r="L137" i="23"/>
  <c r="H140" i="23"/>
  <c r="M140" i="23"/>
  <c r="R140" i="23"/>
  <c r="J141" i="23"/>
  <c r="J142" i="23"/>
  <c r="Q142" i="23"/>
  <c r="V143" i="23"/>
  <c r="N154" i="23"/>
  <c r="J155" i="23"/>
  <c r="Y158" i="23"/>
  <c r="U158" i="23"/>
  <c r="Q158" i="23"/>
  <c r="M158" i="23"/>
  <c r="I158" i="23"/>
  <c r="X158" i="23"/>
  <c r="T158" i="23"/>
  <c r="P158" i="23"/>
  <c r="L158" i="23"/>
  <c r="H158" i="23"/>
  <c r="W158" i="23"/>
  <c r="S158" i="23"/>
  <c r="O158" i="23"/>
  <c r="K158" i="23"/>
  <c r="G158" i="23"/>
  <c r="Y159" i="23"/>
  <c r="X159" i="23"/>
  <c r="S159" i="23"/>
  <c r="N159" i="23"/>
  <c r="H159" i="23"/>
  <c r="W159" i="23"/>
  <c r="R159" i="23"/>
  <c r="L159" i="23"/>
  <c r="G159" i="23"/>
  <c r="V159" i="23"/>
  <c r="P159" i="23"/>
  <c r="K159" i="23"/>
  <c r="Y165" i="23"/>
  <c r="U165" i="23"/>
  <c r="Q165" i="23"/>
  <c r="M165" i="23"/>
  <c r="I165" i="23"/>
  <c r="X165" i="23"/>
  <c r="T165" i="23"/>
  <c r="P165" i="23"/>
  <c r="L165" i="23"/>
  <c r="H165" i="23"/>
  <c r="W165" i="23"/>
  <c r="S165" i="23"/>
  <c r="O165" i="23"/>
  <c r="K165" i="23"/>
  <c r="G165" i="23"/>
  <c r="X142" i="23"/>
  <c r="Y142" i="23"/>
  <c r="S142" i="23"/>
  <c r="N142" i="23"/>
  <c r="I142" i="23"/>
  <c r="R154" i="23"/>
  <c r="O155" i="23"/>
  <c r="J157" i="23"/>
  <c r="X163" i="23"/>
  <c r="Y163" i="23"/>
  <c r="S163" i="23"/>
  <c r="O163" i="23"/>
  <c r="K163" i="23"/>
  <c r="G163" i="23"/>
  <c r="W163" i="23"/>
  <c r="R163" i="23"/>
  <c r="N163" i="23"/>
  <c r="J163" i="23"/>
  <c r="V163" i="23"/>
  <c r="Q163" i="23"/>
  <c r="M163" i="23"/>
  <c r="I163" i="23"/>
  <c r="N165" i="23"/>
  <c r="I103" i="23"/>
  <c r="M103" i="23"/>
  <c r="Q103" i="23"/>
  <c r="U103" i="23"/>
  <c r="H109" i="23"/>
  <c r="P109" i="23"/>
  <c r="K118" i="23"/>
  <c r="Q118" i="23"/>
  <c r="V118" i="23"/>
  <c r="L121" i="23"/>
  <c r="T121" i="23"/>
  <c r="G124" i="23"/>
  <c r="K124" i="23"/>
  <c r="O124" i="23"/>
  <c r="S124" i="23"/>
  <c r="W129" i="23"/>
  <c r="X129" i="23"/>
  <c r="W140" i="23"/>
  <c r="S140" i="23"/>
  <c r="O140" i="23"/>
  <c r="K140" i="23"/>
  <c r="G140" i="23"/>
  <c r="W141" i="23"/>
  <c r="V141" i="23"/>
  <c r="N141" i="23"/>
  <c r="M142" i="23"/>
  <c r="U142" i="23"/>
  <c r="X153" i="23"/>
  <c r="Y153" i="23"/>
  <c r="Q153" i="23"/>
  <c r="I153" i="23"/>
  <c r="V153" i="23"/>
  <c r="N153" i="23"/>
  <c r="U153" i="23"/>
  <c r="M153" i="23"/>
  <c r="V154" i="23"/>
  <c r="T155" i="23"/>
  <c r="R157" i="23"/>
  <c r="R158" i="23"/>
  <c r="O159" i="23"/>
  <c r="L163" i="23"/>
  <c r="N164" i="23"/>
  <c r="R165" i="23"/>
  <c r="M149" i="23"/>
  <c r="G150" i="23"/>
  <c r="K150" i="23"/>
  <c r="O150" i="23"/>
  <c r="S150" i="23"/>
  <c r="K151" i="23"/>
  <c r="P151" i="23"/>
  <c r="V151" i="23"/>
  <c r="G160" i="23"/>
  <c r="M160" i="23"/>
  <c r="R160" i="23"/>
  <c r="X160" i="23"/>
  <c r="I161" i="23"/>
  <c r="M161" i="23"/>
  <c r="Q161" i="23"/>
  <c r="U161" i="23"/>
  <c r="CQ6" i="14"/>
  <c r="CQ7" i="14" s="1"/>
  <c r="CQ8" i="14" s="1"/>
  <c r="CQ9" i="14" s="1"/>
  <c r="CQ10" i="14" s="1"/>
  <c r="CQ11" i="14" s="1"/>
  <c r="CQ12" i="14" s="1"/>
  <c r="CQ13" i="14" s="1"/>
  <c r="CQ14" i="14" s="1"/>
  <c r="CQ15" i="14" s="1"/>
  <c r="CQ16" i="14" s="1"/>
  <c r="CQ17" i="14" s="1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Q55" i="14" s="1"/>
  <c r="CQ56" i="14" s="1"/>
  <c r="CQ57" i="14" s="1"/>
  <c r="CQ58" i="14" s="1"/>
  <c r="CQ59" i="14" s="1"/>
  <c r="CQ60" i="14" s="1"/>
  <c r="CQ61" i="14" s="1"/>
  <c r="CQ62" i="14" s="1"/>
  <c r="CQ63" i="14" s="1"/>
  <c r="CQ64" i="14" s="1"/>
  <c r="CQ65" i="14" s="1"/>
  <c r="CQ66" i="14" s="1"/>
  <c r="CQ67" i="14" s="1"/>
  <c r="CQ68" i="14" s="1"/>
  <c r="CQ69" i="14" s="1"/>
  <c r="CQ70" i="14" s="1"/>
  <c r="CQ71" i="14" s="1"/>
  <c r="CQ72" i="14" s="1"/>
  <c r="CQ73" i="14" s="1"/>
  <c r="CQ74" i="14" s="1"/>
  <c r="CQ75" i="14" s="1"/>
  <c r="CQ76" i="14" s="1"/>
  <c r="CQ77" i="14" s="1"/>
  <c r="CQ78" i="14" s="1"/>
  <c r="CQ79" i="14" s="1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R159" i="14" s="1"/>
  <c r="CQ160" i="14" s="1"/>
  <c r="CR160" i="14" s="1"/>
  <c r="CQ161" i="14" s="1"/>
  <c r="CR161" i="14" s="1"/>
  <c r="CQ162" i="14" s="1"/>
  <c r="CR162" i="14" s="1"/>
  <c r="CQ163" i="14" s="1"/>
  <c r="CR163" i="14" s="1"/>
  <c r="CQ164" i="14" s="1"/>
  <c r="CR164" i="14" s="1"/>
  <c r="CQ165" i="14" s="1"/>
  <c r="CR165" i="14" s="1"/>
  <c r="CQ166" i="14" s="1"/>
  <c r="CR166" i="14" s="1"/>
  <c r="CQ167" i="14" s="1"/>
  <c r="CR167" i="14" s="1"/>
  <c r="CQ168" i="14" s="1"/>
  <c r="CR168" i="14" s="1"/>
  <c r="W52" i="23"/>
  <c r="S52" i="23"/>
  <c r="O52" i="23"/>
  <c r="K52" i="23"/>
  <c r="G52" i="23"/>
  <c r="Y52" i="23"/>
  <c r="U52" i="23"/>
  <c r="Q52" i="23"/>
  <c r="M52" i="23"/>
  <c r="I52" i="23"/>
  <c r="W68" i="23"/>
  <c r="S68" i="23"/>
  <c r="O68" i="23"/>
  <c r="K68" i="23"/>
  <c r="G68" i="23"/>
  <c r="Y68" i="23"/>
  <c r="U68" i="23"/>
  <c r="Q68" i="23"/>
  <c r="M68" i="23"/>
  <c r="I68" i="23"/>
  <c r="G5" i="23"/>
  <c r="O5" i="23"/>
  <c r="G9" i="23"/>
  <c r="W9" i="23"/>
  <c r="G13" i="23"/>
  <c r="K13" i="23"/>
  <c r="O13" i="23"/>
  <c r="S13" i="23"/>
  <c r="W13" i="23"/>
  <c r="G17" i="23"/>
  <c r="K17" i="23"/>
  <c r="O17" i="23"/>
  <c r="S17" i="23"/>
  <c r="W17" i="23"/>
  <c r="G21" i="23"/>
  <c r="K21" i="23"/>
  <c r="O21" i="23"/>
  <c r="S21" i="23"/>
  <c r="W21" i="23"/>
  <c r="G25" i="23"/>
  <c r="K25" i="23"/>
  <c r="O25" i="23"/>
  <c r="S25" i="23"/>
  <c r="W25" i="23"/>
  <c r="G29" i="23"/>
  <c r="K29" i="23"/>
  <c r="O29" i="23"/>
  <c r="S29" i="23"/>
  <c r="W29" i="23"/>
  <c r="Y30" i="23"/>
  <c r="U30" i="23"/>
  <c r="Q30" i="23"/>
  <c r="M30" i="23"/>
  <c r="X31" i="23"/>
  <c r="T31" i="23"/>
  <c r="P31" i="23"/>
  <c r="L31" i="23"/>
  <c r="H31" i="23"/>
  <c r="W32" i="23"/>
  <c r="S32" i="23"/>
  <c r="O32" i="23"/>
  <c r="K32" i="23"/>
  <c r="G32" i="23"/>
  <c r="Y34" i="23"/>
  <c r="U34" i="23"/>
  <c r="Q34" i="23"/>
  <c r="M34" i="23"/>
  <c r="I34" i="23"/>
  <c r="L36" i="23"/>
  <c r="W40" i="23"/>
  <c r="S40" i="23"/>
  <c r="O40" i="23"/>
  <c r="K40" i="23"/>
  <c r="G40" i="23"/>
  <c r="Y40" i="23"/>
  <c r="U40" i="23"/>
  <c r="Q40" i="23"/>
  <c r="M40" i="23"/>
  <c r="I40" i="23"/>
  <c r="L42" i="23"/>
  <c r="Y46" i="23"/>
  <c r="U46" i="23"/>
  <c r="Q46" i="23"/>
  <c r="M46" i="23"/>
  <c r="I46" i="23"/>
  <c r="W46" i="23"/>
  <c r="S46" i="23"/>
  <c r="O46" i="23"/>
  <c r="K46" i="23"/>
  <c r="G46" i="23"/>
  <c r="L52" i="23"/>
  <c r="T52" i="23"/>
  <c r="W56" i="23"/>
  <c r="S56" i="23"/>
  <c r="O56" i="23"/>
  <c r="K56" i="23"/>
  <c r="G56" i="23"/>
  <c r="Y56" i="23"/>
  <c r="U56" i="23"/>
  <c r="Q56" i="23"/>
  <c r="M56" i="23"/>
  <c r="I56" i="23"/>
  <c r="L58" i="23"/>
  <c r="Y62" i="23"/>
  <c r="U62" i="23"/>
  <c r="Q62" i="23"/>
  <c r="M62" i="23"/>
  <c r="I62" i="23"/>
  <c r="W62" i="23"/>
  <c r="S62" i="23"/>
  <c r="O62" i="23"/>
  <c r="K62" i="23"/>
  <c r="G62" i="23"/>
  <c r="L68" i="23"/>
  <c r="T68" i="23"/>
  <c r="Y85" i="23"/>
  <c r="U85" i="23"/>
  <c r="Q85" i="23"/>
  <c r="M85" i="23"/>
  <c r="I85" i="23"/>
  <c r="X85" i="23"/>
  <c r="T85" i="23"/>
  <c r="P85" i="23"/>
  <c r="L85" i="23"/>
  <c r="H85" i="23"/>
  <c r="W85" i="23"/>
  <c r="S85" i="23"/>
  <c r="O85" i="23"/>
  <c r="K85" i="23"/>
  <c r="G85" i="23"/>
  <c r="V85" i="23"/>
  <c r="R85" i="23"/>
  <c r="N85" i="23"/>
  <c r="Y101" i="23"/>
  <c r="U101" i="23"/>
  <c r="Q101" i="23"/>
  <c r="M101" i="23"/>
  <c r="I101" i="23"/>
  <c r="X101" i="23"/>
  <c r="T101" i="23"/>
  <c r="P101" i="23"/>
  <c r="L101" i="23"/>
  <c r="H101" i="23"/>
  <c r="W101" i="23"/>
  <c r="S101" i="23"/>
  <c r="O101" i="23"/>
  <c r="K101" i="23"/>
  <c r="G101" i="23"/>
  <c r="V101" i="23"/>
  <c r="R101" i="23"/>
  <c r="N101" i="23"/>
  <c r="W36" i="23"/>
  <c r="S36" i="23"/>
  <c r="O36" i="23"/>
  <c r="K36" i="23"/>
  <c r="G36" i="23"/>
  <c r="Y36" i="23"/>
  <c r="U36" i="23"/>
  <c r="Q36" i="23"/>
  <c r="M36" i="23"/>
  <c r="I36" i="23"/>
  <c r="Y42" i="23"/>
  <c r="U42" i="23"/>
  <c r="Q42" i="23"/>
  <c r="M42" i="23"/>
  <c r="I42" i="23"/>
  <c r="W42" i="23"/>
  <c r="S42" i="23"/>
  <c r="O42" i="23"/>
  <c r="K42" i="23"/>
  <c r="G42" i="23"/>
  <c r="Y58" i="23"/>
  <c r="U58" i="23"/>
  <c r="Q58" i="23"/>
  <c r="M58" i="23"/>
  <c r="I58" i="23"/>
  <c r="W58" i="23"/>
  <c r="S58" i="23"/>
  <c r="O58" i="23"/>
  <c r="K58" i="23"/>
  <c r="G58" i="23"/>
  <c r="X81" i="23"/>
  <c r="T81" i="23"/>
  <c r="P81" i="23"/>
  <c r="L81" i="23"/>
  <c r="H81" i="23"/>
  <c r="W81" i="23"/>
  <c r="S81" i="23"/>
  <c r="O81" i="23"/>
  <c r="Y81" i="23"/>
  <c r="Q81" i="23"/>
  <c r="J81" i="23"/>
  <c r="V81" i="23"/>
  <c r="N81" i="23"/>
  <c r="I81" i="23"/>
  <c r="U81" i="23"/>
  <c r="M81" i="23"/>
  <c r="G81" i="23"/>
  <c r="K5" i="23"/>
  <c r="S5" i="23"/>
  <c r="K9" i="23"/>
  <c r="S9" i="23"/>
  <c r="H5" i="23"/>
  <c r="L5" i="23"/>
  <c r="P5" i="23"/>
  <c r="T5" i="23"/>
  <c r="X5" i="23"/>
  <c r="G6" i="23"/>
  <c r="K6" i="23"/>
  <c r="O6" i="23"/>
  <c r="S6" i="23"/>
  <c r="W6" i="23"/>
  <c r="H9" i="23"/>
  <c r="L9" i="23"/>
  <c r="P9" i="23"/>
  <c r="T9" i="23"/>
  <c r="X9" i="23"/>
  <c r="G10" i="23"/>
  <c r="K10" i="23"/>
  <c r="O10" i="23"/>
  <c r="S10" i="23"/>
  <c r="W10" i="23"/>
  <c r="H13" i="23"/>
  <c r="L13" i="23"/>
  <c r="P13" i="23"/>
  <c r="T13" i="23"/>
  <c r="X13" i="23"/>
  <c r="G14" i="23"/>
  <c r="K14" i="23"/>
  <c r="O14" i="23"/>
  <c r="S14" i="23"/>
  <c r="W14" i="23"/>
  <c r="H17" i="23"/>
  <c r="L17" i="23"/>
  <c r="P17" i="23"/>
  <c r="T17" i="23"/>
  <c r="X17" i="23"/>
  <c r="G18" i="23"/>
  <c r="K18" i="23"/>
  <c r="O18" i="23"/>
  <c r="S18" i="23"/>
  <c r="W18" i="23"/>
  <c r="H21" i="23"/>
  <c r="L21" i="23"/>
  <c r="P21" i="23"/>
  <c r="T21" i="23"/>
  <c r="X21" i="23"/>
  <c r="G22" i="23"/>
  <c r="K22" i="23"/>
  <c r="O22" i="23"/>
  <c r="S22" i="23"/>
  <c r="W22" i="23"/>
  <c r="H25" i="23"/>
  <c r="L25" i="23"/>
  <c r="P25" i="23"/>
  <c r="T25" i="23"/>
  <c r="X25" i="23"/>
  <c r="G26" i="23"/>
  <c r="K26" i="23"/>
  <c r="O26" i="23"/>
  <c r="S26" i="23"/>
  <c r="W26" i="23"/>
  <c r="H29" i="23"/>
  <c r="L29" i="23"/>
  <c r="P29" i="23"/>
  <c r="T29" i="23"/>
  <c r="X29" i="23"/>
  <c r="G30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N36" i="23"/>
  <c r="V36" i="23"/>
  <c r="L40" i="23"/>
  <c r="T40" i="23"/>
  <c r="N42" i="23"/>
  <c r="V42" i="23"/>
  <c r="W44" i="23"/>
  <c r="S44" i="23"/>
  <c r="O44" i="23"/>
  <c r="K44" i="23"/>
  <c r="G44" i="23"/>
  <c r="Y44" i="23"/>
  <c r="U44" i="23"/>
  <c r="Q44" i="23"/>
  <c r="M44" i="23"/>
  <c r="I44" i="23"/>
  <c r="L46" i="23"/>
  <c r="T46" i="23"/>
  <c r="Y50" i="23"/>
  <c r="U50" i="23"/>
  <c r="Q50" i="23"/>
  <c r="M50" i="23"/>
  <c r="I50" i="23"/>
  <c r="W50" i="23"/>
  <c r="S50" i="23"/>
  <c r="O50" i="23"/>
  <c r="K50" i="23"/>
  <c r="G50" i="23"/>
  <c r="N52" i="23"/>
  <c r="V52" i="23"/>
  <c r="L56" i="23"/>
  <c r="T56" i="23"/>
  <c r="N58" i="23"/>
  <c r="V58" i="23"/>
  <c r="W60" i="23"/>
  <c r="S60" i="23"/>
  <c r="O60" i="23"/>
  <c r="K60" i="23"/>
  <c r="G60" i="23"/>
  <c r="Y60" i="23"/>
  <c r="U60" i="23"/>
  <c r="Q60" i="23"/>
  <c r="M60" i="23"/>
  <c r="I60" i="23"/>
  <c r="L62" i="23"/>
  <c r="T62" i="23"/>
  <c r="Y66" i="23"/>
  <c r="U66" i="23"/>
  <c r="Q66" i="23"/>
  <c r="M66" i="23"/>
  <c r="I66" i="23"/>
  <c r="W66" i="23"/>
  <c r="S66" i="23"/>
  <c r="O66" i="23"/>
  <c r="K66" i="23"/>
  <c r="G66" i="23"/>
  <c r="N68" i="23"/>
  <c r="V68" i="23"/>
  <c r="K81" i="23"/>
  <c r="Y89" i="23"/>
  <c r="U89" i="23"/>
  <c r="Q89" i="23"/>
  <c r="M89" i="23"/>
  <c r="I89" i="23"/>
  <c r="X89" i="23"/>
  <c r="T89" i="23"/>
  <c r="P89" i="23"/>
  <c r="L89" i="23"/>
  <c r="H89" i="23"/>
  <c r="W89" i="23"/>
  <c r="S89" i="23"/>
  <c r="O89" i="23"/>
  <c r="K89" i="23"/>
  <c r="G89" i="23"/>
  <c r="V89" i="23"/>
  <c r="R89" i="23"/>
  <c r="N89" i="23"/>
  <c r="Y97" i="23"/>
  <c r="U97" i="23"/>
  <c r="Q97" i="23"/>
  <c r="M97" i="23"/>
  <c r="I97" i="23"/>
  <c r="X97" i="23"/>
  <c r="T97" i="23"/>
  <c r="P97" i="23"/>
  <c r="L97" i="23"/>
  <c r="H97" i="23"/>
  <c r="W97" i="23"/>
  <c r="S97" i="23"/>
  <c r="O97" i="23"/>
  <c r="K97" i="23"/>
  <c r="G97" i="23"/>
  <c r="V97" i="23"/>
  <c r="R97" i="23"/>
  <c r="N97" i="23"/>
  <c r="W5" i="23"/>
  <c r="O9" i="23"/>
  <c r="I5" i="23"/>
  <c r="M5" i="23"/>
  <c r="Q5" i="23"/>
  <c r="U5" i="23"/>
  <c r="H6" i="23"/>
  <c r="L6" i="23"/>
  <c r="P6" i="23"/>
  <c r="T6" i="23"/>
  <c r="G7" i="23"/>
  <c r="K7" i="23"/>
  <c r="O7" i="23"/>
  <c r="S7" i="23"/>
  <c r="I9" i="23"/>
  <c r="M9" i="23"/>
  <c r="Q9" i="23"/>
  <c r="U9" i="23"/>
  <c r="H10" i="23"/>
  <c r="L10" i="23"/>
  <c r="P10" i="23"/>
  <c r="T10" i="23"/>
  <c r="G11" i="23"/>
  <c r="K11" i="23"/>
  <c r="O11" i="23"/>
  <c r="S11" i="23"/>
  <c r="I13" i="23"/>
  <c r="M13" i="23"/>
  <c r="Q13" i="23"/>
  <c r="U13" i="23"/>
  <c r="H14" i="23"/>
  <c r="L14" i="23"/>
  <c r="P14" i="23"/>
  <c r="T14" i="23"/>
  <c r="G15" i="23"/>
  <c r="K15" i="23"/>
  <c r="O15" i="23"/>
  <c r="S15" i="23"/>
  <c r="I17" i="23"/>
  <c r="M17" i="23"/>
  <c r="Q17" i="23"/>
  <c r="U17" i="23"/>
  <c r="H18" i="23"/>
  <c r="L18" i="23"/>
  <c r="P18" i="23"/>
  <c r="T18" i="23"/>
  <c r="G19" i="23"/>
  <c r="K19" i="23"/>
  <c r="O19" i="23"/>
  <c r="S19" i="23"/>
  <c r="I21" i="23"/>
  <c r="M21" i="23"/>
  <c r="Q21" i="23"/>
  <c r="U21" i="23"/>
  <c r="H22" i="23"/>
  <c r="L22" i="23"/>
  <c r="P22" i="23"/>
  <c r="T22" i="23"/>
  <c r="G23" i="23"/>
  <c r="K23" i="23"/>
  <c r="O23" i="23"/>
  <c r="S23" i="23"/>
  <c r="I25" i="23"/>
  <c r="M25" i="23"/>
  <c r="Q25" i="23"/>
  <c r="U25" i="23"/>
  <c r="H26" i="23"/>
  <c r="L26" i="23"/>
  <c r="P26" i="23"/>
  <c r="T26" i="23"/>
  <c r="G27" i="23"/>
  <c r="K27" i="23"/>
  <c r="O27" i="23"/>
  <c r="S27" i="23"/>
  <c r="I29" i="23"/>
  <c r="M29" i="23"/>
  <c r="Q29" i="23"/>
  <c r="U29" i="23"/>
  <c r="H30" i="23"/>
  <c r="L30" i="23"/>
  <c r="R30" i="23"/>
  <c r="W30" i="23"/>
  <c r="G31" i="23"/>
  <c r="M31" i="23"/>
  <c r="R31" i="23"/>
  <c r="W31" i="23"/>
  <c r="H32" i="23"/>
  <c r="M32" i="23"/>
  <c r="R32" i="23"/>
  <c r="X32" i="23"/>
  <c r="G34" i="23"/>
  <c r="L34" i="23"/>
  <c r="R34" i="23"/>
  <c r="W34" i="23"/>
  <c r="H36" i="23"/>
  <c r="P36" i="23"/>
  <c r="X36" i="23"/>
  <c r="Y38" i="23"/>
  <c r="U38" i="23"/>
  <c r="Q38" i="23"/>
  <c r="M38" i="23"/>
  <c r="I38" i="23"/>
  <c r="W38" i="23"/>
  <c r="S38" i="23"/>
  <c r="O38" i="23"/>
  <c r="K38" i="23"/>
  <c r="G38" i="23"/>
  <c r="N40" i="23"/>
  <c r="V40" i="23"/>
  <c r="H42" i="23"/>
  <c r="P42" i="23"/>
  <c r="X42" i="23"/>
  <c r="L44" i="23"/>
  <c r="T44" i="23"/>
  <c r="N46" i="23"/>
  <c r="V46" i="23"/>
  <c r="W48" i="23"/>
  <c r="S48" i="23"/>
  <c r="O48" i="23"/>
  <c r="K48" i="23"/>
  <c r="G48" i="23"/>
  <c r="Y48" i="23"/>
  <c r="U48" i="23"/>
  <c r="Q48" i="23"/>
  <c r="M48" i="23"/>
  <c r="I48" i="23"/>
  <c r="L50" i="23"/>
  <c r="T50" i="23"/>
  <c r="H52" i="23"/>
  <c r="P52" i="23"/>
  <c r="X52" i="23"/>
  <c r="Y54" i="23"/>
  <c r="U54" i="23"/>
  <c r="Q54" i="23"/>
  <c r="M54" i="23"/>
  <c r="I54" i="23"/>
  <c r="W54" i="23"/>
  <c r="S54" i="23"/>
  <c r="O54" i="23"/>
  <c r="K54" i="23"/>
  <c r="G54" i="23"/>
  <c r="N56" i="23"/>
  <c r="V56" i="23"/>
  <c r="H58" i="23"/>
  <c r="P58" i="23"/>
  <c r="X58" i="23"/>
  <c r="L60" i="23"/>
  <c r="T60" i="23"/>
  <c r="N62" i="23"/>
  <c r="V62" i="23"/>
  <c r="W64" i="23"/>
  <c r="S64" i="23"/>
  <c r="O64" i="23"/>
  <c r="K64" i="23"/>
  <c r="G64" i="23"/>
  <c r="Y64" i="23"/>
  <c r="U64" i="23"/>
  <c r="Q64" i="23"/>
  <c r="M64" i="23"/>
  <c r="I64" i="23"/>
  <c r="H68" i="23"/>
  <c r="P68" i="23"/>
  <c r="X68" i="23"/>
  <c r="R81" i="23"/>
  <c r="Y93" i="23"/>
  <c r="U93" i="23"/>
  <c r="Q93" i="23"/>
  <c r="M93" i="23"/>
  <c r="I93" i="23"/>
  <c r="X93" i="23"/>
  <c r="T93" i="23"/>
  <c r="P93" i="23"/>
  <c r="L93" i="23"/>
  <c r="H93" i="23"/>
  <c r="W93" i="23"/>
  <c r="S93" i="23"/>
  <c r="O93" i="23"/>
  <c r="K93" i="23"/>
  <c r="G93" i="23"/>
  <c r="V93" i="23"/>
  <c r="R93" i="23"/>
  <c r="N93" i="23"/>
  <c r="J97" i="23"/>
  <c r="Y111" i="23"/>
  <c r="U111" i="23"/>
  <c r="Q111" i="23"/>
  <c r="M111" i="23"/>
  <c r="I111" i="23"/>
  <c r="W111" i="23"/>
  <c r="S111" i="23"/>
  <c r="O111" i="23"/>
  <c r="K111" i="23"/>
  <c r="G111" i="23"/>
  <c r="X111" i="23"/>
  <c r="P111" i="23"/>
  <c r="H111" i="23"/>
  <c r="V111" i="23"/>
  <c r="N111" i="23"/>
  <c r="T111" i="23"/>
  <c r="L111" i="23"/>
  <c r="H35" i="23"/>
  <c r="L35" i="23"/>
  <c r="P35" i="23"/>
  <c r="T35" i="23"/>
  <c r="H39" i="23"/>
  <c r="L39" i="23"/>
  <c r="P39" i="23"/>
  <c r="T39" i="23"/>
  <c r="H43" i="23"/>
  <c r="L43" i="23"/>
  <c r="P43" i="23"/>
  <c r="T43" i="23"/>
  <c r="H47" i="23"/>
  <c r="L47" i="23"/>
  <c r="P47" i="23"/>
  <c r="T47" i="23"/>
  <c r="H51" i="23"/>
  <c r="L51" i="23"/>
  <c r="P51" i="23"/>
  <c r="T51" i="23"/>
  <c r="H55" i="23"/>
  <c r="L55" i="23"/>
  <c r="P55" i="23"/>
  <c r="T55" i="23"/>
  <c r="H59" i="23"/>
  <c r="L59" i="23"/>
  <c r="P59" i="23"/>
  <c r="T59" i="23"/>
  <c r="H63" i="23"/>
  <c r="L63" i="23"/>
  <c r="P63" i="23"/>
  <c r="T63" i="23"/>
  <c r="H67" i="23"/>
  <c r="L67" i="23"/>
  <c r="P67" i="23"/>
  <c r="T67" i="23"/>
  <c r="X69" i="23"/>
  <c r="T69" i="23"/>
  <c r="P69" i="23"/>
  <c r="L69" i="23"/>
  <c r="W70" i="23"/>
  <c r="S70" i="23"/>
  <c r="O70" i="23"/>
  <c r="K70" i="23"/>
  <c r="G70" i="23"/>
  <c r="Y72" i="23"/>
  <c r="U72" i="23"/>
  <c r="Q72" i="23"/>
  <c r="M72" i="23"/>
  <c r="I72" i="23"/>
  <c r="X73" i="23"/>
  <c r="T73" i="23"/>
  <c r="P73" i="23"/>
  <c r="L73" i="23"/>
  <c r="H73" i="23"/>
  <c r="W74" i="23"/>
  <c r="S74" i="23"/>
  <c r="O74" i="23"/>
  <c r="K74" i="23"/>
  <c r="G74" i="23"/>
  <c r="Y76" i="23"/>
  <c r="U76" i="23"/>
  <c r="Q76" i="23"/>
  <c r="M76" i="23"/>
  <c r="I76" i="23"/>
  <c r="X77" i="23"/>
  <c r="T77" i="23"/>
  <c r="P77" i="23"/>
  <c r="L77" i="23"/>
  <c r="H77" i="23"/>
  <c r="W78" i="23"/>
  <c r="S78" i="23"/>
  <c r="O78" i="23"/>
  <c r="K78" i="23"/>
  <c r="G78" i="23"/>
  <c r="Y80" i="23"/>
  <c r="U80" i="23"/>
  <c r="Q80" i="23"/>
  <c r="M80" i="23"/>
  <c r="I80" i="23"/>
  <c r="H84" i="23"/>
  <c r="L84" i="23"/>
  <c r="P84" i="23"/>
  <c r="T84" i="23"/>
  <c r="X84" i="23"/>
  <c r="H88" i="23"/>
  <c r="L88" i="23"/>
  <c r="P88" i="23"/>
  <c r="T88" i="23"/>
  <c r="X88" i="23"/>
  <c r="H92" i="23"/>
  <c r="L92" i="23"/>
  <c r="P92" i="23"/>
  <c r="T92" i="23"/>
  <c r="X92" i="23"/>
  <c r="H96" i="23"/>
  <c r="L96" i="23"/>
  <c r="P96" i="23"/>
  <c r="T96" i="23"/>
  <c r="X96" i="23"/>
  <c r="H100" i="23"/>
  <c r="L100" i="23"/>
  <c r="P100" i="23"/>
  <c r="T100" i="23"/>
  <c r="X100" i="23"/>
  <c r="H104" i="23"/>
  <c r="L104" i="23"/>
  <c r="P104" i="23"/>
  <c r="T104" i="23"/>
  <c r="X104" i="23"/>
  <c r="G105" i="23"/>
  <c r="K105" i="23"/>
  <c r="O105" i="23"/>
  <c r="S105" i="23"/>
  <c r="W105" i="23"/>
  <c r="G106" i="23"/>
  <c r="M106" i="23"/>
  <c r="R106" i="23"/>
  <c r="W106" i="23"/>
  <c r="H107" i="23"/>
  <c r="M107" i="23"/>
  <c r="R107" i="23"/>
  <c r="X107" i="23"/>
  <c r="N113" i="23"/>
  <c r="V113" i="23"/>
  <c r="Y115" i="23"/>
  <c r="U115" i="23"/>
  <c r="Q115" i="23"/>
  <c r="M115" i="23"/>
  <c r="I115" i="23"/>
  <c r="W115" i="23"/>
  <c r="S115" i="23"/>
  <c r="O115" i="23"/>
  <c r="K115" i="23"/>
  <c r="G115" i="23"/>
  <c r="Y119" i="23"/>
  <c r="U119" i="23"/>
  <c r="Q119" i="23"/>
  <c r="M119" i="23"/>
  <c r="I119" i="23"/>
  <c r="X119" i="23"/>
  <c r="T119" i="23"/>
  <c r="P119" i="23"/>
  <c r="L119" i="23"/>
  <c r="H119" i="23"/>
  <c r="W119" i="23"/>
  <c r="S119" i="23"/>
  <c r="O119" i="23"/>
  <c r="K119" i="23"/>
  <c r="G119" i="23"/>
  <c r="Y123" i="23"/>
  <c r="U123" i="23"/>
  <c r="Q123" i="23"/>
  <c r="M123" i="23"/>
  <c r="I123" i="23"/>
  <c r="X123" i="23"/>
  <c r="T123" i="23"/>
  <c r="P123" i="23"/>
  <c r="L123" i="23"/>
  <c r="H123" i="23"/>
  <c r="W123" i="23"/>
  <c r="S123" i="23"/>
  <c r="O123" i="23"/>
  <c r="K123" i="23"/>
  <c r="G123" i="23"/>
  <c r="Y127" i="23"/>
  <c r="U127" i="23"/>
  <c r="Q127" i="23"/>
  <c r="M127" i="23"/>
  <c r="I127" i="23"/>
  <c r="X127" i="23"/>
  <c r="T127" i="23"/>
  <c r="P127" i="23"/>
  <c r="L127" i="23"/>
  <c r="H127" i="23"/>
  <c r="W127" i="23"/>
  <c r="S127" i="23"/>
  <c r="O127" i="23"/>
  <c r="K127" i="23"/>
  <c r="G127" i="23"/>
  <c r="Y131" i="23"/>
  <c r="U131" i="23"/>
  <c r="Q131" i="23"/>
  <c r="M131" i="23"/>
  <c r="I131" i="23"/>
  <c r="X131" i="23"/>
  <c r="T131" i="23"/>
  <c r="P131" i="23"/>
  <c r="L131" i="23"/>
  <c r="H131" i="23"/>
  <c r="W131" i="23"/>
  <c r="S131" i="23"/>
  <c r="O131" i="23"/>
  <c r="K131" i="23"/>
  <c r="G131" i="23"/>
  <c r="Y135" i="23"/>
  <c r="U135" i="23"/>
  <c r="Q135" i="23"/>
  <c r="M135" i="23"/>
  <c r="I135" i="23"/>
  <c r="X135" i="23"/>
  <c r="T135" i="23"/>
  <c r="P135" i="23"/>
  <c r="L135" i="23"/>
  <c r="H135" i="23"/>
  <c r="W135" i="23"/>
  <c r="S135" i="23"/>
  <c r="O135" i="23"/>
  <c r="K135" i="23"/>
  <c r="G135" i="23"/>
  <c r="Y139" i="23"/>
  <c r="U139" i="23"/>
  <c r="Q139" i="23"/>
  <c r="M139" i="23"/>
  <c r="I139" i="23"/>
  <c r="X139" i="23"/>
  <c r="T139" i="23"/>
  <c r="P139" i="23"/>
  <c r="L139" i="23"/>
  <c r="H139" i="23"/>
  <c r="W139" i="23"/>
  <c r="S139" i="23"/>
  <c r="O139" i="23"/>
  <c r="K139" i="23"/>
  <c r="G139" i="23"/>
  <c r="Y143" i="23"/>
  <c r="U143" i="23"/>
  <c r="Q143" i="23"/>
  <c r="M143" i="23"/>
  <c r="I143" i="23"/>
  <c r="X143" i="23"/>
  <c r="T143" i="23"/>
  <c r="P143" i="23"/>
  <c r="L143" i="23"/>
  <c r="H143" i="23"/>
  <c r="W143" i="23"/>
  <c r="S143" i="23"/>
  <c r="O143" i="23"/>
  <c r="K143" i="23"/>
  <c r="G143" i="23"/>
  <c r="G82" i="23"/>
  <c r="K82" i="23"/>
  <c r="O82" i="23"/>
  <c r="S82" i="23"/>
  <c r="I84" i="23"/>
  <c r="M84" i="23"/>
  <c r="Q84" i="23"/>
  <c r="U84" i="23"/>
  <c r="G86" i="23"/>
  <c r="K86" i="23"/>
  <c r="O86" i="23"/>
  <c r="S86" i="23"/>
  <c r="I88" i="23"/>
  <c r="M88" i="23"/>
  <c r="Q88" i="23"/>
  <c r="U88" i="23"/>
  <c r="G90" i="23"/>
  <c r="K90" i="23"/>
  <c r="O90" i="23"/>
  <c r="S90" i="23"/>
  <c r="I92" i="23"/>
  <c r="M92" i="23"/>
  <c r="Q92" i="23"/>
  <c r="U92" i="23"/>
  <c r="G94" i="23"/>
  <c r="K94" i="23"/>
  <c r="O94" i="23"/>
  <c r="S94" i="23"/>
  <c r="I96" i="23"/>
  <c r="M96" i="23"/>
  <c r="Q96" i="23"/>
  <c r="U96" i="23"/>
  <c r="G98" i="23"/>
  <c r="K98" i="23"/>
  <c r="O98" i="23"/>
  <c r="S98" i="23"/>
  <c r="I100" i="23"/>
  <c r="M100" i="23"/>
  <c r="Q100" i="23"/>
  <c r="U100" i="23"/>
  <c r="G102" i="23"/>
  <c r="K102" i="23"/>
  <c r="O102" i="23"/>
  <c r="S102" i="23"/>
  <c r="I104" i="23"/>
  <c r="M104" i="23"/>
  <c r="Q104" i="23"/>
  <c r="U104" i="23"/>
  <c r="H105" i="23"/>
  <c r="L105" i="23"/>
  <c r="P105" i="23"/>
  <c r="T105" i="23"/>
  <c r="X105" i="23"/>
  <c r="I106" i="23"/>
  <c r="N106" i="23"/>
  <c r="S106" i="23"/>
  <c r="I107" i="23"/>
  <c r="N107" i="23"/>
  <c r="T107" i="23"/>
  <c r="W109" i="23"/>
  <c r="S109" i="23"/>
  <c r="O109" i="23"/>
  <c r="K109" i="23"/>
  <c r="G109" i="23"/>
  <c r="Y109" i="23"/>
  <c r="U109" i="23"/>
  <c r="Q109" i="23"/>
  <c r="M109" i="23"/>
  <c r="I109" i="23"/>
  <c r="H113" i="23"/>
  <c r="P113" i="23"/>
  <c r="L115" i="23"/>
  <c r="T115" i="23"/>
  <c r="N119" i="23"/>
  <c r="N123" i="23"/>
  <c r="N127" i="23"/>
  <c r="N131" i="23"/>
  <c r="N135" i="23"/>
  <c r="N139" i="23"/>
  <c r="N143" i="23"/>
  <c r="X106" i="23"/>
  <c r="T106" i="23"/>
  <c r="P106" i="23"/>
  <c r="L106" i="23"/>
  <c r="H106" i="23"/>
  <c r="W107" i="23"/>
  <c r="S107" i="23"/>
  <c r="O107" i="23"/>
  <c r="K107" i="23"/>
  <c r="G107" i="23"/>
  <c r="W113" i="23"/>
  <c r="S113" i="23"/>
  <c r="O113" i="23"/>
  <c r="K113" i="23"/>
  <c r="G113" i="23"/>
  <c r="Y113" i="23"/>
  <c r="U113" i="23"/>
  <c r="Q113" i="23"/>
  <c r="M113" i="23"/>
  <c r="I113" i="23"/>
  <c r="H110" i="23"/>
  <c r="L110" i="23"/>
  <c r="P110" i="23"/>
  <c r="T110" i="23"/>
  <c r="H114" i="23"/>
  <c r="L114" i="23"/>
  <c r="P114" i="23"/>
  <c r="T114" i="23"/>
  <c r="I117" i="23"/>
  <c r="M117" i="23"/>
  <c r="Q117" i="23"/>
  <c r="U117" i="23"/>
  <c r="Y117" i="23"/>
  <c r="H118" i="23"/>
  <c r="L118" i="23"/>
  <c r="P118" i="23"/>
  <c r="T118" i="23"/>
  <c r="I121" i="23"/>
  <c r="M121" i="23"/>
  <c r="Q121" i="23"/>
  <c r="U121" i="23"/>
  <c r="Y121" i="23"/>
  <c r="H122" i="23"/>
  <c r="L122" i="23"/>
  <c r="P122" i="23"/>
  <c r="T122" i="23"/>
  <c r="I125" i="23"/>
  <c r="M125" i="23"/>
  <c r="Q125" i="23"/>
  <c r="U125" i="23"/>
  <c r="Y125" i="23"/>
  <c r="H126" i="23"/>
  <c r="L126" i="23"/>
  <c r="P126" i="23"/>
  <c r="T126" i="23"/>
  <c r="I129" i="23"/>
  <c r="M129" i="23"/>
  <c r="Q129" i="23"/>
  <c r="U129" i="23"/>
  <c r="Y129" i="23"/>
  <c r="H130" i="23"/>
  <c r="L130" i="23"/>
  <c r="P130" i="23"/>
  <c r="T130" i="23"/>
  <c r="I133" i="23"/>
  <c r="M133" i="23"/>
  <c r="Q133" i="23"/>
  <c r="U133" i="23"/>
  <c r="Y133" i="23"/>
  <c r="H134" i="23"/>
  <c r="L134" i="23"/>
  <c r="P134" i="23"/>
  <c r="T134" i="23"/>
  <c r="I137" i="23"/>
  <c r="M137" i="23"/>
  <c r="Q137" i="23"/>
  <c r="U137" i="23"/>
  <c r="Y137" i="23"/>
  <c r="H138" i="23"/>
  <c r="L138" i="23"/>
  <c r="P138" i="23"/>
  <c r="T138" i="23"/>
  <c r="I141" i="23"/>
  <c r="M141" i="23"/>
  <c r="Q141" i="23"/>
  <c r="U141" i="23"/>
  <c r="Y141" i="23"/>
  <c r="H142" i="23"/>
  <c r="L142" i="23"/>
  <c r="P142" i="23"/>
  <c r="T142" i="23"/>
  <c r="J144" i="23"/>
  <c r="N144" i="23"/>
  <c r="R144" i="23"/>
  <c r="H145" i="23"/>
  <c r="M145" i="23"/>
  <c r="R145" i="23"/>
  <c r="G148" i="23"/>
  <c r="O148" i="23"/>
  <c r="X149" i="23"/>
  <c r="T149" i="23"/>
  <c r="P149" i="23"/>
  <c r="L149" i="23"/>
  <c r="H149" i="23"/>
  <c r="W149" i="23"/>
  <c r="S149" i="23"/>
  <c r="O149" i="23"/>
  <c r="K149" i="23"/>
  <c r="G149" i="23"/>
  <c r="Y148" i="23"/>
  <c r="U148" i="23"/>
  <c r="Q148" i="23"/>
  <c r="M148" i="23"/>
  <c r="I148" i="23"/>
  <c r="X148" i="23"/>
  <c r="T148" i="23"/>
  <c r="P148" i="23"/>
  <c r="L148" i="23"/>
  <c r="H148" i="23"/>
  <c r="G117" i="23"/>
  <c r="K117" i="23"/>
  <c r="O117" i="23"/>
  <c r="S117" i="23"/>
  <c r="G121" i="23"/>
  <c r="K121" i="23"/>
  <c r="O121" i="23"/>
  <c r="S121" i="23"/>
  <c r="G125" i="23"/>
  <c r="K125" i="23"/>
  <c r="O125" i="23"/>
  <c r="S125" i="23"/>
  <c r="G129" i="23"/>
  <c r="K129" i="23"/>
  <c r="O129" i="23"/>
  <c r="S129" i="23"/>
  <c r="G133" i="23"/>
  <c r="K133" i="23"/>
  <c r="O133" i="23"/>
  <c r="S133" i="23"/>
  <c r="G137" i="23"/>
  <c r="K137" i="23"/>
  <c r="O137" i="23"/>
  <c r="S137" i="23"/>
  <c r="G141" i="23"/>
  <c r="K141" i="23"/>
  <c r="O141" i="23"/>
  <c r="S141" i="23"/>
  <c r="X144" i="23"/>
  <c r="T144" i="23"/>
  <c r="W145" i="23"/>
  <c r="S145" i="23"/>
  <c r="O145" i="23"/>
  <c r="K145" i="23"/>
  <c r="G145" i="23"/>
  <c r="Y152" i="23"/>
  <c r="U152" i="23"/>
  <c r="Q152" i="23"/>
  <c r="M152" i="23"/>
  <c r="I152" i="23"/>
  <c r="X152" i="23"/>
  <c r="T152" i="23"/>
  <c r="P152" i="23"/>
  <c r="L152" i="23"/>
  <c r="H152" i="23"/>
  <c r="W152" i="23"/>
  <c r="S152" i="23"/>
  <c r="O152" i="23"/>
  <c r="K152" i="23"/>
  <c r="G152" i="23"/>
  <c r="Y156" i="23"/>
  <c r="U156" i="23"/>
  <c r="Q156" i="23"/>
  <c r="M156" i="23"/>
  <c r="I156" i="23"/>
  <c r="X156" i="23"/>
  <c r="T156" i="23"/>
  <c r="P156" i="23"/>
  <c r="L156" i="23"/>
  <c r="H156" i="23"/>
  <c r="W156" i="23"/>
  <c r="S156" i="23"/>
  <c r="O156" i="23"/>
  <c r="K156" i="23"/>
  <c r="G156" i="23"/>
  <c r="I147" i="23"/>
  <c r="M147" i="23"/>
  <c r="Q147" i="23"/>
  <c r="U147" i="23"/>
  <c r="I151" i="23"/>
  <c r="M151" i="23"/>
  <c r="Q151" i="23"/>
  <c r="U151" i="23"/>
  <c r="G153" i="23"/>
  <c r="K153" i="23"/>
  <c r="O153" i="23"/>
  <c r="S153" i="23"/>
  <c r="W153" i="23"/>
  <c r="I155" i="23"/>
  <c r="M155" i="23"/>
  <c r="Q155" i="23"/>
  <c r="U155" i="23"/>
  <c r="G157" i="23"/>
  <c r="K157" i="23"/>
  <c r="O157" i="23"/>
  <c r="S157" i="23"/>
  <c r="W157" i="23"/>
  <c r="I159" i="23"/>
  <c r="M159" i="23"/>
  <c r="Q159" i="23"/>
  <c r="U159" i="23"/>
  <c r="H160" i="23"/>
  <c r="L160" i="23"/>
  <c r="P160" i="23"/>
  <c r="T160" i="23"/>
  <c r="Y160" i="23"/>
  <c r="W162" i="23"/>
  <c r="S162" i="23"/>
  <c r="O162" i="23"/>
  <c r="K162" i="23"/>
  <c r="G162" i="23"/>
  <c r="Y162" i="23"/>
  <c r="U162" i="23"/>
  <c r="Q162" i="23"/>
  <c r="M162" i="23"/>
  <c r="I162" i="23"/>
  <c r="H164" i="23"/>
  <c r="P164" i="23"/>
  <c r="W166" i="23"/>
  <c r="S166" i="23"/>
  <c r="O166" i="23"/>
  <c r="K166" i="23"/>
  <c r="G166" i="23"/>
  <c r="Y166" i="23"/>
  <c r="U166" i="23"/>
  <c r="Q166" i="23"/>
  <c r="M166" i="23"/>
  <c r="I166" i="23"/>
  <c r="H153" i="23"/>
  <c r="L153" i="23"/>
  <c r="P153" i="23"/>
  <c r="T153" i="23"/>
  <c r="H157" i="23"/>
  <c r="L157" i="23"/>
  <c r="P157" i="23"/>
  <c r="T157" i="23"/>
  <c r="Y164" i="23"/>
  <c r="U164" i="23"/>
  <c r="Q164" i="23"/>
  <c r="M164" i="23"/>
  <c r="I164" i="23"/>
  <c r="W164" i="23"/>
  <c r="S164" i="23"/>
  <c r="O164" i="23"/>
  <c r="K164" i="23"/>
  <c r="G164" i="23"/>
  <c r="T163" i="23"/>
  <c r="CJ5" i="14"/>
  <c r="CP5" i="14"/>
  <c r="X6" i="14"/>
  <c r="CJ9" i="14"/>
  <c r="CP9" i="14"/>
  <c r="X10" i="14"/>
  <c r="CJ13" i="14"/>
  <c r="CP13" i="14"/>
  <c r="X14" i="14"/>
  <c r="CV15" i="14"/>
  <c r="X17" i="14"/>
  <c r="X9" i="14"/>
  <c r="X13" i="14"/>
  <c r="CV21" i="14"/>
  <c r="CP21" i="14"/>
  <c r="CJ21" i="14"/>
  <c r="CV29" i="14"/>
  <c r="CP29" i="14"/>
  <c r="CJ29" i="14"/>
  <c r="X5" i="14"/>
  <c r="CJ7" i="14"/>
  <c r="CP7" i="14"/>
  <c r="CJ11" i="14"/>
  <c r="CP11" i="14"/>
  <c r="CM19" i="14"/>
  <c r="CV25" i="14"/>
  <c r="CP25" i="14"/>
  <c r="CJ25" i="14"/>
  <c r="CV37" i="14"/>
  <c r="CP37" i="14"/>
  <c r="CJ37" i="14"/>
  <c r="CV17" i="14"/>
  <c r="CP17" i="14"/>
  <c r="CJ17" i="14"/>
  <c r="CM27" i="14"/>
  <c r="CV33" i="14"/>
  <c r="CP33" i="14"/>
  <c r="CJ33" i="14"/>
  <c r="CM39" i="14"/>
  <c r="X39" i="14"/>
  <c r="CJ19" i="14"/>
  <c r="CP19" i="14"/>
  <c r="CM22" i="14"/>
  <c r="CM26" i="14"/>
  <c r="CJ27" i="14"/>
  <c r="CP27" i="14"/>
  <c r="CM30" i="14"/>
  <c r="CM34" i="14"/>
  <c r="CJ39" i="14"/>
  <c r="CV45" i="14"/>
  <c r="CP45" i="14"/>
  <c r="CJ45" i="14"/>
  <c r="CJ26" i="14"/>
  <c r="CP26" i="14"/>
  <c r="CJ30" i="14"/>
  <c r="CP30" i="14"/>
  <c r="CJ34" i="14"/>
  <c r="CP34" i="14"/>
  <c r="CV41" i="14"/>
  <c r="CP41" i="14"/>
  <c r="CJ41" i="14"/>
  <c r="CM41" i="14"/>
  <c r="CM43" i="14"/>
  <c r="CM42" i="14"/>
  <c r="X42" i="14"/>
  <c r="X47" i="14"/>
  <c r="X51" i="14"/>
  <c r="X55" i="14"/>
  <c r="X59" i="14"/>
  <c r="X63" i="14"/>
  <c r="X67" i="14"/>
  <c r="CP68" i="14"/>
  <c r="CV68" i="14"/>
  <c r="X71" i="14"/>
  <c r="CV75" i="14"/>
  <c r="CP75" i="14"/>
  <c r="CJ75" i="14"/>
  <c r="CM77" i="14"/>
  <c r="X46" i="14"/>
  <c r="CJ49" i="14"/>
  <c r="CP49" i="14"/>
  <c r="X50" i="14"/>
  <c r="CJ53" i="14"/>
  <c r="CP53" i="14"/>
  <c r="X54" i="14"/>
  <c r="CJ57" i="14"/>
  <c r="CP57" i="14"/>
  <c r="X58" i="14"/>
  <c r="CJ61" i="14"/>
  <c r="CP61" i="14"/>
  <c r="X62" i="14"/>
  <c r="CJ65" i="14"/>
  <c r="CP65" i="14"/>
  <c r="X66" i="14"/>
  <c r="CV69" i="14"/>
  <c r="CP69" i="14"/>
  <c r="CJ69" i="14"/>
  <c r="CM69" i="14"/>
  <c r="CV71" i="14"/>
  <c r="CP71" i="14"/>
  <c r="CJ71" i="14"/>
  <c r="CJ43" i="14"/>
  <c r="CP43" i="14"/>
  <c r="CJ47" i="14"/>
  <c r="CP47" i="14"/>
  <c r="CJ51" i="14"/>
  <c r="CP51" i="14"/>
  <c r="CJ63" i="14"/>
  <c r="CP63" i="14"/>
  <c r="CM70" i="14"/>
  <c r="X70" i="14"/>
  <c r="CV73" i="14"/>
  <c r="CP73" i="14"/>
  <c r="CJ73" i="14"/>
  <c r="X74" i="14"/>
  <c r="CJ77" i="14"/>
  <c r="CP77" i="14"/>
  <c r="X78" i="14"/>
  <c r="CJ81" i="14"/>
  <c r="CP81" i="14"/>
  <c r="X82" i="14"/>
  <c r="CJ85" i="14"/>
  <c r="CP85" i="14"/>
  <c r="X86" i="14"/>
  <c r="CJ89" i="14"/>
  <c r="CP89" i="14"/>
  <c r="CM94" i="14"/>
  <c r="X81" i="14"/>
  <c r="CJ84" i="14"/>
  <c r="CP84" i="14"/>
  <c r="X85" i="14"/>
  <c r="CJ88" i="14"/>
  <c r="CP88" i="14"/>
  <c r="X89" i="14"/>
  <c r="X91" i="14"/>
  <c r="CV93" i="14"/>
  <c r="CP93" i="14"/>
  <c r="CJ93" i="14"/>
  <c r="CM93" i="14"/>
  <c r="CJ79" i="14"/>
  <c r="CP79" i="14"/>
  <c r="CJ83" i="14"/>
  <c r="CP83" i="14"/>
  <c r="CJ87" i="14"/>
  <c r="CP87" i="14"/>
  <c r="CV97" i="14"/>
  <c r="CP97" i="14"/>
  <c r="CJ97" i="14"/>
  <c r="CM99" i="14"/>
  <c r="X103" i="14"/>
  <c r="X107" i="14"/>
  <c r="X111" i="14"/>
  <c r="CM118" i="14"/>
  <c r="CV119" i="14"/>
  <c r="X98" i="14"/>
  <c r="CJ101" i="14"/>
  <c r="CP101" i="14"/>
  <c r="X102" i="14"/>
  <c r="CJ105" i="14"/>
  <c r="CP105" i="14"/>
  <c r="X106" i="14"/>
  <c r="CJ109" i="14"/>
  <c r="CP109" i="14"/>
  <c r="X110" i="14"/>
  <c r="CV120" i="14"/>
  <c r="CP120" i="14"/>
  <c r="CJ120" i="14"/>
  <c r="CV113" i="14"/>
  <c r="CP113" i="14"/>
  <c r="CJ113" i="14"/>
  <c r="CV116" i="14"/>
  <c r="CP116" i="14"/>
  <c r="CJ116" i="14"/>
  <c r="CM117" i="14"/>
  <c r="CJ117" i="14"/>
  <c r="CP117" i="14"/>
  <c r="CJ121" i="14"/>
  <c r="CP121" i="14"/>
  <c r="X122" i="14"/>
  <c r="CJ125" i="14"/>
  <c r="CP125" i="14"/>
  <c r="X126" i="14"/>
  <c r="CJ129" i="14"/>
  <c r="CP129" i="14"/>
  <c r="X130" i="14"/>
  <c r="CV134" i="14"/>
  <c r="CP134" i="14"/>
  <c r="CJ134" i="14"/>
  <c r="X121" i="14"/>
  <c r="CJ124" i="14"/>
  <c r="CP124" i="14"/>
  <c r="X125" i="14"/>
  <c r="CJ128" i="14"/>
  <c r="CP128" i="14"/>
  <c r="X129" i="14"/>
  <c r="CV132" i="14"/>
  <c r="CJ131" i="14"/>
  <c r="CP131" i="14"/>
  <c r="CP132" i="14"/>
  <c r="CP133" i="14"/>
  <c r="CV133" i="14"/>
  <c r="X136" i="14"/>
  <c r="X140" i="14"/>
  <c r="CJ143" i="14"/>
  <c r="CP143" i="14"/>
  <c r="X144" i="14"/>
  <c r="X148" i="14"/>
  <c r="CJ138" i="14"/>
  <c r="CP138" i="14"/>
  <c r="X139" i="14"/>
  <c r="CJ142" i="14"/>
  <c r="CP142" i="14"/>
  <c r="X143" i="14"/>
  <c r="CJ146" i="14"/>
  <c r="CP146" i="14"/>
  <c r="X147" i="14"/>
  <c r="CP147" i="14"/>
  <c r="CV150" i="14"/>
  <c r="CP150" i="14"/>
  <c r="CJ150" i="14"/>
  <c r="CJ145" i="14"/>
  <c r="CP145" i="14"/>
  <c r="CP144" i="14"/>
  <c r="CV148" i="14"/>
  <c r="CP148" i="14"/>
  <c r="CJ148" i="14"/>
  <c r="CM156" i="14"/>
  <c r="CV159" i="14"/>
  <c r="CV160" i="14"/>
  <c r="CP160" i="14"/>
  <c r="CJ160" i="14"/>
  <c r="X149" i="14"/>
  <c r="CJ152" i="14"/>
  <c r="CP152" i="14"/>
  <c r="X153" i="14"/>
  <c r="CJ156" i="14"/>
  <c r="CP156" i="14"/>
  <c r="CP159" i="14"/>
  <c r="X158" i="14"/>
  <c r="CJ154" i="14"/>
  <c r="CP154" i="14"/>
  <c r="CM162" i="14"/>
  <c r="CM165" i="14"/>
  <c r="X166" i="14"/>
  <c r="CJ164" i="14"/>
  <c r="CP164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CT21" i="19"/>
  <c r="AQ8" i="19"/>
  <c r="CP20" i="19"/>
  <c r="AP8" i="19"/>
  <c r="BA10" i="19"/>
  <c r="E2" i="19"/>
  <c r="BF11" i="19"/>
  <c r="CK19" i="19"/>
  <c r="AI6" i="19"/>
  <c r="CL20" i="19"/>
  <c r="T3" i="19"/>
  <c r="AY9" i="19"/>
  <c r="AJ6" i="19"/>
  <c r="BH11" i="19"/>
  <c r="BW15" i="19"/>
  <c r="CB18" i="19"/>
  <c r="BT14" i="19"/>
  <c r="BD10" i="19"/>
  <c r="AD5" i="19"/>
  <c r="R3" i="19"/>
  <c r="CY22" i="19"/>
  <c r="CA18" i="19"/>
  <c r="BC10" i="19"/>
  <c r="Y3" i="19"/>
  <c r="K2" i="19"/>
  <c r="CV21" i="19"/>
  <c r="BZ18" i="19"/>
  <c r="BR14" i="19"/>
  <c r="BB10" i="19"/>
  <c r="AL6" i="19"/>
  <c r="P3" i="19"/>
  <c r="CU21" i="19"/>
  <c r="BO13" i="19"/>
  <c r="AU9" i="19"/>
  <c r="AG6" i="19"/>
  <c r="O3" i="19"/>
  <c r="CZ22" i="19"/>
  <c r="BN13" i="19"/>
  <c r="AX9" i="19"/>
  <c r="AB4" i="19"/>
  <c r="N3" i="19"/>
  <c r="CS21" i="19"/>
  <c r="AW9" i="19"/>
  <c r="G2" i="19"/>
  <c r="CJ17" i="19"/>
  <c r="AV9" i="19"/>
  <c r="J2" i="19"/>
  <c r="BG11" i="19"/>
  <c r="AS8" i="19"/>
  <c r="I2" i="19"/>
  <c r="BL12" i="19"/>
  <c r="Z3" i="19"/>
  <c r="H2" i="19"/>
  <c r="BS14" i="19"/>
  <c r="DB22" i="19"/>
  <c r="BJ12" i="19"/>
  <c r="F2" i="19"/>
  <c r="AO8" i="19"/>
  <c r="CN20" i="19"/>
  <c r="V3" i="19"/>
  <c r="M3" i="19"/>
  <c r="BX15" i="19"/>
  <c r="DA22" i="19"/>
  <c r="S3" i="19"/>
  <c r="CH17" i="19"/>
  <c r="CE16" i="19"/>
  <c r="U3" i="19"/>
  <c r="CR21" i="19"/>
  <c r="BP13" i="19"/>
  <c r="AH6" i="19"/>
  <c r="CO20" i="19"/>
  <c r="AE5" i="19"/>
  <c r="CF16" i="19"/>
  <c r="AR8" i="19"/>
  <c r="CM20" i="19"/>
  <c r="Q3" i="19"/>
  <c r="CD16" i="19"/>
  <c r="X3" i="19"/>
  <c r="CI17" i="19"/>
  <c r="W3" i="19"/>
  <c r="BV15" i="19"/>
  <c r="D2" i="19"/>
  <c r="BK12" i="19"/>
  <c r="CX22" i="19"/>
  <c r="AN7" i="19"/>
  <c r="AK6" i="19"/>
  <c r="L5" i="20" l="1"/>
  <c r="AJ6" i="14"/>
  <c r="L6" i="14"/>
  <c r="L7" i="20"/>
  <c r="AJ8" i="14"/>
  <c r="L8" i="14"/>
  <c r="AJ10" i="14"/>
  <c r="L10" i="14"/>
  <c r="L9" i="20"/>
  <c r="L11" i="20"/>
  <c r="AJ12" i="14"/>
  <c r="L12" i="14"/>
  <c r="L13" i="20"/>
  <c r="AJ14" i="14"/>
  <c r="L14" i="14"/>
  <c r="L15" i="20"/>
  <c r="L16" i="14"/>
  <c r="AJ16" i="14"/>
  <c r="L17" i="20"/>
  <c r="L18" i="14"/>
  <c r="AJ18" i="14"/>
  <c r="L19" i="20"/>
  <c r="L20" i="14"/>
  <c r="AJ20" i="14"/>
  <c r="L21" i="20"/>
  <c r="L22" i="14"/>
  <c r="AJ22" i="14"/>
  <c r="L23" i="20"/>
  <c r="AJ24" i="14"/>
  <c r="L24" i="14"/>
  <c r="L26" i="14"/>
  <c r="L25" i="20"/>
  <c r="AJ26" i="14"/>
  <c r="L27" i="20"/>
  <c r="L28" i="14"/>
  <c r="AJ28" i="14"/>
  <c r="L29" i="20"/>
  <c r="L30" i="14"/>
  <c r="AJ30" i="14"/>
  <c r="L31" i="20"/>
  <c r="L32" i="14"/>
  <c r="AJ32" i="14"/>
  <c r="L33" i="20"/>
  <c r="AJ34" i="14"/>
  <c r="L34" i="14"/>
  <c r="L35" i="20"/>
  <c r="AJ36" i="14"/>
  <c r="L36" i="14"/>
  <c r="L37" i="20"/>
  <c r="AJ38" i="14"/>
  <c r="L38" i="14"/>
  <c r="L39" i="20"/>
  <c r="AJ40" i="14"/>
  <c r="L40" i="14"/>
  <c r="L41" i="20"/>
  <c r="AJ42" i="14"/>
  <c r="L42" i="14"/>
  <c r="L43" i="20"/>
  <c r="AJ44" i="14"/>
  <c r="L44" i="14"/>
  <c r="L45" i="20"/>
  <c r="AJ46" i="14"/>
  <c r="L46" i="14"/>
  <c r="L47" i="20"/>
  <c r="L48" i="14"/>
  <c r="AJ48" i="14"/>
  <c r="L49" i="20"/>
  <c r="L50" i="14"/>
  <c r="AJ50" i="14"/>
  <c r="L51" i="20"/>
  <c r="AJ52" i="14"/>
  <c r="L52" i="14"/>
  <c r="L53" i="20"/>
  <c r="L54" i="14"/>
  <c r="AJ54" i="14"/>
  <c r="L55" i="20"/>
  <c r="AJ56" i="14"/>
  <c r="L56" i="14"/>
  <c r="AJ58" i="14"/>
  <c r="L57" i="20"/>
  <c r="L58" i="14"/>
  <c r="L59" i="20"/>
  <c r="AJ60" i="14"/>
  <c r="L60" i="14"/>
  <c r="L61" i="20"/>
  <c r="L62" i="14"/>
  <c r="AJ62" i="14"/>
  <c r="L63" i="20"/>
  <c r="L64" i="14"/>
  <c r="AJ64" i="14"/>
  <c r="L65" i="20"/>
  <c r="L66" i="14"/>
  <c r="AJ66" i="14"/>
  <c r="L67" i="20"/>
  <c r="L68" i="14"/>
  <c r="AJ68" i="14"/>
  <c r="L69" i="20"/>
  <c r="AJ70" i="14"/>
  <c r="L70" i="14"/>
  <c r="L71" i="20"/>
  <c r="AJ72" i="14"/>
  <c r="L72" i="14"/>
  <c r="AJ74" i="14"/>
  <c r="L74" i="14"/>
  <c r="L73" i="20"/>
  <c r="L75" i="20"/>
  <c r="AJ76" i="14"/>
  <c r="L76" i="14"/>
  <c r="L77" i="20"/>
  <c r="L78" i="14"/>
  <c r="AJ78" i="14"/>
  <c r="L79" i="20"/>
  <c r="L80" i="14"/>
  <c r="AJ80" i="14"/>
  <c r="L81" i="20"/>
  <c r="L82" i="14"/>
  <c r="AJ82" i="14"/>
  <c r="L83" i="20"/>
  <c r="L84" i="14"/>
  <c r="AJ84" i="14"/>
  <c r="L85" i="20"/>
  <c r="L86" i="14"/>
  <c r="AJ86" i="14"/>
  <c r="L87" i="20"/>
  <c r="AJ88" i="14"/>
  <c r="L88" i="14"/>
  <c r="L89" i="20"/>
  <c r="AJ90" i="14"/>
  <c r="L90" i="14"/>
  <c r="L91" i="20"/>
  <c r="AJ92" i="14"/>
  <c r="L92" i="14"/>
  <c r="L93" i="20"/>
  <c r="AJ94" i="14"/>
  <c r="L94" i="14"/>
  <c r="L95" i="20"/>
  <c r="L96" i="14"/>
  <c r="AJ96" i="14"/>
  <c r="L97" i="20"/>
  <c r="L98" i="14"/>
  <c r="AJ98" i="14"/>
  <c r="L99" i="20"/>
  <c r="L100" i="14"/>
  <c r="AJ100" i="14"/>
  <c r="L101" i="20"/>
  <c r="L102" i="14"/>
  <c r="AJ102" i="14"/>
  <c r="L103" i="20"/>
  <c r="AJ104" i="14"/>
  <c r="L104" i="14"/>
  <c r="L105" i="20"/>
  <c r="L106" i="14"/>
  <c r="AJ106" i="14"/>
  <c r="L107" i="20"/>
  <c r="L108" i="14"/>
  <c r="AJ108" i="14"/>
  <c r="L109" i="20"/>
  <c r="L110" i="14"/>
  <c r="AJ110" i="14"/>
  <c r="L111" i="20"/>
  <c r="AJ112" i="14"/>
  <c r="L112" i="14"/>
  <c r="AJ114" i="14"/>
  <c r="L114" i="14"/>
  <c r="L113" i="20"/>
  <c r="L115" i="20"/>
  <c r="L116" i="14"/>
  <c r="AJ116" i="14"/>
  <c r="L117" i="20"/>
  <c r="AJ118" i="14"/>
  <c r="L118" i="14"/>
  <c r="L119" i="20"/>
  <c r="AJ120" i="14"/>
  <c r="L120" i="14"/>
  <c r="AJ122" i="14"/>
  <c r="L122" i="14"/>
  <c r="L121" i="20"/>
  <c r="L123" i="20"/>
  <c r="AJ124" i="14"/>
  <c r="L124" i="14"/>
  <c r="L125" i="20"/>
  <c r="AJ126" i="14"/>
  <c r="L126" i="14"/>
  <c r="L127" i="20"/>
  <c r="AJ128" i="14"/>
  <c r="L128" i="14"/>
  <c r="AJ130" i="14"/>
  <c r="L130" i="14"/>
  <c r="L129" i="20"/>
  <c r="L131" i="20"/>
  <c r="AJ132" i="14"/>
  <c r="L132" i="14"/>
  <c r="AJ134" i="14"/>
  <c r="L134" i="14"/>
  <c r="L133" i="20"/>
  <c r="L135" i="20"/>
  <c r="AJ136" i="14"/>
  <c r="L136" i="14"/>
  <c r="AJ138" i="14"/>
  <c r="L138" i="14"/>
  <c r="L137" i="20"/>
  <c r="L139" i="20"/>
  <c r="L140" i="14"/>
  <c r="AJ140" i="14"/>
  <c r="L141" i="20"/>
  <c r="L142" i="14"/>
  <c r="AJ142" i="14"/>
  <c r="L143" i="20"/>
  <c r="L144" i="14"/>
  <c r="AJ144" i="14"/>
  <c r="AJ146" i="14"/>
  <c r="L146" i="14"/>
  <c r="L145" i="20"/>
  <c r="L147" i="20"/>
  <c r="AJ148" i="14"/>
  <c r="L148" i="14"/>
  <c r="L149" i="20"/>
  <c r="AJ150" i="14"/>
  <c r="L150" i="14"/>
  <c r="L151" i="20"/>
  <c r="L152" i="14"/>
  <c r="AJ152" i="14"/>
  <c r="AJ154" i="14"/>
  <c r="L154" i="14"/>
  <c r="L153" i="20"/>
  <c r="L155" i="20"/>
  <c r="L156" i="14"/>
  <c r="AJ156" i="14"/>
  <c r="L157" i="20"/>
  <c r="AJ158" i="14"/>
  <c r="L158" i="14"/>
  <c r="L159" i="20"/>
  <c r="AJ160" i="14"/>
  <c r="L160" i="14"/>
  <c r="AJ162" i="14"/>
  <c r="L162" i="14"/>
  <c r="L161" i="20"/>
  <c r="L163" i="20"/>
  <c r="AJ164" i="14"/>
  <c r="L164" i="14"/>
  <c r="L165" i="20"/>
  <c r="L166" i="14"/>
  <c r="AJ166" i="14"/>
  <c r="L167" i="20"/>
  <c r="AJ168" i="14"/>
  <c r="L168" i="14"/>
  <c r="L5" i="14"/>
  <c r="AJ5" i="14"/>
  <c r="L6" i="20"/>
  <c r="AJ7" i="14"/>
  <c r="L7" i="14"/>
  <c r="L9" i="14"/>
  <c r="AJ9" i="14"/>
  <c r="L8" i="20"/>
  <c r="L10" i="20"/>
  <c r="AJ11" i="14"/>
  <c r="L11" i="14"/>
  <c r="L12" i="20"/>
  <c r="L13" i="14"/>
  <c r="AJ13" i="14"/>
  <c r="L14" i="20"/>
  <c r="AJ15" i="14"/>
  <c r="L15" i="14"/>
  <c r="L16" i="20"/>
  <c r="L17" i="14"/>
  <c r="AJ17" i="14"/>
  <c r="L18" i="20"/>
  <c r="AJ19" i="14"/>
  <c r="L19" i="14"/>
  <c r="L20" i="20"/>
  <c r="L21" i="14"/>
  <c r="AJ21" i="14"/>
  <c r="L22" i="20"/>
  <c r="AJ23" i="14"/>
  <c r="L23" i="14"/>
  <c r="L24" i="20"/>
  <c r="L25" i="14"/>
  <c r="AJ25" i="14"/>
  <c r="L26" i="20"/>
  <c r="AJ27" i="14"/>
  <c r="L27" i="14"/>
  <c r="L28" i="20"/>
  <c r="L29" i="14"/>
  <c r="AJ29" i="14"/>
  <c r="L30" i="20"/>
  <c r="L31" i="14"/>
  <c r="AJ31" i="14"/>
  <c r="L32" i="20"/>
  <c r="AJ33" i="14"/>
  <c r="L33" i="14"/>
  <c r="L34" i="20"/>
  <c r="AJ35" i="14"/>
  <c r="L35" i="14"/>
  <c r="L36" i="20"/>
  <c r="AJ37" i="14"/>
  <c r="L37" i="14"/>
  <c r="L38" i="20"/>
  <c r="L39" i="14"/>
  <c r="AJ39" i="14"/>
  <c r="AJ41" i="14"/>
  <c r="L41" i="14"/>
  <c r="L40" i="20"/>
  <c r="L42" i="20"/>
  <c r="L43" i="14"/>
  <c r="AJ43" i="14"/>
  <c r="L44" i="20"/>
  <c r="AJ45" i="14"/>
  <c r="L45" i="14"/>
  <c r="L46" i="20"/>
  <c r="L47" i="14"/>
  <c r="AJ47" i="14"/>
  <c r="L48" i="20"/>
  <c r="L49" i="14"/>
  <c r="AJ49" i="14"/>
  <c r="L50" i="20"/>
  <c r="AJ51" i="14"/>
  <c r="L51" i="14"/>
  <c r="L52" i="20"/>
  <c r="AJ53" i="14"/>
  <c r="L53" i="14"/>
  <c r="L54" i="20"/>
  <c r="AJ55" i="14"/>
  <c r="L55" i="14"/>
  <c r="AJ57" i="14"/>
  <c r="L57" i="14"/>
  <c r="L56" i="20"/>
  <c r="L58" i="20"/>
  <c r="AJ59" i="14"/>
  <c r="L59" i="14"/>
  <c r="L60" i="20"/>
  <c r="L61" i="14"/>
  <c r="AJ61" i="14"/>
  <c r="L62" i="20"/>
  <c r="AJ63" i="14"/>
  <c r="L63" i="14"/>
  <c r="AJ65" i="14"/>
  <c r="L65" i="14"/>
  <c r="L64" i="20"/>
  <c r="L66" i="20"/>
  <c r="AJ67" i="14"/>
  <c r="L67" i="14"/>
  <c r="L68" i="20"/>
  <c r="L69" i="14"/>
  <c r="AJ69" i="14"/>
  <c r="L70" i="20"/>
  <c r="AJ71" i="14"/>
  <c r="L71" i="14"/>
  <c r="L73" i="14"/>
  <c r="L72" i="20"/>
  <c r="AJ73" i="14"/>
  <c r="L74" i="20"/>
  <c r="AJ75" i="14"/>
  <c r="L75" i="14"/>
  <c r="L76" i="20"/>
  <c r="L77" i="14"/>
  <c r="AJ77" i="14"/>
  <c r="L78" i="20"/>
  <c r="AJ79" i="14"/>
  <c r="L79" i="14"/>
  <c r="L81" i="14"/>
  <c r="L80" i="20"/>
  <c r="AJ81" i="14"/>
  <c r="L82" i="20"/>
  <c r="AJ83" i="14"/>
  <c r="L83" i="14"/>
  <c r="L84" i="20"/>
  <c r="AJ85" i="14"/>
  <c r="L85" i="14"/>
  <c r="L86" i="20"/>
  <c r="AJ87" i="14"/>
  <c r="L87" i="14"/>
  <c r="L89" i="14"/>
  <c r="AJ89" i="14"/>
  <c r="L88" i="20"/>
  <c r="L90" i="20"/>
  <c r="AJ91" i="14"/>
  <c r="L91" i="14"/>
  <c r="AJ93" i="14"/>
  <c r="L92" i="20"/>
  <c r="L93" i="14"/>
  <c r="L94" i="20"/>
  <c r="AJ95" i="14"/>
  <c r="L95" i="14"/>
  <c r="AJ97" i="14"/>
  <c r="L97" i="14"/>
  <c r="L96" i="20"/>
  <c r="L98" i="20"/>
  <c r="AJ99" i="14"/>
  <c r="L99" i="14"/>
  <c r="L100" i="20"/>
  <c r="AJ101" i="14"/>
  <c r="L101" i="14"/>
  <c r="L102" i="20"/>
  <c r="AJ103" i="14"/>
  <c r="L103" i="14"/>
  <c r="AJ105" i="14"/>
  <c r="L105" i="14"/>
  <c r="L104" i="20"/>
  <c r="L106" i="20"/>
  <c r="AJ107" i="14"/>
  <c r="L107" i="14"/>
  <c r="L108" i="20"/>
  <c r="L109" i="14"/>
  <c r="AJ109" i="14"/>
  <c r="L110" i="20"/>
  <c r="AJ111" i="14"/>
  <c r="L111" i="14"/>
  <c r="AJ113" i="14"/>
  <c r="L113" i="14"/>
  <c r="L112" i="20"/>
  <c r="L114" i="20"/>
  <c r="AJ115" i="14"/>
  <c r="L115" i="14"/>
  <c r="L116" i="20"/>
  <c r="L117" i="14"/>
  <c r="AJ117" i="14"/>
  <c r="L118" i="20"/>
  <c r="AJ119" i="14"/>
  <c r="L119" i="14"/>
  <c r="L121" i="14"/>
  <c r="AJ121" i="14"/>
  <c r="L120" i="20"/>
  <c r="L122" i="20"/>
  <c r="AJ123" i="14"/>
  <c r="L123" i="14"/>
  <c r="L124" i="20"/>
  <c r="L125" i="14"/>
  <c r="AJ125" i="14"/>
  <c r="L126" i="20"/>
  <c r="AJ127" i="14"/>
  <c r="L127" i="14"/>
  <c r="AJ129" i="14"/>
  <c r="L129" i="14"/>
  <c r="L128" i="20"/>
  <c r="L130" i="20"/>
  <c r="AJ131" i="14"/>
  <c r="L131" i="14"/>
  <c r="L133" i="14"/>
  <c r="L132" i="20"/>
  <c r="AJ133" i="14"/>
  <c r="L134" i="20"/>
  <c r="L135" i="14"/>
  <c r="AJ135" i="14"/>
  <c r="AJ137" i="14"/>
  <c r="L137" i="14"/>
  <c r="L136" i="20"/>
  <c r="AJ139" i="14"/>
  <c r="L138" i="20"/>
  <c r="L139" i="14"/>
  <c r="AJ141" i="14"/>
  <c r="L141" i="14"/>
  <c r="L140" i="20"/>
  <c r="L142" i="20"/>
  <c r="L143" i="14"/>
  <c r="AJ143" i="14"/>
  <c r="L145" i="14"/>
  <c r="L144" i="20"/>
  <c r="AJ145" i="14"/>
  <c r="L146" i="20"/>
  <c r="L147" i="14"/>
  <c r="AJ147" i="14"/>
  <c r="AJ149" i="14"/>
  <c r="L149" i="14"/>
  <c r="L148" i="20"/>
  <c r="AJ151" i="14"/>
  <c r="L151" i="14"/>
  <c r="L150" i="20"/>
  <c r="AJ153" i="14"/>
  <c r="L153" i="14"/>
  <c r="L152" i="20"/>
  <c r="L154" i="20"/>
  <c r="AJ155" i="14"/>
  <c r="L155" i="14"/>
  <c r="AJ157" i="14"/>
  <c r="L157" i="14"/>
  <c r="L156" i="20"/>
  <c r="L158" i="20"/>
  <c r="AJ159" i="14"/>
  <c r="L159" i="14"/>
  <c r="L161" i="14"/>
  <c r="L160" i="20"/>
  <c r="AJ161" i="14"/>
  <c r="L162" i="20"/>
  <c r="AJ163" i="14"/>
  <c r="L163" i="14"/>
  <c r="AJ165" i="14"/>
  <c r="L164" i="20"/>
  <c r="L165" i="14"/>
  <c r="AJ167" i="14"/>
  <c r="L166" i="20"/>
  <c r="L167" i="14"/>
  <c r="E25" i="19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A1" i="27"/>
  <c r="AC168" i="5"/>
  <c r="AB168" i="5"/>
  <c r="AC167" i="5"/>
  <c r="AB167" i="5"/>
  <c r="AC166" i="5"/>
  <c r="AB166" i="5"/>
  <c r="AC165" i="5"/>
  <c r="AB165" i="5"/>
  <c r="AC164" i="5"/>
  <c r="AB164" i="5"/>
  <c r="AC163" i="5"/>
  <c r="AB163" i="5"/>
  <c r="AC162" i="5"/>
  <c r="AB162" i="5"/>
  <c r="AC161" i="5"/>
  <c r="AB161" i="5"/>
  <c r="AC160" i="5"/>
  <c r="AB160" i="5"/>
  <c r="AC159" i="5"/>
  <c r="AB159" i="5"/>
  <c r="AC158" i="5"/>
  <c r="AB158" i="5"/>
  <c r="AC157" i="5"/>
  <c r="AB157" i="5"/>
  <c r="AC156" i="5"/>
  <c r="AB156" i="5"/>
  <c r="AC155" i="5"/>
  <c r="AB155" i="5"/>
  <c r="AC154" i="5"/>
  <c r="AB154" i="5"/>
  <c r="AC153" i="5"/>
  <c r="AB153" i="5"/>
  <c r="AC152" i="5"/>
  <c r="AB152" i="5"/>
  <c r="AC151" i="5"/>
  <c r="AB151" i="5"/>
  <c r="AC150" i="5"/>
  <c r="AB150" i="5"/>
  <c r="AC149" i="5"/>
  <c r="AB149" i="5"/>
  <c r="AC148" i="5"/>
  <c r="AB148" i="5"/>
  <c r="AC147" i="5"/>
  <c r="AB147" i="5"/>
  <c r="AC146" i="5"/>
  <c r="AB146" i="5"/>
  <c r="AC145" i="5"/>
  <c r="AB145" i="5"/>
  <c r="AC144" i="5"/>
  <c r="AB144" i="5"/>
  <c r="AC143" i="5"/>
  <c r="AB143" i="5"/>
  <c r="AC142" i="5"/>
  <c r="AB142" i="5"/>
  <c r="AC141" i="5"/>
  <c r="AB141" i="5"/>
  <c r="AC140" i="5"/>
  <c r="AB140" i="5"/>
  <c r="AC139" i="5"/>
  <c r="AB139" i="5"/>
  <c r="AC138" i="5"/>
  <c r="AB138" i="5"/>
  <c r="AC137" i="5"/>
  <c r="AB137" i="5"/>
  <c r="AC136" i="5"/>
  <c r="AB136" i="5"/>
  <c r="AC135" i="5"/>
  <c r="AB135" i="5"/>
  <c r="AC134" i="5"/>
  <c r="AB134" i="5"/>
  <c r="AC133" i="5"/>
  <c r="AB133" i="5"/>
  <c r="AC132" i="5"/>
  <c r="AB132" i="5"/>
  <c r="AC131" i="5"/>
  <c r="AB131" i="5"/>
  <c r="AC130" i="5"/>
  <c r="AB130" i="5"/>
  <c r="AC129" i="5"/>
  <c r="AB129" i="5"/>
  <c r="AC128" i="5"/>
  <c r="AB128" i="5"/>
  <c r="AC127" i="5"/>
  <c r="AB127" i="5"/>
  <c r="AC126" i="5"/>
  <c r="AB126" i="5"/>
  <c r="AC125" i="5"/>
  <c r="AB125" i="5"/>
  <c r="AC124" i="5"/>
  <c r="AB124" i="5"/>
  <c r="AC123" i="5"/>
  <c r="AB123" i="5"/>
  <c r="AC122" i="5"/>
  <c r="AB122" i="5"/>
  <c r="AC121" i="5"/>
  <c r="AB121" i="5"/>
  <c r="AC120" i="5"/>
  <c r="AB120" i="5"/>
  <c r="AC119" i="5"/>
  <c r="AB119" i="5"/>
  <c r="AC118" i="5"/>
  <c r="AB118" i="5"/>
  <c r="AC117" i="5"/>
  <c r="AB117" i="5"/>
  <c r="AC116" i="5"/>
  <c r="AB116" i="5"/>
  <c r="AC115" i="5"/>
  <c r="AB115" i="5"/>
  <c r="AC114" i="5"/>
  <c r="AB114" i="5"/>
  <c r="AC113" i="5"/>
  <c r="AB113" i="5"/>
  <c r="AC112" i="5"/>
  <c r="AB112" i="5"/>
  <c r="AC111" i="5"/>
  <c r="AB111" i="5"/>
  <c r="AC110" i="5"/>
  <c r="AB110" i="5"/>
  <c r="AC109" i="5"/>
  <c r="AB109" i="5"/>
  <c r="AC108" i="5"/>
  <c r="AB108" i="5"/>
  <c r="AC107" i="5"/>
  <c r="AB107" i="5"/>
  <c r="AC106" i="5"/>
  <c r="AB106" i="5"/>
  <c r="AC105" i="5"/>
  <c r="AB105" i="5"/>
  <c r="AC104" i="5"/>
  <c r="AB104" i="5"/>
  <c r="AC103" i="5"/>
  <c r="AB103" i="5"/>
  <c r="AC102" i="5"/>
  <c r="AB102" i="5"/>
  <c r="AC101" i="5"/>
  <c r="AB101" i="5"/>
  <c r="AC100" i="5"/>
  <c r="AB100" i="5"/>
  <c r="AC99" i="5"/>
  <c r="AB99" i="5"/>
  <c r="AC98" i="5"/>
  <c r="AB98" i="5"/>
  <c r="AC97" i="5"/>
  <c r="AB97" i="5"/>
  <c r="AC96" i="5"/>
  <c r="AB96" i="5"/>
  <c r="AC95" i="5"/>
  <c r="AB95" i="5"/>
  <c r="AC94" i="5"/>
  <c r="AB94" i="5"/>
  <c r="AC93" i="5"/>
  <c r="AB93" i="5"/>
  <c r="AC92" i="5"/>
  <c r="AB92" i="5"/>
  <c r="AC91" i="5"/>
  <c r="AB91" i="5"/>
  <c r="AC90" i="5"/>
  <c r="AB90" i="5"/>
  <c r="AC89" i="5"/>
  <c r="AB89" i="5"/>
  <c r="AC88" i="5"/>
  <c r="AB88" i="5"/>
  <c r="AC87" i="5"/>
  <c r="AB87" i="5"/>
  <c r="AC86" i="5"/>
  <c r="AB86" i="5"/>
  <c r="AC85" i="5"/>
  <c r="AB85" i="5"/>
  <c r="AC84" i="5"/>
  <c r="AB84" i="5"/>
  <c r="AC83" i="5"/>
  <c r="AB83" i="5"/>
  <c r="AC82" i="5"/>
  <c r="AB82" i="5"/>
  <c r="AC81" i="5"/>
  <c r="AB81" i="5"/>
  <c r="AC80" i="5"/>
  <c r="AB80" i="5"/>
  <c r="AC79" i="5"/>
  <c r="AB79" i="5"/>
  <c r="AC78" i="5"/>
  <c r="AB78" i="5"/>
  <c r="AC77" i="5"/>
  <c r="AB77" i="5"/>
  <c r="AC76" i="5"/>
  <c r="AB76" i="5"/>
  <c r="AC75" i="5"/>
  <c r="AB75" i="5"/>
  <c r="AC74" i="5"/>
  <c r="AB74" i="5"/>
  <c r="AC73" i="5"/>
  <c r="AB73" i="5"/>
  <c r="AC72" i="5"/>
  <c r="AB72" i="5"/>
  <c r="AC71" i="5"/>
  <c r="AB71" i="5"/>
  <c r="AC70" i="5"/>
  <c r="AB70" i="5"/>
  <c r="AC69" i="5"/>
  <c r="AB69" i="5"/>
  <c r="AC68" i="5"/>
  <c r="AB68" i="5"/>
  <c r="AC67" i="5"/>
  <c r="AB67" i="5"/>
  <c r="AC66" i="5"/>
  <c r="AB66" i="5"/>
  <c r="AC65" i="5"/>
  <c r="AB65" i="5"/>
  <c r="AC64" i="5"/>
  <c r="AB64" i="5"/>
  <c r="AC63" i="5"/>
  <c r="AB63" i="5"/>
  <c r="AC62" i="5"/>
  <c r="AB62" i="5"/>
  <c r="AC61" i="5"/>
  <c r="AB61" i="5"/>
  <c r="AC60" i="5"/>
  <c r="AB60" i="5"/>
  <c r="AC59" i="5"/>
  <c r="AB59" i="5"/>
  <c r="AC58" i="5"/>
  <c r="AB58" i="5"/>
  <c r="AC57" i="5"/>
  <c r="AB57" i="5"/>
  <c r="AC56" i="5"/>
  <c r="AB56" i="5"/>
  <c r="AC55" i="5"/>
  <c r="AB55" i="5"/>
  <c r="AC54" i="5"/>
  <c r="AB54" i="5"/>
  <c r="AC53" i="5"/>
  <c r="AB53" i="5"/>
  <c r="AC52" i="5"/>
  <c r="AB52" i="5"/>
  <c r="AC51" i="5"/>
  <c r="AB51" i="5"/>
  <c r="AC50" i="5"/>
  <c r="AB50" i="5"/>
  <c r="AC49" i="5"/>
  <c r="AB49" i="5"/>
  <c r="AC48" i="5"/>
  <c r="AB48" i="5"/>
  <c r="AC47" i="5"/>
  <c r="AB47" i="5"/>
  <c r="AC46" i="5"/>
  <c r="AB46" i="5"/>
  <c r="AC45" i="5"/>
  <c r="AB45" i="5"/>
  <c r="AC44" i="5"/>
  <c r="AB44" i="5"/>
  <c r="AC43" i="5"/>
  <c r="AB43" i="5"/>
  <c r="AC42" i="5"/>
  <c r="AB42" i="5"/>
  <c r="AC41" i="5"/>
  <c r="AB41" i="5"/>
  <c r="AC40" i="5"/>
  <c r="AB40" i="5"/>
  <c r="AC39" i="5"/>
  <c r="AB39" i="5"/>
  <c r="AC38" i="5"/>
  <c r="AB38" i="5"/>
  <c r="AC37" i="5"/>
  <c r="AB37" i="5"/>
  <c r="AC36" i="5"/>
  <c r="AB36" i="5"/>
  <c r="AC35" i="5"/>
  <c r="AB35" i="5"/>
  <c r="AC34" i="5"/>
  <c r="AB34" i="5"/>
  <c r="AC33" i="5"/>
  <c r="AB33" i="5"/>
  <c r="AC32" i="5"/>
  <c r="AB32" i="5"/>
  <c r="AC31" i="5"/>
  <c r="AB31" i="5"/>
  <c r="AC30" i="5"/>
  <c r="AB30" i="5"/>
  <c r="AC29" i="5"/>
  <c r="AB29" i="5"/>
  <c r="AC28" i="5"/>
  <c r="AB28" i="5"/>
  <c r="AC27" i="5"/>
  <c r="AB27" i="5"/>
  <c r="AC26" i="5"/>
  <c r="AB26" i="5"/>
  <c r="AC25" i="5"/>
  <c r="AB25" i="5"/>
  <c r="AC24" i="5"/>
  <c r="AB24" i="5"/>
  <c r="AC23" i="5"/>
  <c r="AB23" i="5"/>
  <c r="AC22" i="5"/>
  <c r="AB22" i="5"/>
  <c r="AC21" i="5"/>
  <c r="AB21" i="5"/>
  <c r="AC20" i="5"/>
  <c r="AB20" i="5"/>
  <c r="AC19" i="5"/>
  <c r="AB19" i="5"/>
  <c r="AC18" i="5"/>
  <c r="AB18" i="5"/>
  <c r="AC17" i="5"/>
  <c r="AB17" i="5"/>
  <c r="AC16" i="5"/>
  <c r="AB16" i="5"/>
  <c r="AC15" i="5"/>
  <c r="AB15" i="5"/>
  <c r="AC14" i="5"/>
  <c r="AB14" i="5"/>
  <c r="AC13" i="5"/>
  <c r="AB13" i="5"/>
  <c r="AC12" i="5"/>
  <c r="AB12" i="5"/>
  <c r="AC11" i="5"/>
  <c r="AB11" i="5"/>
  <c r="AC10" i="5"/>
  <c r="AB10" i="5"/>
  <c r="AC9" i="5"/>
  <c r="AB9" i="5"/>
  <c r="AC8" i="5"/>
  <c r="AB8" i="5"/>
  <c r="AC7" i="5"/>
  <c r="AB7" i="5"/>
  <c r="AC6" i="5"/>
  <c r="AB6" i="5"/>
  <c r="AC5" i="5"/>
  <c r="AB5" i="5"/>
  <c r="AC4" i="5"/>
  <c r="AB4" i="5"/>
  <c r="AC3" i="5"/>
  <c r="AB3" i="5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Z1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AD158" i="5"/>
  <c r="AD157" i="5"/>
  <c r="AD156" i="5"/>
  <c r="AD155" i="5"/>
  <c r="AD154" i="5"/>
  <c r="AD153" i="5"/>
  <c r="AD152" i="5"/>
  <c r="AD151" i="5"/>
  <c r="AD150" i="5"/>
  <c r="AD149" i="5"/>
  <c r="AD148" i="5"/>
  <c r="AD146" i="5"/>
  <c r="AD145" i="5"/>
  <c r="AD144" i="5"/>
  <c r="AD143" i="5"/>
  <c r="AD142" i="5"/>
  <c r="AD141" i="5"/>
  <c r="AD140" i="5"/>
  <c r="AD139" i="5"/>
  <c r="AD138" i="5"/>
  <c r="AD137" i="5"/>
  <c r="AD136" i="5"/>
  <c r="AD135" i="5"/>
  <c r="AD134" i="5"/>
  <c r="AD133" i="5"/>
  <c r="AD132" i="5"/>
  <c r="AD131" i="5"/>
  <c r="AD130" i="5"/>
  <c r="AD129" i="5"/>
  <c r="AD128" i="5"/>
  <c r="AD127" i="5"/>
  <c r="AD126" i="5"/>
  <c r="AD125" i="5"/>
  <c r="AD124" i="5"/>
  <c r="AD123" i="5"/>
  <c r="AD122" i="5"/>
  <c r="AD121" i="5"/>
  <c r="AD120" i="5"/>
  <c r="AD119" i="5"/>
  <c r="AD118" i="5"/>
  <c r="AD117" i="5"/>
  <c r="AD147" i="5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Y1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5"/>
  <c r="AV146" i="5"/>
  <c r="AX145" i="5"/>
  <c r="AW145" i="5"/>
  <c r="AV145" i="5"/>
  <c r="AX144" i="5"/>
  <c r="AW144" i="5"/>
  <c r="AV144" i="5"/>
  <c r="AX143" i="5"/>
  <c r="AW143" i="5"/>
  <c r="AV143" i="5"/>
  <c r="AX142" i="5"/>
  <c r="AW142" i="5"/>
  <c r="AV142" i="5"/>
  <c r="AX141" i="5"/>
  <c r="AW141" i="5"/>
  <c r="AV141" i="5"/>
  <c r="AX140" i="5"/>
  <c r="AW140" i="5"/>
  <c r="AV140" i="5"/>
  <c r="AX139" i="5"/>
  <c r="AW139" i="5"/>
  <c r="AV139" i="5"/>
  <c r="AX138" i="5"/>
  <c r="AW138" i="5"/>
  <c r="AV138" i="5"/>
  <c r="AX137" i="5"/>
  <c r="AW137" i="5"/>
  <c r="AV137" i="5"/>
  <c r="AX136" i="5"/>
  <c r="AW136" i="5"/>
  <c r="AV136" i="5"/>
  <c r="AX135" i="5"/>
  <c r="AW135" i="5"/>
  <c r="AV135" i="5"/>
  <c r="AX134" i="5"/>
  <c r="AW134" i="5"/>
  <c r="AV134" i="5"/>
  <c r="AX133" i="5"/>
  <c r="AW133" i="5"/>
  <c r="AV133" i="5"/>
  <c r="AX132" i="5"/>
  <c r="AW132" i="5"/>
  <c r="AV132" i="5"/>
  <c r="AX131" i="5"/>
  <c r="AW131" i="5"/>
  <c r="AV131" i="5"/>
  <c r="AX130" i="5"/>
  <c r="AW130" i="5"/>
  <c r="AV130" i="5"/>
  <c r="AX129" i="5"/>
  <c r="AW129" i="5"/>
  <c r="AV129" i="5"/>
  <c r="AX128" i="5"/>
  <c r="AW128" i="5"/>
  <c r="AV128" i="5"/>
  <c r="AX127" i="5"/>
  <c r="AW127" i="5"/>
  <c r="AV127" i="5"/>
  <c r="AX126" i="5"/>
  <c r="AW126" i="5"/>
  <c r="AV126" i="5"/>
  <c r="AX125" i="5"/>
  <c r="AW125" i="5"/>
  <c r="AV125" i="5"/>
  <c r="AX124" i="5"/>
  <c r="AW124" i="5"/>
  <c r="AV124" i="5"/>
  <c r="AX123" i="5"/>
  <c r="AW123" i="5"/>
  <c r="AV123" i="5"/>
  <c r="AX122" i="5"/>
  <c r="AW122" i="5"/>
  <c r="AV122" i="5"/>
  <c r="AX121" i="5"/>
  <c r="AW121" i="5"/>
  <c r="AV121" i="5"/>
  <c r="AX120" i="5"/>
  <c r="AW120" i="5"/>
  <c r="AV120" i="5"/>
  <c r="AX119" i="5"/>
  <c r="AW119" i="5"/>
  <c r="AV119" i="5"/>
  <c r="AX118" i="5"/>
  <c r="AW118" i="5"/>
  <c r="AV118" i="5"/>
  <c r="AX117" i="5"/>
  <c r="AW117" i="5"/>
  <c r="AV117" i="5"/>
  <c r="AX158" i="5"/>
  <c r="AW158" i="5"/>
  <c r="AV158" i="5"/>
  <c r="AX157" i="5"/>
  <c r="AW157" i="5"/>
  <c r="AV157" i="5"/>
  <c r="AX156" i="5"/>
  <c r="AW156" i="5"/>
  <c r="AV156" i="5"/>
  <c r="AX155" i="5"/>
  <c r="AW155" i="5"/>
  <c r="AV155" i="5"/>
  <c r="AX154" i="5"/>
  <c r="AW154" i="5"/>
  <c r="AV154" i="5"/>
  <c r="AX153" i="5"/>
  <c r="AW153" i="5"/>
  <c r="AV153" i="5"/>
  <c r="AX152" i="5"/>
  <c r="AW152" i="5"/>
  <c r="AV152" i="5"/>
  <c r="AX151" i="5"/>
  <c r="AW151" i="5"/>
  <c r="AV151" i="5"/>
  <c r="AX150" i="5"/>
  <c r="AW150" i="5"/>
  <c r="AV150" i="5"/>
  <c r="AX149" i="5"/>
  <c r="AW149" i="5"/>
  <c r="AV149" i="5"/>
  <c r="AX148" i="5"/>
  <c r="AW148" i="5"/>
  <c r="AV148" i="5"/>
  <c r="AX147" i="5"/>
  <c r="AW147" i="5"/>
  <c r="AV147" i="5"/>
  <c r="AX168" i="5"/>
  <c r="AW168" i="5"/>
  <c r="AV168" i="5"/>
  <c r="AX167" i="5"/>
  <c r="AW167" i="5"/>
  <c r="AV167" i="5"/>
  <c r="AX166" i="5"/>
  <c r="AW166" i="5"/>
  <c r="AV166" i="5"/>
  <c r="AX165" i="5"/>
  <c r="AW165" i="5"/>
  <c r="AV165" i="5"/>
  <c r="AX164" i="5"/>
  <c r="AW164" i="5"/>
  <c r="AV164" i="5"/>
  <c r="AX163" i="5"/>
  <c r="AW163" i="5"/>
  <c r="AV163" i="5"/>
  <c r="AX161" i="5"/>
  <c r="AW161" i="5"/>
  <c r="AV161" i="5"/>
  <c r="AX160" i="5"/>
  <c r="AW160" i="5"/>
  <c r="AV160" i="5"/>
  <c r="AX159" i="5"/>
  <c r="AW159" i="5"/>
  <c r="AV159" i="5"/>
  <c r="AX162" i="5"/>
  <c r="AW162" i="5"/>
  <c r="AV162" i="5"/>
  <c r="CK165" i="14" l="1"/>
  <c r="CL165" i="14"/>
  <c r="AC165" i="14"/>
  <c r="CK161" i="14"/>
  <c r="AC161" i="14"/>
  <c r="CL161" i="14"/>
  <c r="CL147" i="14"/>
  <c r="AC147" i="14"/>
  <c r="CK147" i="14"/>
  <c r="CK145" i="14"/>
  <c r="AC145" i="14"/>
  <c r="CL145" i="14"/>
  <c r="CK121" i="14"/>
  <c r="CL121" i="14"/>
  <c r="AC121" i="14"/>
  <c r="CL101" i="14"/>
  <c r="CK101" i="14"/>
  <c r="AC101" i="14"/>
  <c r="AC93" i="14"/>
  <c r="CL93" i="14"/>
  <c r="CK93" i="14"/>
  <c r="CL89" i="14"/>
  <c r="AC89" i="14"/>
  <c r="CK89" i="14"/>
  <c r="CL85" i="14"/>
  <c r="CK85" i="14"/>
  <c r="AC85" i="14"/>
  <c r="CL81" i="14"/>
  <c r="AC81" i="14"/>
  <c r="CK81" i="14"/>
  <c r="CK73" i="14"/>
  <c r="AC73" i="14"/>
  <c r="CL73" i="14"/>
  <c r="CL53" i="14"/>
  <c r="CK53" i="14"/>
  <c r="AC53" i="14"/>
  <c r="CK45" i="14"/>
  <c r="CL45" i="14"/>
  <c r="AC45" i="14"/>
  <c r="AC43" i="14"/>
  <c r="CL43" i="14"/>
  <c r="CK43" i="14"/>
  <c r="CK37" i="14"/>
  <c r="CL37" i="14"/>
  <c r="AC37" i="14"/>
  <c r="CL9" i="14"/>
  <c r="CK9" i="14"/>
  <c r="AC9" i="14"/>
  <c r="CL164" i="14"/>
  <c r="CK164" i="14"/>
  <c r="AC164" i="14"/>
  <c r="CL162" i="14"/>
  <c r="AC162" i="14"/>
  <c r="CK162" i="14"/>
  <c r="AC154" i="14"/>
  <c r="CL154" i="14"/>
  <c r="CK154" i="14"/>
  <c r="AC148" i="14"/>
  <c r="CL148" i="14"/>
  <c r="CK148" i="14"/>
  <c r="CL146" i="14"/>
  <c r="AC146" i="14"/>
  <c r="CK146" i="14"/>
  <c r="CL138" i="14"/>
  <c r="AC138" i="14"/>
  <c r="CK138" i="14"/>
  <c r="CL132" i="14"/>
  <c r="AC132" i="14"/>
  <c r="CK132" i="14"/>
  <c r="CK130" i="14"/>
  <c r="AC130" i="14"/>
  <c r="CL130" i="14"/>
  <c r="CL124" i="14"/>
  <c r="AC124" i="14"/>
  <c r="CK124" i="14"/>
  <c r="CK122" i="14"/>
  <c r="CL122" i="14"/>
  <c r="AC122" i="14"/>
  <c r="CK114" i="14"/>
  <c r="AC114" i="14"/>
  <c r="CL114" i="14"/>
  <c r="CK106" i="14"/>
  <c r="AC106" i="14"/>
  <c r="CL106" i="14"/>
  <c r="CK98" i="14"/>
  <c r="AC98" i="14"/>
  <c r="CL98" i="14"/>
  <c r="CL92" i="14"/>
  <c r="CK92" i="14"/>
  <c r="AC92" i="14"/>
  <c r="CK82" i="14"/>
  <c r="AC82" i="14"/>
  <c r="CL82" i="14"/>
  <c r="CK76" i="14"/>
  <c r="AC76" i="14"/>
  <c r="CL76" i="14"/>
  <c r="CK74" i="14"/>
  <c r="CL74" i="14"/>
  <c r="AC74" i="14"/>
  <c r="CK66" i="14"/>
  <c r="CL66" i="14"/>
  <c r="AC66" i="14"/>
  <c r="CK60" i="14"/>
  <c r="AC60" i="14"/>
  <c r="CL60" i="14"/>
  <c r="CK52" i="14"/>
  <c r="AC52" i="14"/>
  <c r="CL52" i="14"/>
  <c r="CK50" i="14"/>
  <c r="AC50" i="14"/>
  <c r="CL50" i="14"/>
  <c r="CK44" i="14"/>
  <c r="AC44" i="14"/>
  <c r="CL44" i="14"/>
  <c r="CL36" i="14"/>
  <c r="AC36" i="14"/>
  <c r="CK36" i="14"/>
  <c r="CK18" i="14"/>
  <c r="AC18" i="14"/>
  <c r="CL18" i="14"/>
  <c r="CK12" i="14"/>
  <c r="AC12" i="14"/>
  <c r="CL12" i="14"/>
  <c r="CK10" i="14"/>
  <c r="CL10" i="14"/>
  <c r="AC10" i="14"/>
  <c r="CL167" i="14"/>
  <c r="AC167" i="14"/>
  <c r="CK167" i="14"/>
  <c r="CL159" i="14"/>
  <c r="AC159" i="14"/>
  <c r="CK159" i="14"/>
  <c r="CK157" i="14"/>
  <c r="AC157" i="14"/>
  <c r="CL157" i="14"/>
  <c r="CK149" i="14"/>
  <c r="AC149" i="14"/>
  <c r="CL149" i="14"/>
  <c r="CK141" i="14"/>
  <c r="AC141" i="14"/>
  <c r="CL141" i="14"/>
  <c r="CK127" i="14"/>
  <c r="AC127" i="14"/>
  <c r="CL127" i="14"/>
  <c r="CK125" i="14"/>
  <c r="CL125" i="14"/>
  <c r="AC125" i="14"/>
  <c r="AC119" i="14"/>
  <c r="CL119" i="14"/>
  <c r="CK119" i="14"/>
  <c r="CK117" i="14"/>
  <c r="CL117" i="14"/>
  <c r="AC117" i="14"/>
  <c r="CL111" i="14"/>
  <c r="AC111" i="14"/>
  <c r="CK111" i="14"/>
  <c r="CL109" i="14"/>
  <c r="AC109" i="14"/>
  <c r="CK109" i="14"/>
  <c r="CL103" i="14"/>
  <c r="AC103" i="14"/>
  <c r="CK103" i="14"/>
  <c r="CL95" i="14"/>
  <c r="AC95" i="14"/>
  <c r="CK95" i="14"/>
  <c r="CK87" i="14"/>
  <c r="AC87" i="14"/>
  <c r="CL87" i="14"/>
  <c r="CK79" i="14"/>
  <c r="CL79" i="14"/>
  <c r="AC79" i="14"/>
  <c r="CL77" i="14"/>
  <c r="AC77" i="14"/>
  <c r="CK77" i="14"/>
  <c r="AC71" i="14"/>
  <c r="CL71" i="14"/>
  <c r="CK71" i="14"/>
  <c r="AC69" i="14"/>
  <c r="CK69" i="14"/>
  <c r="CL69" i="14"/>
  <c r="CL63" i="14"/>
  <c r="AC63" i="14"/>
  <c r="CK63" i="14"/>
  <c r="CL61" i="14"/>
  <c r="CK61" i="14"/>
  <c r="AC61" i="14"/>
  <c r="CL55" i="14"/>
  <c r="AC55" i="14"/>
  <c r="CK55" i="14"/>
  <c r="CK29" i="14"/>
  <c r="AC29" i="14"/>
  <c r="CL29" i="14"/>
  <c r="CL23" i="14"/>
  <c r="AC23" i="14"/>
  <c r="CK23" i="14"/>
  <c r="CK21" i="14"/>
  <c r="AC21" i="14"/>
  <c r="CL21" i="14"/>
  <c r="CL15" i="14"/>
  <c r="CK15" i="14"/>
  <c r="AC15" i="14"/>
  <c r="CL13" i="14"/>
  <c r="AC13" i="14"/>
  <c r="CK13" i="14"/>
  <c r="CK7" i="14"/>
  <c r="CL7" i="14"/>
  <c r="AC7" i="14"/>
  <c r="CL5" i="14"/>
  <c r="AC5" i="14"/>
  <c r="CK5" i="14"/>
  <c r="CL158" i="14"/>
  <c r="CK158" i="14"/>
  <c r="AC158" i="14"/>
  <c r="CL156" i="14"/>
  <c r="AC156" i="14"/>
  <c r="CK156" i="14"/>
  <c r="CK150" i="14"/>
  <c r="AC150" i="14"/>
  <c r="CL150" i="14"/>
  <c r="CL140" i="14"/>
  <c r="AC140" i="14"/>
  <c r="CK140" i="14"/>
  <c r="CK126" i="14"/>
  <c r="CL126" i="14"/>
  <c r="AC126" i="14"/>
  <c r="CK118" i="14"/>
  <c r="CL118" i="14"/>
  <c r="AC118" i="14"/>
  <c r="AC116" i="14"/>
  <c r="CK116" i="14"/>
  <c r="CL116" i="14"/>
  <c r="CK108" i="14"/>
  <c r="AC108" i="14"/>
  <c r="CL108" i="14"/>
  <c r="CK100" i="14"/>
  <c r="AC100" i="14"/>
  <c r="CL100" i="14"/>
  <c r="CK94" i="14"/>
  <c r="AC94" i="14"/>
  <c r="CL94" i="14"/>
  <c r="CK84" i="14"/>
  <c r="AC84" i="14"/>
  <c r="CL84" i="14"/>
  <c r="CK70" i="14"/>
  <c r="CL70" i="14"/>
  <c r="AC70" i="14"/>
  <c r="CL68" i="14"/>
  <c r="AC68" i="14"/>
  <c r="CK68" i="14"/>
  <c r="CK46" i="14"/>
  <c r="CL46" i="14"/>
  <c r="AC46" i="14"/>
  <c r="CK38" i="14"/>
  <c r="AC38" i="14"/>
  <c r="CL38" i="14"/>
  <c r="CL28" i="14"/>
  <c r="AC28" i="14"/>
  <c r="CK28" i="14"/>
  <c r="CK26" i="14"/>
  <c r="AC26" i="14"/>
  <c r="CL26" i="14"/>
  <c r="CL20" i="14"/>
  <c r="AC20" i="14"/>
  <c r="CK20" i="14"/>
  <c r="CK14" i="14"/>
  <c r="CL14" i="14"/>
  <c r="AC14" i="14"/>
  <c r="CK6" i="14"/>
  <c r="CL6" i="14"/>
  <c r="AC6" i="14"/>
  <c r="CK151" i="14"/>
  <c r="CL151" i="14"/>
  <c r="AC151" i="14"/>
  <c r="CK143" i="14"/>
  <c r="AC143" i="14"/>
  <c r="CL143" i="14"/>
  <c r="CK135" i="14"/>
  <c r="AC135" i="14"/>
  <c r="CL135" i="14"/>
  <c r="CL133" i="14"/>
  <c r="AC133" i="14"/>
  <c r="CK133" i="14"/>
  <c r="CL47" i="14"/>
  <c r="AC47" i="14"/>
  <c r="CK47" i="14"/>
  <c r="CL39" i="14"/>
  <c r="AC39" i="14"/>
  <c r="CK39" i="14"/>
  <c r="CK33" i="14"/>
  <c r="CL33" i="14"/>
  <c r="AC33" i="14"/>
  <c r="CL31" i="14"/>
  <c r="AC31" i="14"/>
  <c r="CK31" i="14"/>
  <c r="CK168" i="14"/>
  <c r="AC168" i="14"/>
  <c r="CL168" i="14"/>
  <c r="CL166" i="14"/>
  <c r="AC166" i="14"/>
  <c r="CK166" i="14"/>
  <c r="AC160" i="14"/>
  <c r="CL160" i="14"/>
  <c r="CK160" i="14"/>
  <c r="CL142" i="14"/>
  <c r="AC142" i="14"/>
  <c r="CK142" i="14"/>
  <c r="CL136" i="14"/>
  <c r="AC136" i="14"/>
  <c r="CK136" i="14"/>
  <c r="AC134" i="14"/>
  <c r="CK134" i="14"/>
  <c r="CL134" i="14"/>
  <c r="CL128" i="14"/>
  <c r="CK128" i="14"/>
  <c r="AC128" i="14"/>
  <c r="CK120" i="14"/>
  <c r="CL120" i="14"/>
  <c r="AC120" i="14"/>
  <c r="CK112" i="14"/>
  <c r="AC112" i="14"/>
  <c r="CL112" i="14"/>
  <c r="CK110" i="14"/>
  <c r="AC110" i="14"/>
  <c r="CL110" i="14"/>
  <c r="CK104" i="14"/>
  <c r="AC104" i="14"/>
  <c r="CL104" i="14"/>
  <c r="CK102" i="14"/>
  <c r="AC102" i="14"/>
  <c r="CL102" i="14"/>
  <c r="CK88" i="14"/>
  <c r="CL88" i="14"/>
  <c r="AC88" i="14"/>
  <c r="CL86" i="14"/>
  <c r="AC86" i="14"/>
  <c r="CK86" i="14"/>
  <c r="CK78" i="14"/>
  <c r="AC78" i="14"/>
  <c r="CL78" i="14"/>
  <c r="CK72" i="14"/>
  <c r="CL72" i="14"/>
  <c r="AC72" i="14"/>
  <c r="CK62" i="14"/>
  <c r="AC62" i="14"/>
  <c r="CL62" i="14"/>
  <c r="CK56" i="14"/>
  <c r="AC56" i="14"/>
  <c r="CL56" i="14"/>
  <c r="CK54" i="14"/>
  <c r="AC54" i="14"/>
  <c r="CL54" i="14"/>
  <c r="CL40" i="14"/>
  <c r="AC40" i="14"/>
  <c r="CK40" i="14"/>
  <c r="CK30" i="14"/>
  <c r="AC30" i="14"/>
  <c r="CL30" i="14"/>
  <c r="CL24" i="14"/>
  <c r="AC24" i="14"/>
  <c r="CK24" i="14"/>
  <c r="CK22" i="14"/>
  <c r="AC22" i="14"/>
  <c r="CL22" i="14"/>
  <c r="CK8" i="14"/>
  <c r="AC8" i="14"/>
  <c r="CL8" i="14"/>
  <c r="CL163" i="14"/>
  <c r="AC163" i="14"/>
  <c r="CK163" i="14"/>
  <c r="CK155" i="14"/>
  <c r="CL155" i="14"/>
  <c r="AC155" i="14"/>
  <c r="CK153" i="14"/>
  <c r="CL153" i="14"/>
  <c r="AC153" i="14"/>
  <c r="CK139" i="14"/>
  <c r="CL139" i="14"/>
  <c r="AC139" i="14"/>
  <c r="CK137" i="14"/>
  <c r="AC137" i="14"/>
  <c r="CL137" i="14"/>
  <c r="CK131" i="14"/>
  <c r="AC131" i="14"/>
  <c r="CL131" i="14"/>
  <c r="CK129" i="14"/>
  <c r="CL129" i="14"/>
  <c r="AC129" i="14"/>
  <c r="CK123" i="14"/>
  <c r="AC123" i="14"/>
  <c r="CL123" i="14"/>
  <c r="CL115" i="14"/>
  <c r="AC115" i="14"/>
  <c r="CK115" i="14"/>
  <c r="CL113" i="14"/>
  <c r="AC113" i="14"/>
  <c r="CK113" i="14"/>
  <c r="CL107" i="14"/>
  <c r="AC107" i="14"/>
  <c r="CK107" i="14"/>
  <c r="CL105" i="14"/>
  <c r="AC105" i="14"/>
  <c r="CK105" i="14"/>
  <c r="CL99" i="14"/>
  <c r="AC99" i="14"/>
  <c r="CK99" i="14"/>
  <c r="CK97" i="14"/>
  <c r="CL97" i="14"/>
  <c r="AC97" i="14"/>
  <c r="CL91" i="14"/>
  <c r="AC91" i="14"/>
  <c r="CK91" i="14"/>
  <c r="CK83" i="14"/>
  <c r="CL83" i="14"/>
  <c r="AC83" i="14"/>
  <c r="AC75" i="14"/>
  <c r="CL75" i="14"/>
  <c r="CK75" i="14"/>
  <c r="CL67" i="14"/>
  <c r="AC67" i="14"/>
  <c r="CK67" i="14"/>
  <c r="CL65" i="14"/>
  <c r="AC65" i="14"/>
  <c r="CK65" i="14"/>
  <c r="CL59" i="14"/>
  <c r="AC59" i="14"/>
  <c r="CK59" i="14"/>
  <c r="CL57" i="14"/>
  <c r="CK57" i="14"/>
  <c r="AC57" i="14"/>
  <c r="CL51" i="14"/>
  <c r="AC51" i="14"/>
  <c r="CK51" i="14"/>
  <c r="CL49" i="14"/>
  <c r="AC49" i="14"/>
  <c r="CK49" i="14"/>
  <c r="CK41" i="14"/>
  <c r="AC41" i="14"/>
  <c r="CL41" i="14"/>
  <c r="CL35" i="14"/>
  <c r="AC35" i="14"/>
  <c r="CK35" i="14"/>
  <c r="CL27" i="14"/>
  <c r="AC27" i="14"/>
  <c r="CK27" i="14"/>
  <c r="CK25" i="14"/>
  <c r="AC25" i="14"/>
  <c r="CL25" i="14"/>
  <c r="CL19" i="14"/>
  <c r="AC19" i="14"/>
  <c r="CK19" i="14"/>
  <c r="AC17" i="14"/>
  <c r="CK17" i="14"/>
  <c r="CL17" i="14"/>
  <c r="CK11" i="14"/>
  <c r="CL11" i="14"/>
  <c r="AC11" i="14"/>
  <c r="CL152" i="14"/>
  <c r="AC152" i="14"/>
  <c r="CK152" i="14"/>
  <c r="CL144" i="14"/>
  <c r="AC144" i="14"/>
  <c r="CK144" i="14"/>
  <c r="CK96" i="14"/>
  <c r="AC96" i="14"/>
  <c r="CL96" i="14"/>
  <c r="CK90" i="14"/>
  <c r="AC90" i="14"/>
  <c r="CL90" i="14"/>
  <c r="CK80" i="14"/>
  <c r="CL80" i="14"/>
  <c r="AC80" i="14"/>
  <c r="CK64" i="14"/>
  <c r="AC64" i="14"/>
  <c r="CL64" i="14"/>
  <c r="CK58" i="14"/>
  <c r="CL58" i="14"/>
  <c r="AC58" i="14"/>
  <c r="CK48" i="14"/>
  <c r="AC48" i="14"/>
  <c r="CL48" i="14"/>
  <c r="CK42" i="14"/>
  <c r="AC42" i="14"/>
  <c r="CL42" i="14"/>
  <c r="CK34" i="14"/>
  <c r="CL34" i="14"/>
  <c r="AC34" i="14"/>
  <c r="CL32" i="14"/>
  <c r="AC32" i="14"/>
  <c r="CK32" i="14"/>
  <c r="CL16" i="14"/>
  <c r="AC16" i="14"/>
  <c r="CK16" i="14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BZ168" i="5"/>
  <c r="AR168" i="5"/>
  <c r="BU168" i="5" s="1"/>
  <c r="AO168" i="5"/>
  <c r="AL168" i="5"/>
  <c r="AJ168" i="5"/>
  <c r="AI168" i="5"/>
  <c r="AH168" i="5"/>
  <c r="BY167" i="5"/>
  <c r="CA167" i="5"/>
  <c r="BZ167" i="5"/>
  <c r="AR167" i="5"/>
  <c r="BU167" i="5" s="1"/>
  <c r="AO167" i="5"/>
  <c r="AL167" i="5"/>
  <c r="AJ167" i="5"/>
  <c r="AI167" i="5"/>
  <c r="AH167" i="5"/>
  <c r="BY166" i="5"/>
  <c r="BZ166" i="5"/>
  <c r="AR166" i="5"/>
  <c r="BU166" i="5" s="1"/>
  <c r="AO166" i="5"/>
  <c r="AL166" i="5"/>
  <c r="AJ166" i="5"/>
  <c r="AI166" i="5"/>
  <c r="AH166" i="5"/>
  <c r="CA165" i="5"/>
  <c r="AY165" i="5"/>
  <c r="BY165" i="5"/>
  <c r="AR165" i="5"/>
  <c r="BU165" i="5" s="1"/>
  <c r="AO165" i="5"/>
  <c r="AL165" i="5"/>
  <c r="AJ165" i="5"/>
  <c r="AI165" i="5"/>
  <c r="AH165" i="5"/>
  <c r="CA164" i="5"/>
  <c r="BY164" i="5"/>
  <c r="AY164" i="5"/>
  <c r="BZ164" i="5"/>
  <c r="AR164" i="5"/>
  <c r="BU164" i="5" s="1"/>
  <c r="AO164" i="5"/>
  <c r="AL164" i="5"/>
  <c r="AJ164" i="5"/>
  <c r="AI164" i="5"/>
  <c r="AH164" i="5"/>
  <c r="CA163" i="5"/>
  <c r="AR163" i="5"/>
  <c r="BU163" i="5" s="1"/>
  <c r="AO163" i="5"/>
  <c r="AL163" i="5"/>
  <c r="AJ163" i="5"/>
  <c r="AI163" i="5"/>
  <c r="AH163" i="5"/>
  <c r="CA162" i="5"/>
  <c r="BZ162" i="5"/>
  <c r="AR162" i="5"/>
  <c r="BU162" i="5" s="1"/>
  <c r="AO162" i="5"/>
  <c r="AL162" i="5"/>
  <c r="AJ162" i="5"/>
  <c r="AI162" i="5"/>
  <c r="AH162" i="5"/>
  <c r="BZ161" i="5"/>
  <c r="BY161" i="5"/>
  <c r="AR161" i="5"/>
  <c r="BU161" i="5" s="1"/>
  <c r="AO161" i="5"/>
  <c r="AL161" i="5"/>
  <c r="AJ161" i="5"/>
  <c r="AI161" i="5"/>
  <c r="AH161" i="5"/>
  <c r="CA160" i="5"/>
  <c r="AR160" i="5"/>
  <c r="BU160" i="5" s="1"/>
  <c r="AO160" i="5"/>
  <c r="AL160" i="5"/>
  <c r="AJ160" i="5"/>
  <c r="AI160" i="5"/>
  <c r="AH160" i="5"/>
  <c r="CA159" i="5"/>
  <c r="AY159" i="5"/>
  <c r="BY159" i="5"/>
  <c r="AR159" i="5"/>
  <c r="BU159" i="5" s="1"/>
  <c r="AO159" i="5"/>
  <c r="AL159" i="5"/>
  <c r="AJ159" i="5"/>
  <c r="AI159" i="5"/>
  <c r="AH159" i="5"/>
  <c r="AC3" i="23"/>
  <c r="AC2" i="23"/>
  <c r="AE2" i="27"/>
  <c r="C3" i="23"/>
  <c r="B3" i="23"/>
  <c r="P1" i="27"/>
  <c r="AP161" i="5" l="1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H3" i="23"/>
  <c r="V3" i="23"/>
  <c r="Q3" i="23"/>
  <c r="K3" i="23"/>
  <c r="U3" i="23"/>
  <c r="O3" i="23"/>
  <c r="J3" i="23"/>
  <c r="S3" i="23"/>
  <c r="N3" i="23"/>
  <c r="Y3" i="23"/>
  <c r="I3" i="23"/>
  <c r="W3" i="23"/>
  <c r="R3" i="23"/>
  <c r="M3" i="23"/>
  <c r="G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L166" i="5"/>
  <c r="BL165" i="5"/>
  <c r="AK165" i="5"/>
  <c r="BA165" i="5" s="1"/>
  <c r="P9" i="27"/>
  <c r="AZ3" i="5"/>
  <c r="BE3" i="14" s="1"/>
  <c r="AD28" i="5"/>
  <c r="P8" i="27"/>
  <c r="BO163" i="5"/>
  <c r="BO159" i="5"/>
  <c r="P4" i="27"/>
  <c r="P20" i="27"/>
  <c r="P3" i="27"/>
  <c r="P10" i="27"/>
  <c r="P2" i="27"/>
  <c r="BN165" i="5"/>
  <c r="CA166" i="5"/>
  <c r="BK160" i="5"/>
  <c r="AK166" i="5"/>
  <c r="AY167" i="5"/>
  <c r="AK160" i="5"/>
  <c r="BA160" i="5" s="1"/>
  <c r="BY162" i="5"/>
  <c r="BZ165" i="5"/>
  <c r="BL167" i="5"/>
  <c r="BM166" i="5"/>
  <c r="CB165" i="5"/>
  <c r="BK165" i="5"/>
  <c r="AP166" i="5"/>
  <c r="AP167" i="5"/>
  <c r="AK164" i="5"/>
  <c r="BA164" i="5" s="1"/>
  <c r="AP165" i="5"/>
  <c r="AY166" i="5"/>
  <c r="AK168" i="5"/>
  <c r="BA168" i="5" s="1"/>
  <c r="AP164" i="5"/>
  <c r="AP168" i="5"/>
  <c r="AY162" i="5"/>
  <c r="BM159" i="5"/>
  <c r="BY160" i="5"/>
  <c r="BY163" i="5"/>
  <c r="AK161" i="5"/>
  <c r="BA161" i="5" s="1"/>
  <c r="CA161" i="5"/>
  <c r="BM162" i="5"/>
  <c r="AK159" i="5"/>
  <c r="BA159" i="5" s="1"/>
  <c r="AY161" i="5"/>
  <c r="BS160" i="5"/>
  <c r="BL161" i="5"/>
  <c r="BL162" i="5"/>
  <c r="AK162" i="5"/>
  <c r="BA162" i="5" s="1"/>
  <c r="BN160" i="5"/>
  <c r="BZ160" i="5"/>
  <c r="AY160" i="5"/>
  <c r="BK161" i="5"/>
  <c r="AY163" i="5"/>
  <c r="BZ163" i="5"/>
  <c r="BZ159" i="5"/>
  <c r="BL163" i="5"/>
  <c r="AK163" i="5"/>
  <c r="BA163" i="5" s="1"/>
  <c r="AP159" i="5"/>
  <c r="AP162" i="5"/>
  <c r="AP163" i="5"/>
  <c r="AF2" i="27"/>
  <c r="Q1" i="27"/>
  <c r="Q158" i="5"/>
  <c r="Q157" i="5"/>
  <c r="AO157" i="5" s="1"/>
  <c r="Q156" i="5"/>
  <c r="AO156" i="5" s="1"/>
  <c r="Q155" i="5"/>
  <c r="AO155" i="5" s="1"/>
  <c r="Q154" i="5"/>
  <c r="Q153" i="5"/>
  <c r="AO153" i="5" s="1"/>
  <c r="AR158" i="5"/>
  <c r="BU158" i="5" s="1"/>
  <c r="AO158" i="5"/>
  <c r="AL158" i="5"/>
  <c r="AJ158" i="5"/>
  <c r="AI158" i="5"/>
  <c r="AH158" i="5"/>
  <c r="AR157" i="5"/>
  <c r="BU157" i="5" s="1"/>
  <c r="AL157" i="5"/>
  <c r="AJ157" i="5"/>
  <c r="AI157" i="5"/>
  <c r="AH157" i="5"/>
  <c r="AR156" i="5"/>
  <c r="BU156" i="5" s="1"/>
  <c r="AL156" i="5"/>
  <c r="AJ156" i="5"/>
  <c r="AI156" i="5"/>
  <c r="AH156" i="5"/>
  <c r="AR155" i="5"/>
  <c r="BU155" i="5" s="1"/>
  <c r="AL155" i="5"/>
  <c r="AJ155" i="5"/>
  <c r="AI155" i="5"/>
  <c r="AH155" i="5"/>
  <c r="AR154" i="5"/>
  <c r="BU154" i="5" s="1"/>
  <c r="AO154" i="5"/>
  <c r="AL154" i="5"/>
  <c r="AJ154" i="5"/>
  <c r="AI154" i="5"/>
  <c r="AH154" i="5"/>
  <c r="AR153" i="5"/>
  <c r="BU153" i="5" s="1"/>
  <c r="AL153" i="5"/>
  <c r="AJ153" i="5"/>
  <c r="AI153" i="5"/>
  <c r="AH153" i="5"/>
  <c r="AR152" i="5"/>
  <c r="BU152" i="5" s="1"/>
  <c r="AO152" i="5"/>
  <c r="AL152" i="5"/>
  <c r="AJ152" i="5"/>
  <c r="AI152" i="5"/>
  <c r="AH152" i="5"/>
  <c r="AR151" i="5"/>
  <c r="BU151" i="5" s="1"/>
  <c r="AO151" i="5"/>
  <c r="AL151" i="5"/>
  <c r="AJ151" i="5"/>
  <c r="AI151" i="5"/>
  <c r="AH151" i="5"/>
  <c r="AR150" i="5"/>
  <c r="BU150" i="5" s="1"/>
  <c r="AO150" i="5"/>
  <c r="AL150" i="5"/>
  <c r="AJ150" i="5"/>
  <c r="AI150" i="5"/>
  <c r="AH150" i="5"/>
  <c r="AR149" i="5"/>
  <c r="BU149" i="5" s="1"/>
  <c r="AO149" i="5"/>
  <c r="AL149" i="5"/>
  <c r="AJ149" i="5"/>
  <c r="AI149" i="5"/>
  <c r="AH149" i="5"/>
  <c r="AR148" i="5"/>
  <c r="BU148" i="5" s="1"/>
  <c r="AO148" i="5"/>
  <c r="AL148" i="5"/>
  <c r="AJ148" i="5"/>
  <c r="AI148" i="5"/>
  <c r="AH148" i="5"/>
  <c r="AR147" i="5"/>
  <c r="BU147" i="5" s="1"/>
  <c r="AO147" i="5"/>
  <c r="AL147" i="5"/>
  <c r="AJ147" i="5"/>
  <c r="AI147" i="5"/>
  <c r="AH147" i="5"/>
  <c r="AR146" i="5"/>
  <c r="BU146" i="5" s="1"/>
  <c r="AO146" i="5"/>
  <c r="AL146" i="5"/>
  <c r="AJ146" i="5"/>
  <c r="AI146" i="5"/>
  <c r="AH146" i="5"/>
  <c r="AR145" i="5"/>
  <c r="BU145" i="5" s="1"/>
  <c r="AO145" i="5"/>
  <c r="AL145" i="5"/>
  <c r="AJ145" i="5"/>
  <c r="AI145" i="5"/>
  <c r="AH145" i="5"/>
  <c r="AR144" i="5"/>
  <c r="BU144" i="5" s="1"/>
  <c r="AO144" i="5"/>
  <c r="AL144" i="5"/>
  <c r="AJ144" i="5"/>
  <c r="AI144" i="5"/>
  <c r="AH144" i="5"/>
  <c r="AR143" i="5"/>
  <c r="BU143" i="5" s="1"/>
  <c r="AO143" i="5"/>
  <c r="AL143" i="5"/>
  <c r="AJ143" i="5"/>
  <c r="AI143" i="5"/>
  <c r="AH143" i="5"/>
  <c r="AR142" i="5"/>
  <c r="BU142" i="5" s="1"/>
  <c r="AO142" i="5"/>
  <c r="AL142" i="5"/>
  <c r="AJ142" i="5"/>
  <c r="AI142" i="5"/>
  <c r="AH142" i="5"/>
  <c r="AR141" i="5"/>
  <c r="BU141" i="5" s="1"/>
  <c r="AO141" i="5"/>
  <c r="AL141" i="5"/>
  <c r="AJ141" i="5"/>
  <c r="AI141" i="5"/>
  <c r="AH141" i="5"/>
  <c r="AR140" i="5"/>
  <c r="BU140" i="5" s="1"/>
  <c r="AO140" i="5"/>
  <c r="AL140" i="5"/>
  <c r="AJ140" i="5"/>
  <c r="AI140" i="5"/>
  <c r="AH140" i="5"/>
  <c r="AR139" i="5"/>
  <c r="BU139" i="5" s="1"/>
  <c r="AO139" i="5"/>
  <c r="AL139" i="5"/>
  <c r="AJ139" i="5"/>
  <c r="AI139" i="5"/>
  <c r="AH139" i="5"/>
  <c r="AR138" i="5"/>
  <c r="BU138" i="5" s="1"/>
  <c r="AO138" i="5"/>
  <c r="AL138" i="5"/>
  <c r="AJ138" i="5"/>
  <c r="AI138" i="5"/>
  <c r="AH138" i="5"/>
  <c r="AR137" i="5"/>
  <c r="BU137" i="5" s="1"/>
  <c r="AO137" i="5"/>
  <c r="AL137" i="5"/>
  <c r="AJ137" i="5"/>
  <c r="AI137" i="5"/>
  <c r="AH137" i="5"/>
  <c r="AR136" i="5"/>
  <c r="BU136" i="5" s="1"/>
  <c r="AO136" i="5"/>
  <c r="AL136" i="5"/>
  <c r="AJ136" i="5"/>
  <c r="AI136" i="5"/>
  <c r="AH136" i="5"/>
  <c r="AR135" i="5"/>
  <c r="BU135" i="5" s="1"/>
  <c r="AO135" i="5"/>
  <c r="AL135" i="5"/>
  <c r="AJ135" i="5"/>
  <c r="AI135" i="5"/>
  <c r="AH135" i="5"/>
  <c r="AR134" i="5"/>
  <c r="BU134" i="5" s="1"/>
  <c r="AO134" i="5"/>
  <c r="AL134" i="5"/>
  <c r="AJ134" i="5"/>
  <c r="AI134" i="5"/>
  <c r="AH134" i="5"/>
  <c r="AR133" i="5"/>
  <c r="BU133" i="5" s="1"/>
  <c r="AO133" i="5"/>
  <c r="AL133" i="5"/>
  <c r="AJ133" i="5"/>
  <c r="AI133" i="5"/>
  <c r="AH133" i="5"/>
  <c r="AR132" i="5"/>
  <c r="BU132" i="5" s="1"/>
  <c r="AO132" i="5"/>
  <c r="AL132" i="5"/>
  <c r="AJ132" i="5"/>
  <c r="AI132" i="5"/>
  <c r="AH132" i="5"/>
  <c r="AR131" i="5"/>
  <c r="BU131" i="5" s="1"/>
  <c r="AO131" i="5"/>
  <c r="AL131" i="5"/>
  <c r="AJ131" i="5"/>
  <c r="AI131" i="5"/>
  <c r="AH131" i="5"/>
  <c r="AR130" i="5"/>
  <c r="BU130" i="5" s="1"/>
  <c r="AO130" i="5"/>
  <c r="AL130" i="5"/>
  <c r="AJ130" i="5"/>
  <c r="AI130" i="5"/>
  <c r="AH130" i="5"/>
  <c r="AR129" i="5"/>
  <c r="BU129" i="5" s="1"/>
  <c r="AO129" i="5"/>
  <c r="AL129" i="5"/>
  <c r="AJ129" i="5"/>
  <c r="AI129" i="5"/>
  <c r="AH129" i="5"/>
  <c r="AR128" i="5"/>
  <c r="BU128" i="5" s="1"/>
  <c r="AO128" i="5"/>
  <c r="AL128" i="5"/>
  <c r="AJ128" i="5"/>
  <c r="AI128" i="5"/>
  <c r="AH128" i="5"/>
  <c r="AR127" i="5"/>
  <c r="BU127" i="5" s="1"/>
  <c r="AO127" i="5"/>
  <c r="AL127" i="5"/>
  <c r="AJ127" i="5"/>
  <c r="AI127" i="5"/>
  <c r="AH127" i="5"/>
  <c r="AR126" i="5"/>
  <c r="BU126" i="5" s="1"/>
  <c r="AO126" i="5"/>
  <c r="AL126" i="5"/>
  <c r="AJ126" i="5"/>
  <c r="AI126" i="5"/>
  <c r="AH126" i="5"/>
  <c r="AR125" i="5"/>
  <c r="BU125" i="5" s="1"/>
  <c r="AO125" i="5"/>
  <c r="AL125" i="5"/>
  <c r="AJ125" i="5"/>
  <c r="AI125" i="5"/>
  <c r="AH125" i="5"/>
  <c r="AR124" i="5"/>
  <c r="BU124" i="5" s="1"/>
  <c r="AO124" i="5"/>
  <c r="AL124" i="5"/>
  <c r="AJ124" i="5"/>
  <c r="AI124" i="5"/>
  <c r="AH124" i="5"/>
  <c r="AR123" i="5"/>
  <c r="BU123" i="5" s="1"/>
  <c r="AO123" i="5"/>
  <c r="AL123" i="5"/>
  <c r="AJ123" i="5"/>
  <c r="AI123" i="5"/>
  <c r="AH123" i="5"/>
  <c r="AR122" i="5"/>
  <c r="BU122" i="5" s="1"/>
  <c r="AO122" i="5"/>
  <c r="AL122" i="5"/>
  <c r="AJ122" i="5"/>
  <c r="AI122" i="5"/>
  <c r="AH122" i="5"/>
  <c r="AR121" i="5"/>
  <c r="BU121" i="5" s="1"/>
  <c r="AO121" i="5"/>
  <c r="AL121" i="5"/>
  <c r="AJ121" i="5"/>
  <c r="AI121" i="5"/>
  <c r="AH121" i="5"/>
  <c r="AR120" i="5"/>
  <c r="BU120" i="5" s="1"/>
  <c r="AO120" i="5"/>
  <c r="AL120" i="5"/>
  <c r="AJ120" i="5"/>
  <c r="AI120" i="5"/>
  <c r="AH120" i="5"/>
  <c r="AR119" i="5"/>
  <c r="BU119" i="5" s="1"/>
  <c r="AO119" i="5"/>
  <c r="AL119" i="5"/>
  <c r="AJ119" i="5"/>
  <c r="AI119" i="5"/>
  <c r="AH119" i="5"/>
  <c r="AR118" i="5"/>
  <c r="BU118" i="5" s="1"/>
  <c r="AO118" i="5"/>
  <c r="AL118" i="5"/>
  <c r="AJ118" i="5"/>
  <c r="AI118" i="5"/>
  <c r="AH118" i="5"/>
  <c r="AR117" i="5"/>
  <c r="BU117" i="5" s="1"/>
  <c r="AO117" i="5"/>
  <c r="AL117" i="5"/>
  <c r="AJ117" i="5"/>
  <c r="AI117" i="5"/>
  <c r="AH117" i="5"/>
  <c r="AX116" i="5"/>
  <c r="AW116" i="5"/>
  <c r="AV116" i="5"/>
  <c r="AR116" i="5"/>
  <c r="BU116" i="5" s="1"/>
  <c r="AO116" i="5"/>
  <c r="AL116" i="5"/>
  <c r="AJ116" i="5"/>
  <c r="AI116" i="5"/>
  <c r="AH116" i="5"/>
  <c r="AX115" i="5"/>
  <c r="AW115" i="5"/>
  <c r="AV115" i="5"/>
  <c r="AR115" i="5"/>
  <c r="BU115" i="5" s="1"/>
  <c r="AO115" i="5"/>
  <c r="AL115" i="5"/>
  <c r="AJ115" i="5"/>
  <c r="AI115" i="5"/>
  <c r="AH115" i="5"/>
  <c r="AX114" i="5"/>
  <c r="AW114" i="5"/>
  <c r="AV114" i="5"/>
  <c r="AR114" i="5"/>
  <c r="BU114" i="5" s="1"/>
  <c r="AO114" i="5"/>
  <c r="AL114" i="5"/>
  <c r="AJ114" i="5"/>
  <c r="AI114" i="5"/>
  <c r="AH114" i="5"/>
  <c r="AX113" i="5"/>
  <c r="AW113" i="5"/>
  <c r="AV113" i="5"/>
  <c r="AR113" i="5"/>
  <c r="BU113" i="5" s="1"/>
  <c r="AO113" i="5"/>
  <c r="AL113" i="5"/>
  <c r="AJ113" i="5"/>
  <c r="AI113" i="5"/>
  <c r="AH113" i="5"/>
  <c r="AX112" i="5"/>
  <c r="AW112" i="5"/>
  <c r="AV112" i="5"/>
  <c r="AR112" i="5"/>
  <c r="BU112" i="5" s="1"/>
  <c r="AO112" i="5"/>
  <c r="AL112" i="5"/>
  <c r="AJ112" i="5"/>
  <c r="AI112" i="5"/>
  <c r="AH112" i="5"/>
  <c r="AX111" i="5"/>
  <c r="AW111" i="5"/>
  <c r="AV111" i="5"/>
  <c r="AR111" i="5"/>
  <c r="BU111" i="5" s="1"/>
  <c r="AO111" i="5"/>
  <c r="AL111" i="5"/>
  <c r="AJ111" i="5"/>
  <c r="AI111" i="5"/>
  <c r="AH111" i="5"/>
  <c r="AX110" i="5"/>
  <c r="AW110" i="5"/>
  <c r="AV110" i="5"/>
  <c r="AR110" i="5"/>
  <c r="BU110" i="5" s="1"/>
  <c r="AO110" i="5"/>
  <c r="AL110" i="5"/>
  <c r="AJ110" i="5"/>
  <c r="AI110" i="5"/>
  <c r="AH110" i="5"/>
  <c r="AX109" i="5"/>
  <c r="AW109" i="5"/>
  <c r="AV109" i="5"/>
  <c r="AR109" i="5"/>
  <c r="BU109" i="5" s="1"/>
  <c r="AO109" i="5"/>
  <c r="AL109" i="5"/>
  <c r="AJ109" i="5"/>
  <c r="AI109" i="5"/>
  <c r="AH109" i="5"/>
  <c r="AX108" i="5"/>
  <c r="AW108" i="5"/>
  <c r="AV108" i="5"/>
  <c r="AR108" i="5"/>
  <c r="BU108" i="5" s="1"/>
  <c r="AO108" i="5"/>
  <c r="AL108" i="5"/>
  <c r="AJ108" i="5"/>
  <c r="AI108" i="5"/>
  <c r="AH108" i="5"/>
  <c r="AX107" i="5"/>
  <c r="AW107" i="5"/>
  <c r="AV107" i="5"/>
  <c r="AR107" i="5"/>
  <c r="BU107" i="5" s="1"/>
  <c r="AO107" i="5"/>
  <c r="AL107" i="5"/>
  <c r="AJ107" i="5"/>
  <c r="AI107" i="5"/>
  <c r="AH107" i="5"/>
  <c r="AX106" i="5"/>
  <c r="AW106" i="5"/>
  <c r="AV106" i="5"/>
  <c r="AR106" i="5"/>
  <c r="BU106" i="5" s="1"/>
  <c r="AO106" i="5"/>
  <c r="AL106" i="5"/>
  <c r="AJ106" i="5"/>
  <c r="AI106" i="5"/>
  <c r="AH106" i="5"/>
  <c r="AX105" i="5"/>
  <c r="AW105" i="5"/>
  <c r="AV105" i="5"/>
  <c r="AR105" i="5"/>
  <c r="BU105" i="5" s="1"/>
  <c r="AO105" i="5"/>
  <c r="AL105" i="5"/>
  <c r="AJ105" i="5"/>
  <c r="AI105" i="5"/>
  <c r="AH105" i="5"/>
  <c r="AX104" i="5"/>
  <c r="AW104" i="5"/>
  <c r="AV104" i="5"/>
  <c r="AR104" i="5"/>
  <c r="BU104" i="5" s="1"/>
  <c r="AO104" i="5"/>
  <c r="AL104" i="5"/>
  <c r="AJ104" i="5"/>
  <c r="AI104" i="5"/>
  <c r="AH104" i="5"/>
  <c r="AX103" i="5"/>
  <c r="AW103" i="5"/>
  <c r="AV103" i="5"/>
  <c r="AR103" i="5"/>
  <c r="BU103" i="5" s="1"/>
  <c r="AO103" i="5"/>
  <c r="AL103" i="5"/>
  <c r="AJ103" i="5"/>
  <c r="AI103" i="5"/>
  <c r="AH103" i="5"/>
  <c r="AX102" i="5"/>
  <c r="AW102" i="5"/>
  <c r="AV102" i="5"/>
  <c r="AR102" i="5"/>
  <c r="BU102" i="5" s="1"/>
  <c r="AO102" i="5"/>
  <c r="AL102" i="5"/>
  <c r="AJ102" i="5"/>
  <c r="AI102" i="5"/>
  <c r="AH102" i="5"/>
  <c r="AX101" i="5"/>
  <c r="AW101" i="5"/>
  <c r="AV101" i="5"/>
  <c r="AR101" i="5"/>
  <c r="BU101" i="5" s="1"/>
  <c r="AO101" i="5"/>
  <c r="AL101" i="5"/>
  <c r="AJ101" i="5"/>
  <c r="AI101" i="5"/>
  <c r="AH101" i="5"/>
  <c r="AX100" i="5"/>
  <c r="AW100" i="5"/>
  <c r="AV100" i="5"/>
  <c r="AR100" i="5"/>
  <c r="BU100" i="5" s="1"/>
  <c r="AO100" i="5"/>
  <c r="AL100" i="5"/>
  <c r="AJ100" i="5"/>
  <c r="AI100" i="5"/>
  <c r="AH100" i="5"/>
  <c r="AX99" i="5"/>
  <c r="AW99" i="5"/>
  <c r="AV99" i="5"/>
  <c r="AR99" i="5"/>
  <c r="BU99" i="5" s="1"/>
  <c r="AO99" i="5"/>
  <c r="AL99" i="5"/>
  <c r="AJ99" i="5"/>
  <c r="AI99" i="5"/>
  <c r="AH99" i="5"/>
  <c r="AX98" i="5"/>
  <c r="AW98" i="5"/>
  <c r="AV98" i="5"/>
  <c r="AR98" i="5"/>
  <c r="BU98" i="5" s="1"/>
  <c r="AO98" i="5"/>
  <c r="AL98" i="5"/>
  <c r="AJ98" i="5"/>
  <c r="AI98" i="5"/>
  <c r="AH98" i="5"/>
  <c r="AX97" i="5"/>
  <c r="AW97" i="5"/>
  <c r="AV97" i="5"/>
  <c r="AR97" i="5"/>
  <c r="BU97" i="5" s="1"/>
  <c r="AO97" i="5"/>
  <c r="AL97" i="5"/>
  <c r="AJ97" i="5"/>
  <c r="AI97" i="5"/>
  <c r="AH97" i="5"/>
  <c r="AX96" i="5"/>
  <c r="AW96" i="5"/>
  <c r="AV96" i="5"/>
  <c r="AR96" i="5"/>
  <c r="BU96" i="5" s="1"/>
  <c r="AO96" i="5"/>
  <c r="AL96" i="5"/>
  <c r="AJ96" i="5"/>
  <c r="AI96" i="5"/>
  <c r="AH96" i="5"/>
  <c r="AX95" i="5"/>
  <c r="AW95" i="5"/>
  <c r="AV95" i="5"/>
  <c r="AR95" i="5"/>
  <c r="BU95" i="5" s="1"/>
  <c r="AO95" i="5"/>
  <c r="AL95" i="5"/>
  <c r="AJ95" i="5"/>
  <c r="AI95" i="5"/>
  <c r="AH95" i="5"/>
  <c r="AX94" i="5"/>
  <c r="AW94" i="5"/>
  <c r="AV94" i="5"/>
  <c r="AR94" i="5"/>
  <c r="BU94" i="5" s="1"/>
  <c r="AO94" i="5"/>
  <c r="AL94" i="5"/>
  <c r="AJ94" i="5"/>
  <c r="AI94" i="5"/>
  <c r="AH94" i="5"/>
  <c r="AX93" i="5"/>
  <c r="AW93" i="5"/>
  <c r="AV93" i="5"/>
  <c r="AR93" i="5"/>
  <c r="BU93" i="5" s="1"/>
  <c r="AO93" i="5"/>
  <c r="AL93" i="5"/>
  <c r="AJ93" i="5"/>
  <c r="AI93" i="5"/>
  <c r="AH93" i="5"/>
  <c r="AX92" i="5"/>
  <c r="AW92" i="5"/>
  <c r="AV92" i="5"/>
  <c r="AR92" i="5"/>
  <c r="BU92" i="5" s="1"/>
  <c r="AO92" i="5"/>
  <c r="AL92" i="5"/>
  <c r="AJ92" i="5"/>
  <c r="AI92" i="5"/>
  <c r="AH92" i="5"/>
  <c r="AX91" i="5"/>
  <c r="AW91" i="5"/>
  <c r="AV91" i="5"/>
  <c r="AR91" i="5"/>
  <c r="BU91" i="5" s="1"/>
  <c r="AO91" i="5"/>
  <c r="AL91" i="5"/>
  <c r="AJ91" i="5"/>
  <c r="AI91" i="5"/>
  <c r="AH91" i="5"/>
  <c r="AX90" i="5"/>
  <c r="AW90" i="5"/>
  <c r="AV90" i="5"/>
  <c r="AR90" i="5"/>
  <c r="BU90" i="5" s="1"/>
  <c r="AO90" i="5"/>
  <c r="AL90" i="5"/>
  <c r="AJ90" i="5"/>
  <c r="AI90" i="5"/>
  <c r="AH90" i="5"/>
  <c r="AX89" i="5"/>
  <c r="AW89" i="5"/>
  <c r="AV89" i="5"/>
  <c r="AR89" i="5"/>
  <c r="BU89" i="5" s="1"/>
  <c r="AO89" i="5"/>
  <c r="AL89" i="5"/>
  <c r="AJ89" i="5"/>
  <c r="AI89" i="5"/>
  <c r="AH89" i="5"/>
  <c r="AX88" i="5"/>
  <c r="AW88" i="5"/>
  <c r="AV88" i="5"/>
  <c r="AR88" i="5"/>
  <c r="BU88" i="5" s="1"/>
  <c r="AO88" i="5"/>
  <c r="AL88" i="5"/>
  <c r="AJ88" i="5"/>
  <c r="AI88" i="5"/>
  <c r="AH88" i="5"/>
  <c r="AX87" i="5"/>
  <c r="AW87" i="5"/>
  <c r="AV87" i="5"/>
  <c r="AR87" i="5"/>
  <c r="BU87" i="5" s="1"/>
  <c r="AO87" i="5"/>
  <c r="AL87" i="5"/>
  <c r="AJ87" i="5"/>
  <c r="AI87" i="5"/>
  <c r="AH87" i="5"/>
  <c r="AX86" i="5"/>
  <c r="AW86" i="5"/>
  <c r="AV86" i="5"/>
  <c r="AR86" i="5"/>
  <c r="BU86" i="5" s="1"/>
  <c r="AO86" i="5"/>
  <c r="AL86" i="5"/>
  <c r="AJ86" i="5"/>
  <c r="AI86" i="5"/>
  <c r="AH86" i="5"/>
  <c r="AX85" i="5"/>
  <c r="AW85" i="5"/>
  <c r="AV85" i="5"/>
  <c r="AR85" i="5"/>
  <c r="BU85" i="5" s="1"/>
  <c r="AL85" i="5"/>
  <c r="AJ85" i="5"/>
  <c r="AI85" i="5"/>
  <c r="AH85" i="5"/>
  <c r="AX84" i="5"/>
  <c r="AW84" i="5"/>
  <c r="AV84" i="5"/>
  <c r="AR84" i="5"/>
  <c r="BU84" i="5" s="1"/>
  <c r="AL84" i="5"/>
  <c r="AJ84" i="5"/>
  <c r="AI84" i="5"/>
  <c r="AH84" i="5"/>
  <c r="AX83" i="5"/>
  <c r="AW83" i="5"/>
  <c r="AV83" i="5"/>
  <c r="AR83" i="5"/>
  <c r="BU83" i="5" s="1"/>
  <c r="AL83" i="5"/>
  <c r="AJ83" i="5"/>
  <c r="AI83" i="5"/>
  <c r="AH83" i="5"/>
  <c r="AX82" i="5"/>
  <c r="AW82" i="5"/>
  <c r="AV82" i="5"/>
  <c r="AR82" i="5"/>
  <c r="BU82" i="5" s="1"/>
  <c r="AL82" i="5"/>
  <c r="AJ82" i="5"/>
  <c r="AI82" i="5"/>
  <c r="AH82" i="5"/>
  <c r="AX81" i="5"/>
  <c r="AW81" i="5"/>
  <c r="AV81" i="5"/>
  <c r="AR81" i="5"/>
  <c r="BU81" i="5" s="1"/>
  <c r="AL81" i="5"/>
  <c r="AJ81" i="5"/>
  <c r="AI81" i="5"/>
  <c r="AH81" i="5"/>
  <c r="AX80" i="5"/>
  <c r="AW80" i="5"/>
  <c r="AV80" i="5"/>
  <c r="AR80" i="5"/>
  <c r="BU80" i="5" s="1"/>
  <c r="AO80" i="5"/>
  <c r="AL80" i="5"/>
  <c r="AJ80" i="5"/>
  <c r="AI80" i="5"/>
  <c r="AH80" i="5"/>
  <c r="AX79" i="5"/>
  <c r="AW79" i="5"/>
  <c r="AV79" i="5"/>
  <c r="AR79" i="5"/>
  <c r="BU79" i="5" s="1"/>
  <c r="AO79" i="5"/>
  <c r="AL79" i="5"/>
  <c r="AJ79" i="5"/>
  <c r="AI79" i="5"/>
  <c r="AH79" i="5"/>
  <c r="AX78" i="5"/>
  <c r="AW78" i="5"/>
  <c r="AV78" i="5"/>
  <c r="AR78" i="5"/>
  <c r="BU78" i="5" s="1"/>
  <c r="AO78" i="5"/>
  <c r="AL78" i="5"/>
  <c r="AJ78" i="5"/>
  <c r="AI78" i="5"/>
  <c r="AH78" i="5"/>
  <c r="AX77" i="5"/>
  <c r="AW77" i="5"/>
  <c r="AV77" i="5"/>
  <c r="AR77" i="5"/>
  <c r="BU77" i="5" s="1"/>
  <c r="AO77" i="5"/>
  <c r="AL77" i="5"/>
  <c r="AJ77" i="5"/>
  <c r="AI77" i="5"/>
  <c r="AH77" i="5"/>
  <c r="AX76" i="5"/>
  <c r="AW76" i="5"/>
  <c r="AV76" i="5"/>
  <c r="AR76" i="5"/>
  <c r="BU76" i="5" s="1"/>
  <c r="AO76" i="5"/>
  <c r="AL76" i="5"/>
  <c r="AJ76" i="5"/>
  <c r="AI76" i="5"/>
  <c r="AH76" i="5"/>
  <c r="AX75" i="5"/>
  <c r="AW75" i="5"/>
  <c r="AV75" i="5"/>
  <c r="AR75" i="5"/>
  <c r="BU75" i="5" s="1"/>
  <c r="AO75" i="5"/>
  <c r="AL75" i="5"/>
  <c r="AJ75" i="5"/>
  <c r="AI75" i="5"/>
  <c r="AH75" i="5"/>
  <c r="AX74" i="5"/>
  <c r="AW74" i="5"/>
  <c r="AV74" i="5"/>
  <c r="AR74" i="5"/>
  <c r="BU74" i="5" s="1"/>
  <c r="AO74" i="5"/>
  <c r="AL74" i="5"/>
  <c r="AJ74" i="5"/>
  <c r="AI74" i="5"/>
  <c r="AH74" i="5"/>
  <c r="AX73" i="5"/>
  <c r="AW73" i="5"/>
  <c r="AV73" i="5"/>
  <c r="AR73" i="5"/>
  <c r="BU73" i="5" s="1"/>
  <c r="AO73" i="5"/>
  <c r="AL73" i="5"/>
  <c r="AJ73" i="5"/>
  <c r="AI73" i="5"/>
  <c r="AH73" i="5"/>
  <c r="AX72" i="5"/>
  <c r="AW72" i="5"/>
  <c r="AV72" i="5"/>
  <c r="AR72" i="5"/>
  <c r="BU72" i="5" s="1"/>
  <c r="AO72" i="5"/>
  <c r="AL72" i="5"/>
  <c r="AJ72" i="5"/>
  <c r="AI72" i="5"/>
  <c r="AH72" i="5"/>
  <c r="AX71" i="5"/>
  <c r="AW71" i="5"/>
  <c r="AV71" i="5"/>
  <c r="AR71" i="5"/>
  <c r="BU71" i="5" s="1"/>
  <c r="AO71" i="5"/>
  <c r="AL71" i="5"/>
  <c r="AJ71" i="5"/>
  <c r="AI71" i="5"/>
  <c r="AH71" i="5"/>
  <c r="AX70" i="5"/>
  <c r="AW70" i="5"/>
  <c r="AV70" i="5"/>
  <c r="AR70" i="5"/>
  <c r="BU70" i="5" s="1"/>
  <c r="AO70" i="5"/>
  <c r="AL70" i="5"/>
  <c r="AJ70" i="5"/>
  <c r="AI70" i="5"/>
  <c r="AH70" i="5"/>
  <c r="AX69" i="5"/>
  <c r="AW69" i="5"/>
  <c r="AV69" i="5"/>
  <c r="AR69" i="5"/>
  <c r="BU69" i="5" s="1"/>
  <c r="AO69" i="5"/>
  <c r="AL69" i="5"/>
  <c r="AJ69" i="5"/>
  <c r="AI69" i="5"/>
  <c r="AH69" i="5"/>
  <c r="AX68" i="5"/>
  <c r="AW68" i="5"/>
  <c r="AV68" i="5"/>
  <c r="AR68" i="5"/>
  <c r="BU68" i="5" s="1"/>
  <c r="AO68" i="5"/>
  <c r="AL68" i="5"/>
  <c r="AJ68" i="5"/>
  <c r="AI68" i="5"/>
  <c r="AH68" i="5"/>
  <c r="AX67" i="5"/>
  <c r="AW67" i="5"/>
  <c r="AV67" i="5"/>
  <c r="AR67" i="5"/>
  <c r="BU67" i="5" s="1"/>
  <c r="AO67" i="5"/>
  <c r="AL67" i="5"/>
  <c r="AJ67" i="5"/>
  <c r="AI67" i="5"/>
  <c r="AH67" i="5"/>
  <c r="AX66" i="5"/>
  <c r="AW66" i="5"/>
  <c r="AV66" i="5"/>
  <c r="AR66" i="5"/>
  <c r="BU66" i="5" s="1"/>
  <c r="AO66" i="5"/>
  <c r="AL66" i="5"/>
  <c r="AJ66" i="5"/>
  <c r="AI66" i="5"/>
  <c r="AH66" i="5"/>
  <c r="AX65" i="5"/>
  <c r="AW65" i="5"/>
  <c r="AV65" i="5"/>
  <c r="AR65" i="5"/>
  <c r="BU65" i="5" s="1"/>
  <c r="AO65" i="5"/>
  <c r="AL65" i="5"/>
  <c r="AJ65" i="5"/>
  <c r="AI65" i="5"/>
  <c r="AH65" i="5"/>
  <c r="AX64" i="5"/>
  <c r="AW64" i="5"/>
  <c r="AV64" i="5"/>
  <c r="AR64" i="5"/>
  <c r="BU64" i="5" s="1"/>
  <c r="AO64" i="5"/>
  <c r="AL64" i="5"/>
  <c r="AJ64" i="5"/>
  <c r="AI64" i="5"/>
  <c r="AH64" i="5"/>
  <c r="AX63" i="5"/>
  <c r="AW63" i="5"/>
  <c r="AV63" i="5"/>
  <c r="AR63" i="5"/>
  <c r="BU63" i="5" s="1"/>
  <c r="AO63" i="5"/>
  <c r="AL63" i="5"/>
  <c r="AJ63" i="5"/>
  <c r="AI63" i="5"/>
  <c r="AH63" i="5"/>
  <c r="AX62" i="5"/>
  <c r="AW62" i="5"/>
  <c r="AV62" i="5"/>
  <c r="AR62" i="5"/>
  <c r="BU62" i="5" s="1"/>
  <c r="AO62" i="5"/>
  <c r="AL62" i="5"/>
  <c r="AJ62" i="5"/>
  <c r="AI62" i="5"/>
  <c r="AH62" i="5"/>
  <c r="AX61" i="5"/>
  <c r="AW61" i="5"/>
  <c r="AV61" i="5"/>
  <c r="AR61" i="5"/>
  <c r="BU61" i="5" s="1"/>
  <c r="AO61" i="5"/>
  <c r="AL61" i="5"/>
  <c r="AJ61" i="5"/>
  <c r="AI61" i="5"/>
  <c r="AH61" i="5"/>
  <c r="AX60" i="5"/>
  <c r="AW60" i="5"/>
  <c r="AV60" i="5"/>
  <c r="AR60" i="5"/>
  <c r="BU60" i="5" s="1"/>
  <c r="AO60" i="5"/>
  <c r="AL60" i="5"/>
  <c r="AJ60" i="5"/>
  <c r="AI60" i="5"/>
  <c r="AH60" i="5"/>
  <c r="AX59" i="5"/>
  <c r="AW59" i="5"/>
  <c r="AV59" i="5"/>
  <c r="AR59" i="5"/>
  <c r="BU59" i="5" s="1"/>
  <c r="AO59" i="5"/>
  <c r="AL59" i="5"/>
  <c r="AJ59" i="5"/>
  <c r="AI59" i="5"/>
  <c r="AH59" i="5"/>
  <c r="AX58" i="5"/>
  <c r="AW58" i="5"/>
  <c r="AV58" i="5"/>
  <c r="AR58" i="5"/>
  <c r="BU58" i="5" s="1"/>
  <c r="AO58" i="5"/>
  <c r="AL58" i="5"/>
  <c r="AJ58" i="5"/>
  <c r="AI58" i="5"/>
  <c r="AH58" i="5"/>
  <c r="AX57" i="5"/>
  <c r="AW57" i="5"/>
  <c r="AV57" i="5"/>
  <c r="AR57" i="5"/>
  <c r="BU57" i="5" s="1"/>
  <c r="AO57" i="5"/>
  <c r="AL57" i="5"/>
  <c r="AJ57" i="5"/>
  <c r="AI57" i="5"/>
  <c r="AH57" i="5"/>
  <c r="AX56" i="5"/>
  <c r="AW56" i="5"/>
  <c r="AV56" i="5"/>
  <c r="AR56" i="5"/>
  <c r="BU56" i="5" s="1"/>
  <c r="AO56" i="5"/>
  <c r="AL56" i="5"/>
  <c r="AJ56" i="5"/>
  <c r="AI56" i="5"/>
  <c r="AH56" i="5"/>
  <c r="AX55" i="5"/>
  <c r="AW55" i="5"/>
  <c r="AV55" i="5"/>
  <c r="AR55" i="5"/>
  <c r="BU55" i="5" s="1"/>
  <c r="AO55" i="5"/>
  <c r="AL55" i="5"/>
  <c r="AJ55" i="5"/>
  <c r="AI55" i="5"/>
  <c r="AH55" i="5"/>
  <c r="AX54" i="5"/>
  <c r="AW54" i="5"/>
  <c r="AV54" i="5"/>
  <c r="AR54" i="5"/>
  <c r="BU54" i="5" s="1"/>
  <c r="AO54" i="5"/>
  <c r="AL54" i="5"/>
  <c r="AJ54" i="5"/>
  <c r="AI54" i="5"/>
  <c r="AH54" i="5"/>
  <c r="AX53" i="5"/>
  <c r="AW53" i="5"/>
  <c r="AV53" i="5"/>
  <c r="AR53" i="5"/>
  <c r="BU53" i="5" s="1"/>
  <c r="AO53" i="5"/>
  <c r="AL53" i="5"/>
  <c r="AJ53" i="5"/>
  <c r="AI53" i="5"/>
  <c r="AH53" i="5"/>
  <c r="AX52" i="5"/>
  <c r="AW52" i="5"/>
  <c r="AV52" i="5"/>
  <c r="AR52" i="5"/>
  <c r="BU52" i="5" s="1"/>
  <c r="AO52" i="5"/>
  <c r="AL52" i="5"/>
  <c r="AJ52" i="5"/>
  <c r="AI52" i="5"/>
  <c r="AH52" i="5"/>
  <c r="AX51" i="5"/>
  <c r="AW51" i="5"/>
  <c r="AV51" i="5"/>
  <c r="AR51" i="5"/>
  <c r="BU51" i="5" s="1"/>
  <c r="AO51" i="5"/>
  <c r="AL51" i="5"/>
  <c r="AJ51" i="5"/>
  <c r="AI51" i="5"/>
  <c r="AH51" i="5"/>
  <c r="AX50" i="5"/>
  <c r="AW50" i="5"/>
  <c r="AV50" i="5"/>
  <c r="AR50" i="5"/>
  <c r="BU50" i="5" s="1"/>
  <c r="AO50" i="5"/>
  <c r="AL50" i="5"/>
  <c r="AJ50" i="5"/>
  <c r="AI50" i="5"/>
  <c r="AH50" i="5"/>
  <c r="AX49" i="5"/>
  <c r="AW49" i="5"/>
  <c r="AV49" i="5"/>
  <c r="AR49" i="5"/>
  <c r="BU49" i="5" s="1"/>
  <c r="AO49" i="5"/>
  <c r="AL49" i="5"/>
  <c r="AJ49" i="5"/>
  <c r="AI49" i="5"/>
  <c r="AH49" i="5"/>
  <c r="AX48" i="5"/>
  <c r="AW48" i="5"/>
  <c r="AV48" i="5"/>
  <c r="AR48" i="5"/>
  <c r="BU48" i="5" s="1"/>
  <c r="AO48" i="5"/>
  <c r="AL48" i="5"/>
  <c r="AJ48" i="5"/>
  <c r="AI48" i="5"/>
  <c r="AH48" i="5"/>
  <c r="AX47" i="5"/>
  <c r="AW47" i="5"/>
  <c r="AV47" i="5"/>
  <c r="AR47" i="5"/>
  <c r="BU47" i="5" s="1"/>
  <c r="AO47" i="5"/>
  <c r="AL47" i="5"/>
  <c r="AJ47" i="5"/>
  <c r="AI47" i="5"/>
  <c r="AH47" i="5"/>
  <c r="AX46" i="5"/>
  <c r="AW46" i="5"/>
  <c r="AV46" i="5"/>
  <c r="AR46" i="5"/>
  <c r="BU46" i="5" s="1"/>
  <c r="AO46" i="5"/>
  <c r="AL46" i="5"/>
  <c r="AJ46" i="5"/>
  <c r="AI46" i="5"/>
  <c r="AH46" i="5"/>
  <c r="AX45" i="5"/>
  <c r="AW45" i="5"/>
  <c r="AV45" i="5"/>
  <c r="AR45" i="5"/>
  <c r="BU45" i="5" s="1"/>
  <c r="AO45" i="5"/>
  <c r="AL45" i="5"/>
  <c r="AJ45" i="5"/>
  <c r="AI45" i="5"/>
  <c r="AH45" i="5"/>
  <c r="AX44" i="5"/>
  <c r="AW44" i="5"/>
  <c r="AV44" i="5"/>
  <c r="AR44" i="5"/>
  <c r="BU44" i="5" s="1"/>
  <c r="AO44" i="5"/>
  <c r="AL44" i="5"/>
  <c r="AJ44" i="5"/>
  <c r="AI44" i="5"/>
  <c r="AH44" i="5"/>
  <c r="AX43" i="5"/>
  <c r="AW43" i="5"/>
  <c r="AV43" i="5"/>
  <c r="AR43" i="5"/>
  <c r="BU43" i="5" s="1"/>
  <c r="AO43" i="5"/>
  <c r="AL43" i="5"/>
  <c r="AJ43" i="5"/>
  <c r="AI43" i="5"/>
  <c r="AH43" i="5"/>
  <c r="AX42" i="5"/>
  <c r="AW42" i="5"/>
  <c r="AV42" i="5"/>
  <c r="AR42" i="5"/>
  <c r="BU42" i="5" s="1"/>
  <c r="AO42" i="5"/>
  <c r="AL42" i="5"/>
  <c r="AJ42" i="5"/>
  <c r="AI42" i="5"/>
  <c r="AH42" i="5"/>
  <c r="AX41" i="5"/>
  <c r="AW41" i="5"/>
  <c r="AV41" i="5"/>
  <c r="AR41" i="5"/>
  <c r="BU41" i="5" s="1"/>
  <c r="AO41" i="5"/>
  <c r="AL41" i="5"/>
  <c r="AJ41" i="5"/>
  <c r="AI41" i="5"/>
  <c r="AH41" i="5"/>
  <c r="AX40" i="5"/>
  <c r="AW40" i="5"/>
  <c r="AV40" i="5"/>
  <c r="AR40" i="5"/>
  <c r="BU40" i="5" s="1"/>
  <c r="AO40" i="5"/>
  <c r="AL40" i="5"/>
  <c r="AJ40" i="5"/>
  <c r="AI40" i="5"/>
  <c r="AH40" i="5"/>
  <c r="AX39" i="5"/>
  <c r="AW39" i="5"/>
  <c r="AV39" i="5"/>
  <c r="AR39" i="5"/>
  <c r="BU39" i="5" s="1"/>
  <c r="AO39" i="5"/>
  <c r="AL39" i="5"/>
  <c r="AJ39" i="5"/>
  <c r="AI39" i="5"/>
  <c r="AH39" i="5"/>
  <c r="AX38" i="5"/>
  <c r="AW38" i="5"/>
  <c r="AV38" i="5"/>
  <c r="AR38" i="5"/>
  <c r="BU38" i="5" s="1"/>
  <c r="AO38" i="5"/>
  <c r="AL38" i="5"/>
  <c r="AJ38" i="5"/>
  <c r="AI38" i="5"/>
  <c r="AH38" i="5"/>
  <c r="AX37" i="5"/>
  <c r="AW37" i="5"/>
  <c r="AV37" i="5"/>
  <c r="AR37" i="5"/>
  <c r="BU37" i="5" s="1"/>
  <c r="AO37" i="5"/>
  <c r="AL37" i="5"/>
  <c r="AJ37" i="5"/>
  <c r="AI37" i="5"/>
  <c r="AH37" i="5"/>
  <c r="AX36" i="5"/>
  <c r="AW36" i="5"/>
  <c r="AV36" i="5"/>
  <c r="AR36" i="5"/>
  <c r="BU36" i="5" s="1"/>
  <c r="AO36" i="5"/>
  <c r="AL36" i="5"/>
  <c r="AJ36" i="5"/>
  <c r="AI36" i="5"/>
  <c r="AH36" i="5"/>
  <c r="AX35" i="5"/>
  <c r="AW35" i="5"/>
  <c r="AV35" i="5"/>
  <c r="AR35" i="5"/>
  <c r="BU35" i="5" s="1"/>
  <c r="AO35" i="5"/>
  <c r="AL35" i="5"/>
  <c r="AJ35" i="5"/>
  <c r="AI35" i="5"/>
  <c r="AH35" i="5"/>
  <c r="AX34" i="5"/>
  <c r="AW34" i="5"/>
  <c r="AV34" i="5"/>
  <c r="AR34" i="5"/>
  <c r="BU34" i="5" s="1"/>
  <c r="AO34" i="5"/>
  <c r="AL34" i="5"/>
  <c r="AJ34" i="5"/>
  <c r="AI34" i="5"/>
  <c r="AH34" i="5"/>
  <c r="AX33" i="5"/>
  <c r="AW33" i="5"/>
  <c r="AV33" i="5"/>
  <c r="AR33" i="5"/>
  <c r="BU33" i="5" s="1"/>
  <c r="AO33" i="5"/>
  <c r="AL33" i="5"/>
  <c r="AJ33" i="5"/>
  <c r="AI33" i="5"/>
  <c r="AH33" i="5"/>
  <c r="AX32" i="5"/>
  <c r="AW32" i="5"/>
  <c r="AV32" i="5"/>
  <c r="AR32" i="5"/>
  <c r="BU32" i="5" s="1"/>
  <c r="AO32" i="5"/>
  <c r="AL32" i="5"/>
  <c r="AJ32" i="5"/>
  <c r="AI32" i="5"/>
  <c r="AH32" i="5"/>
  <c r="AX31" i="5"/>
  <c r="AW31" i="5"/>
  <c r="AV31" i="5"/>
  <c r="AR31" i="5"/>
  <c r="BU31" i="5" s="1"/>
  <c r="AO31" i="5"/>
  <c r="AL31" i="5"/>
  <c r="AJ31" i="5"/>
  <c r="AI31" i="5"/>
  <c r="AH31" i="5"/>
  <c r="AX30" i="5"/>
  <c r="AW30" i="5"/>
  <c r="AV30" i="5"/>
  <c r="AR30" i="5"/>
  <c r="BU30" i="5" s="1"/>
  <c r="AO30" i="5"/>
  <c r="AL30" i="5"/>
  <c r="AJ30" i="5"/>
  <c r="AI30" i="5"/>
  <c r="AH30" i="5"/>
  <c r="AX29" i="5"/>
  <c r="AW29" i="5"/>
  <c r="AV29" i="5"/>
  <c r="AR29" i="5"/>
  <c r="BU29" i="5" s="1"/>
  <c r="AO29" i="5"/>
  <c r="AL29" i="5"/>
  <c r="AJ29" i="5"/>
  <c r="AI29" i="5"/>
  <c r="AH29" i="5"/>
  <c r="AX28" i="5"/>
  <c r="AW28" i="5"/>
  <c r="AV28" i="5"/>
  <c r="AR28" i="5"/>
  <c r="BU28" i="5" s="1"/>
  <c r="AO28" i="5"/>
  <c r="AL28" i="5"/>
  <c r="AJ28" i="5"/>
  <c r="AI28" i="5"/>
  <c r="AH28" i="5"/>
  <c r="AX27" i="5"/>
  <c r="AW27" i="5"/>
  <c r="AV27" i="5"/>
  <c r="AR27" i="5"/>
  <c r="BU27" i="5" s="1"/>
  <c r="AO27" i="5"/>
  <c r="AL27" i="5"/>
  <c r="AJ27" i="5"/>
  <c r="AI27" i="5"/>
  <c r="AH27" i="5"/>
  <c r="AX26" i="5"/>
  <c r="AW26" i="5"/>
  <c r="AV26" i="5"/>
  <c r="AR26" i="5"/>
  <c r="BU26" i="5" s="1"/>
  <c r="AO26" i="5"/>
  <c r="AL26" i="5"/>
  <c r="AJ26" i="5"/>
  <c r="AI26" i="5"/>
  <c r="AH26" i="5"/>
  <c r="AX25" i="5"/>
  <c r="AW25" i="5"/>
  <c r="AV25" i="5"/>
  <c r="AR25" i="5"/>
  <c r="BU25" i="5" s="1"/>
  <c r="AO25" i="5"/>
  <c r="AL25" i="5"/>
  <c r="AJ25" i="5"/>
  <c r="AI25" i="5"/>
  <c r="AH25" i="5"/>
  <c r="AX24" i="5"/>
  <c r="AW24" i="5"/>
  <c r="AV24" i="5"/>
  <c r="AR24" i="5"/>
  <c r="BU24" i="5" s="1"/>
  <c r="AO24" i="5"/>
  <c r="AL24" i="5"/>
  <c r="AJ24" i="5"/>
  <c r="AI24" i="5"/>
  <c r="AH24" i="5"/>
  <c r="AX23" i="5"/>
  <c r="AW23" i="5"/>
  <c r="AV23" i="5"/>
  <c r="AR23" i="5"/>
  <c r="BU23" i="5" s="1"/>
  <c r="AO23" i="5"/>
  <c r="AL23" i="5"/>
  <c r="AJ23" i="5"/>
  <c r="AI23" i="5"/>
  <c r="AH23" i="5"/>
  <c r="AX22" i="5"/>
  <c r="AW22" i="5"/>
  <c r="AV22" i="5"/>
  <c r="AR22" i="5"/>
  <c r="BU22" i="5" s="1"/>
  <c r="AO22" i="5"/>
  <c r="AL22" i="5"/>
  <c r="AJ22" i="5"/>
  <c r="AI22" i="5"/>
  <c r="AH22" i="5"/>
  <c r="AX21" i="5"/>
  <c r="AW21" i="5"/>
  <c r="AV21" i="5"/>
  <c r="AR21" i="5"/>
  <c r="BU21" i="5" s="1"/>
  <c r="AO21" i="5"/>
  <c r="AL21" i="5"/>
  <c r="AJ21" i="5"/>
  <c r="AI21" i="5"/>
  <c r="AH21" i="5"/>
  <c r="AX20" i="5"/>
  <c r="AW20" i="5"/>
  <c r="AV20" i="5"/>
  <c r="AR20" i="5"/>
  <c r="BU20" i="5" s="1"/>
  <c r="AO20" i="5"/>
  <c r="AL20" i="5"/>
  <c r="AJ20" i="5"/>
  <c r="AI20" i="5"/>
  <c r="AH20" i="5"/>
  <c r="AX19" i="5"/>
  <c r="AW19" i="5"/>
  <c r="AV19" i="5"/>
  <c r="AR19" i="5"/>
  <c r="BU19" i="5" s="1"/>
  <c r="AO19" i="5"/>
  <c r="AL19" i="5"/>
  <c r="AJ19" i="5"/>
  <c r="AI19" i="5"/>
  <c r="AH19" i="5"/>
  <c r="AX18" i="5"/>
  <c r="AW18" i="5"/>
  <c r="AV18" i="5"/>
  <c r="AR18" i="5"/>
  <c r="BU18" i="5" s="1"/>
  <c r="AO18" i="5"/>
  <c r="AL18" i="5"/>
  <c r="AJ18" i="5"/>
  <c r="AI18" i="5"/>
  <c r="AH18" i="5"/>
  <c r="AX17" i="5"/>
  <c r="AW17" i="5"/>
  <c r="AV17" i="5"/>
  <c r="AR17" i="5"/>
  <c r="BU17" i="5" s="1"/>
  <c r="AO17" i="5"/>
  <c r="AL17" i="5"/>
  <c r="AJ17" i="5"/>
  <c r="AI17" i="5"/>
  <c r="AH17" i="5"/>
  <c r="AX16" i="5"/>
  <c r="AW16" i="5"/>
  <c r="AV16" i="5"/>
  <c r="AR16" i="5"/>
  <c r="BU16" i="5" s="1"/>
  <c r="AO16" i="5"/>
  <c r="AL16" i="5"/>
  <c r="AJ16" i="5"/>
  <c r="AI16" i="5"/>
  <c r="AH16" i="5"/>
  <c r="AX15" i="5"/>
  <c r="AW15" i="5"/>
  <c r="AV15" i="5"/>
  <c r="AR15" i="5"/>
  <c r="BU15" i="5" s="1"/>
  <c r="AO15" i="5"/>
  <c r="AL15" i="5"/>
  <c r="AJ15" i="5"/>
  <c r="AI15" i="5"/>
  <c r="AH15" i="5"/>
  <c r="AX14" i="5"/>
  <c r="AW14" i="5"/>
  <c r="AV14" i="5"/>
  <c r="AR14" i="5"/>
  <c r="BU14" i="5" s="1"/>
  <c r="AO14" i="5"/>
  <c r="AL14" i="5"/>
  <c r="AJ14" i="5"/>
  <c r="AI14" i="5"/>
  <c r="AH14" i="5"/>
  <c r="AX13" i="5"/>
  <c r="AW13" i="5"/>
  <c r="AV13" i="5"/>
  <c r="AR13" i="5"/>
  <c r="BU13" i="5" s="1"/>
  <c r="AO13" i="5"/>
  <c r="AL13" i="5"/>
  <c r="AJ13" i="5"/>
  <c r="AI13" i="5"/>
  <c r="AH13" i="5"/>
  <c r="AX12" i="5"/>
  <c r="AW12" i="5"/>
  <c r="AV12" i="5"/>
  <c r="AR12" i="5"/>
  <c r="BU12" i="5" s="1"/>
  <c r="AO12" i="5"/>
  <c r="AL12" i="5"/>
  <c r="AJ12" i="5"/>
  <c r="AI12" i="5"/>
  <c r="AH12" i="5"/>
  <c r="AX11" i="5"/>
  <c r="AW11" i="5"/>
  <c r="AV11" i="5"/>
  <c r="AR11" i="5"/>
  <c r="BU11" i="5" s="1"/>
  <c r="AO11" i="5"/>
  <c r="AL11" i="5"/>
  <c r="AJ11" i="5"/>
  <c r="AI11" i="5"/>
  <c r="AH11" i="5"/>
  <c r="AX10" i="5"/>
  <c r="AW10" i="5"/>
  <c r="AV10" i="5"/>
  <c r="AR10" i="5"/>
  <c r="BU10" i="5" s="1"/>
  <c r="AO10" i="5"/>
  <c r="AL10" i="5"/>
  <c r="AJ10" i="5"/>
  <c r="AI10" i="5"/>
  <c r="AH10" i="5"/>
  <c r="AX9" i="5"/>
  <c r="AW9" i="5"/>
  <c r="AV9" i="5"/>
  <c r="AR9" i="5"/>
  <c r="BU9" i="5" s="1"/>
  <c r="AO9" i="5"/>
  <c r="AL9" i="5"/>
  <c r="AJ9" i="5"/>
  <c r="AI9" i="5"/>
  <c r="AH9" i="5"/>
  <c r="AX8" i="5"/>
  <c r="AW8" i="5"/>
  <c r="AV8" i="5"/>
  <c r="AR8" i="5"/>
  <c r="BU8" i="5" s="1"/>
  <c r="AO8" i="5"/>
  <c r="AL8" i="5"/>
  <c r="AJ8" i="5"/>
  <c r="AI8" i="5"/>
  <c r="AH8" i="5"/>
  <c r="AX7" i="5"/>
  <c r="AW7" i="5"/>
  <c r="AV7" i="5"/>
  <c r="AR7" i="5"/>
  <c r="BU7" i="5" s="1"/>
  <c r="AO7" i="5"/>
  <c r="AL7" i="5"/>
  <c r="AJ7" i="5"/>
  <c r="AI7" i="5"/>
  <c r="AH7" i="5"/>
  <c r="AX6" i="5"/>
  <c r="AW6" i="5"/>
  <c r="AV6" i="5"/>
  <c r="AR6" i="5"/>
  <c r="BU6" i="5" s="1"/>
  <c r="AO6" i="5"/>
  <c r="AL6" i="5"/>
  <c r="AJ6" i="5"/>
  <c r="AI6" i="5"/>
  <c r="AH6" i="5"/>
  <c r="CB161" i="5" l="1"/>
  <c r="CB166" i="5"/>
  <c r="CB167" i="5"/>
  <c r="AY39" i="5"/>
  <c r="BN161" i="5"/>
  <c r="BN167" i="5"/>
  <c r="BN166" i="5"/>
  <c r="BA166" i="5"/>
  <c r="AD24" i="5"/>
  <c r="AD3" i="5"/>
  <c r="AD13" i="5"/>
  <c r="AD38" i="5"/>
  <c r="AD36" i="5"/>
  <c r="AD15" i="5"/>
  <c r="AD7" i="5"/>
  <c r="AD17" i="5"/>
  <c r="AD34" i="5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BY136" i="5"/>
  <c r="BR138" i="5"/>
  <c r="CA138" i="5"/>
  <c r="BM140" i="5"/>
  <c r="BY140" i="5"/>
  <c r="BO151" i="5"/>
  <c r="BZ151" i="5"/>
  <c r="BR154" i="5"/>
  <c r="CA154" i="5"/>
  <c r="CA155" i="5"/>
  <c r="AY6" i="5"/>
  <c r="BY7" i="5"/>
  <c r="BR9" i="5"/>
  <c r="CA9" i="5"/>
  <c r="BZ10" i="5"/>
  <c r="BM15" i="5"/>
  <c r="BM19" i="5"/>
  <c r="BR21" i="5"/>
  <c r="CA21" i="5"/>
  <c r="AY22" i="5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O57" i="5"/>
  <c r="BO61" i="5"/>
  <c r="BM62" i="5"/>
  <c r="BY62" i="5"/>
  <c r="AK63" i="5"/>
  <c r="BA63" i="5" s="1"/>
  <c r="CA64" i="5"/>
  <c r="BR68" i="5"/>
  <c r="CA68" i="5"/>
  <c r="BM70" i="5"/>
  <c r="BY70" i="5"/>
  <c r="AK71" i="5"/>
  <c r="BA71" i="5" s="1"/>
  <c r="BK72" i="5"/>
  <c r="BR72" i="5"/>
  <c r="CA72" i="5"/>
  <c r="BO73" i="5"/>
  <c r="AY73" i="5"/>
  <c r="BM74" i="5"/>
  <c r="BY74" i="5"/>
  <c r="AK75" i="5"/>
  <c r="BA75" i="5" s="1"/>
  <c r="BK76" i="5"/>
  <c r="BO77" i="5"/>
  <c r="BZ77" i="5"/>
  <c r="BM78" i="5"/>
  <c r="BY78" i="5"/>
  <c r="BK80" i="5"/>
  <c r="BR80" i="5"/>
  <c r="CA80" i="5"/>
  <c r="BO81" i="5"/>
  <c r="AY81" i="5"/>
  <c r="BM82" i="5"/>
  <c r="BY82" i="5"/>
  <c r="BK84" i="5"/>
  <c r="CA84" i="5"/>
  <c r="BM85" i="5"/>
  <c r="BY85" i="5"/>
  <c r="AK86" i="5"/>
  <c r="BK87" i="5"/>
  <c r="BR87" i="5"/>
  <c r="CA87" i="5"/>
  <c r="BO88" i="5"/>
  <c r="AY88" i="5"/>
  <c r="BM89" i="5"/>
  <c r="BY89" i="5"/>
  <c r="BL90" i="5"/>
  <c r="AP91" i="5"/>
  <c r="BR91" i="5"/>
  <c r="CA91" i="5"/>
  <c r="BO92" i="5"/>
  <c r="AY92" i="5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K131" i="5"/>
  <c r="BR131" i="5"/>
  <c r="CA131" i="5"/>
  <c r="BO132" i="5"/>
  <c r="AY132" i="5"/>
  <c r="BY133" i="5"/>
  <c r="AK134" i="5"/>
  <c r="BA134" i="5" s="1"/>
  <c r="BK135" i="5"/>
  <c r="BR135" i="5"/>
  <c r="CA135" i="5"/>
  <c r="BO136" i="5"/>
  <c r="AY136" i="5"/>
  <c r="BM137" i="5"/>
  <c r="BY137" i="5"/>
  <c r="AK138" i="5"/>
  <c r="BA138" i="5" s="1"/>
  <c r="BK139" i="5"/>
  <c r="BR139" i="5"/>
  <c r="CA139" i="5"/>
  <c r="BO140" i="5"/>
  <c r="AY140" i="5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R60" i="5"/>
  <c r="CA60" i="5"/>
  <c r="BZ61" i="5"/>
  <c r="BR64" i="5"/>
  <c r="BO65" i="5"/>
  <c r="AY65" i="5"/>
  <c r="BM66" i="5"/>
  <c r="BY66" i="5"/>
  <c r="AK67" i="5"/>
  <c r="BN67" i="5" s="1"/>
  <c r="BO69" i="5"/>
  <c r="BR76" i="5"/>
  <c r="CA76" i="5"/>
  <c r="AK79" i="5"/>
  <c r="AK6" i="5"/>
  <c r="BA6" i="5" s="1"/>
  <c r="BK7" i="5"/>
  <c r="BR7" i="5"/>
  <c r="CA7" i="5"/>
  <c r="BO8" i="5"/>
  <c r="AY8" i="5"/>
  <c r="BM9" i="5"/>
  <c r="BY9" i="5"/>
  <c r="BR11" i="5"/>
  <c r="CA11" i="5"/>
  <c r="BO12" i="5"/>
  <c r="AY12" i="5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R57" i="5"/>
  <c r="CA57" i="5"/>
  <c r="BO58" i="5"/>
  <c r="AY58" i="5"/>
  <c r="BM59" i="5"/>
  <c r="BY59" i="5"/>
  <c r="AK60" i="5"/>
  <c r="BA60" i="5" s="1"/>
  <c r="BR61" i="5"/>
  <c r="CA61" i="5"/>
  <c r="BO62" i="5"/>
  <c r="AY62" i="5"/>
  <c r="BM63" i="5"/>
  <c r="BY63" i="5"/>
  <c r="AK64" i="5"/>
  <c r="BA64" i="5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BM86" i="5"/>
  <c r="BY86" i="5"/>
  <c r="BR88" i="5"/>
  <c r="CA88" i="5"/>
  <c r="BO89" i="5"/>
  <c r="AY89" i="5"/>
  <c r="BM90" i="5"/>
  <c r="BY90" i="5"/>
  <c r="BR92" i="5"/>
  <c r="CA92" i="5"/>
  <c r="BO93" i="5"/>
  <c r="AY93" i="5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BY134" i="5"/>
  <c r="AK135" i="5"/>
  <c r="BA135" i="5" s="1"/>
  <c r="BK136" i="5"/>
  <c r="BR136" i="5"/>
  <c r="CA136" i="5"/>
  <c r="BO137" i="5"/>
  <c r="AY137" i="5"/>
  <c r="BM138" i="5"/>
  <c r="BY138" i="5"/>
  <c r="AK139" i="5"/>
  <c r="BN139" i="5" s="1"/>
  <c r="BK140" i="5"/>
  <c r="BR140" i="5"/>
  <c r="CA140" i="5"/>
  <c r="BO141" i="5"/>
  <c r="AY141" i="5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O60" i="5"/>
  <c r="BZ60" i="5"/>
  <c r="AK62" i="5"/>
  <c r="BA62" i="5" s="1"/>
  <c r="BO64" i="5"/>
  <c r="BZ64" i="5"/>
  <c r="AK66" i="5"/>
  <c r="BA66" i="5" s="1"/>
  <c r="BO68" i="5"/>
  <c r="BZ68" i="5"/>
  <c r="BY69" i="5"/>
  <c r="BR71" i="5"/>
  <c r="BO72" i="5"/>
  <c r="AY72" i="5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R58" i="5"/>
  <c r="CA58" i="5"/>
  <c r="BO59" i="5"/>
  <c r="BZ59" i="5"/>
  <c r="BM60" i="5"/>
  <c r="BY60" i="5"/>
  <c r="AK61" i="5"/>
  <c r="BA61" i="5" s="1"/>
  <c r="BR62" i="5"/>
  <c r="CA62" i="5"/>
  <c r="BO63" i="5"/>
  <c r="BZ63" i="5"/>
  <c r="BM64" i="5"/>
  <c r="BY64" i="5"/>
  <c r="AK65" i="5"/>
  <c r="BA65" i="5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BM91" i="5"/>
  <c r="BY91" i="5"/>
  <c r="AK92" i="5"/>
  <c r="BA92" i="5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BY135" i="5"/>
  <c r="AK136" i="5"/>
  <c r="BN136" i="5" s="1"/>
  <c r="BK137" i="5"/>
  <c r="BR137" i="5"/>
  <c r="CA137" i="5"/>
  <c r="BO138" i="5"/>
  <c r="AY138" i="5"/>
  <c r="BM139" i="5"/>
  <c r="BY139" i="5"/>
  <c r="AK140" i="5"/>
  <c r="BN140" i="5" s="1"/>
  <c r="BK141" i="5"/>
  <c r="BR141" i="5"/>
  <c r="CA141" i="5"/>
  <c r="BO142" i="5"/>
  <c r="AY142" i="5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R1" i="27"/>
  <c r="AY37" i="5"/>
  <c r="AY60" i="5"/>
  <c r="BZ137" i="5"/>
  <c r="AY31" i="5"/>
  <c r="AY47" i="5"/>
  <c r="AY53" i="5"/>
  <c r="AY82" i="5"/>
  <c r="AY20" i="5"/>
  <c r="AY27" i="5"/>
  <c r="AY45" i="5"/>
  <c r="AY70" i="5"/>
  <c r="AY77" i="5"/>
  <c r="BZ156" i="5"/>
  <c r="AY17" i="5"/>
  <c r="AY15" i="5"/>
  <c r="AY11" i="5"/>
  <c r="BL6" i="5"/>
  <c r="BL112" i="5"/>
  <c r="BL121" i="5"/>
  <c r="BL125" i="5"/>
  <c r="BA133" i="5"/>
  <c r="AY35" i="5"/>
  <c r="AY43" i="5"/>
  <c r="AY48" i="5"/>
  <c r="AY52" i="5"/>
  <c r="AY64" i="5"/>
  <c r="BL89" i="5"/>
  <c r="AK90" i="5"/>
  <c r="BN90" i="5" s="1"/>
  <c r="BK94" i="5"/>
  <c r="BL95" i="5"/>
  <c r="AK96" i="5"/>
  <c r="BN96" i="5" s="1"/>
  <c r="AK99" i="5"/>
  <c r="BA99" i="5" s="1"/>
  <c r="BL106" i="5"/>
  <c r="BL113" i="5"/>
  <c r="AY155" i="5"/>
  <c r="BZ12" i="5"/>
  <c r="BZ28" i="5"/>
  <c r="AY33" i="5"/>
  <c r="AY41" i="5"/>
  <c r="AY54" i="5"/>
  <c r="AY67" i="5"/>
  <c r="BZ85" i="5"/>
  <c r="AK94" i="5"/>
  <c r="BN94" i="5" s="1"/>
  <c r="BZ133" i="5"/>
  <c r="BZ46" i="5"/>
  <c r="AY46" i="5"/>
  <c r="BZ58" i="5"/>
  <c r="BZ66" i="5"/>
  <c r="AY66" i="5"/>
  <c r="BL84" i="5"/>
  <c r="BL101" i="5"/>
  <c r="AK101" i="5"/>
  <c r="BN101" i="5" s="1"/>
  <c r="BL119" i="5"/>
  <c r="AK119" i="5"/>
  <c r="BN119" i="5" s="1"/>
  <c r="AY14" i="5"/>
  <c r="AY30" i="5"/>
  <c r="AY49" i="5"/>
  <c r="AY56" i="5"/>
  <c r="BZ71" i="5"/>
  <c r="AY71" i="5"/>
  <c r="BZ87" i="5"/>
  <c r="AY87" i="5"/>
  <c r="AK93" i="5"/>
  <c r="BN93" i="5" s="1"/>
  <c r="BL93" i="5"/>
  <c r="AK105" i="5"/>
  <c r="BN105" i="5" s="1"/>
  <c r="BL105" i="5"/>
  <c r="AY128" i="5"/>
  <c r="BZ128" i="5"/>
  <c r="AK8" i="5"/>
  <c r="BN8" i="5" s="1"/>
  <c r="BZ9" i="5"/>
  <c r="AY18" i="5"/>
  <c r="AY21" i="5"/>
  <c r="BZ22" i="5"/>
  <c r="AY24" i="5"/>
  <c r="BZ25" i="5"/>
  <c r="AY32" i="5"/>
  <c r="AY34" i="5"/>
  <c r="AY36" i="5"/>
  <c r="AY38" i="5"/>
  <c r="AY40" i="5"/>
  <c r="AY42" i="5"/>
  <c r="AY44" i="5"/>
  <c r="BZ50" i="5"/>
  <c r="AY50" i="5"/>
  <c r="AY51" i="5"/>
  <c r="BZ62" i="5"/>
  <c r="BA68" i="5"/>
  <c r="AY69" i="5"/>
  <c r="BZ69" i="5"/>
  <c r="BZ73" i="5"/>
  <c r="BZ74" i="5"/>
  <c r="AY74" i="5"/>
  <c r="BZ79" i="5"/>
  <c r="AY79" i="5"/>
  <c r="AK111" i="5"/>
  <c r="BN111" i="5" s="1"/>
  <c r="BL111" i="5"/>
  <c r="AK115" i="5"/>
  <c r="BN115" i="5" s="1"/>
  <c r="BL115" i="5"/>
  <c r="BZ132" i="5"/>
  <c r="BZ154" i="5"/>
  <c r="AY154" i="5"/>
  <c r="BL104" i="5"/>
  <c r="AK104" i="5"/>
  <c r="BN104" i="5" s="1"/>
  <c r="BZ130" i="5"/>
  <c r="AY130" i="5"/>
  <c r="BA137" i="5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Y13" i="5"/>
  <c r="AY16" i="5"/>
  <c r="AY23" i="5"/>
  <c r="AY26" i="5"/>
  <c r="AY29" i="5"/>
  <c r="BZ65" i="5"/>
  <c r="BL75" i="5"/>
  <c r="AY84" i="5"/>
  <c r="BZ84" i="5"/>
  <c r="AK87" i="5"/>
  <c r="BN87" i="5" s="1"/>
  <c r="BL87" i="5"/>
  <c r="BZ88" i="5"/>
  <c r="BZ7" i="5"/>
  <c r="AY55" i="5"/>
  <c r="AY57" i="5"/>
  <c r="AY59" i="5"/>
  <c r="AY61" i="5"/>
  <c r="AY63" i="5"/>
  <c r="AY68" i="5"/>
  <c r="BL69" i="5"/>
  <c r="BZ72" i="5"/>
  <c r="BZ76" i="5"/>
  <c r="BL77" i="5"/>
  <c r="BZ78" i="5"/>
  <c r="BL79" i="5"/>
  <c r="BZ81" i="5"/>
  <c r="BL82" i="5"/>
  <c r="AK83" i="5"/>
  <c r="BA83" i="5" s="1"/>
  <c r="BL83" i="5"/>
  <c r="AY83" i="5"/>
  <c r="AK85" i="5"/>
  <c r="BN85" i="5" s="1"/>
  <c r="BL85" i="5"/>
  <c r="BL91" i="5"/>
  <c r="AK91" i="5"/>
  <c r="BK92" i="5"/>
  <c r="AP92" i="5"/>
  <c r="BS92" i="5" s="1"/>
  <c r="AY75" i="5"/>
  <c r="AY80" i="5"/>
  <c r="BK90" i="5"/>
  <c r="BN134" i="5"/>
  <c r="BA141" i="5"/>
  <c r="BZ6" i="5"/>
  <c r="AY19" i="5"/>
  <c r="BL76" i="5"/>
  <c r="BL78" i="5"/>
  <c r="BL80" i="5"/>
  <c r="AK81" i="5"/>
  <c r="BN81" i="5" s="1"/>
  <c r="BL81" i="5"/>
  <c r="AY86" i="5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Y127" i="5"/>
  <c r="BZ134" i="5"/>
  <c r="BZ138" i="5"/>
  <c r="BZ141" i="5"/>
  <c r="BZ153" i="5"/>
  <c r="AY153" i="5"/>
  <c r="AK122" i="5"/>
  <c r="BN122" i="5" s="1"/>
  <c r="AK126" i="5"/>
  <c r="AK127" i="5"/>
  <c r="BN127" i="5" s="1"/>
  <c r="BZ135" i="5"/>
  <c r="BA136" i="5"/>
  <c r="BZ139" i="5"/>
  <c r="BZ158" i="5"/>
  <c r="AY158" i="5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N86" i="5"/>
  <c r="BA86" i="5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BZ129" i="5"/>
  <c r="AK88" i="5"/>
  <c r="AP89" i="5"/>
  <c r="BZ90" i="5"/>
  <c r="BK91" i="5"/>
  <c r="AP93" i="5"/>
  <c r="BZ94" i="5"/>
  <c r="AY94" i="5"/>
  <c r="BZ95" i="5"/>
  <c r="AY95" i="5"/>
  <c r="BZ96" i="5"/>
  <c r="AY96" i="5"/>
  <c r="BZ97" i="5"/>
  <c r="AY97" i="5"/>
  <c r="BZ98" i="5"/>
  <c r="AY98" i="5"/>
  <c r="BN99" i="5"/>
  <c r="BZ99" i="5"/>
  <c r="AY99" i="5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BM127" i="5"/>
  <c r="AK128" i="5"/>
  <c r="BL130" i="5"/>
  <c r="BA102" i="5"/>
  <c r="BA106" i="5"/>
  <c r="BA107" i="5"/>
  <c r="BA109" i="5"/>
  <c r="BA112" i="5"/>
  <c r="BA114" i="5"/>
  <c r="BA117" i="5"/>
  <c r="BA124" i="5"/>
  <c r="BA125" i="5"/>
  <c r="BM133" i="5"/>
  <c r="BM134" i="5"/>
  <c r="BM135" i="5"/>
  <c r="AK131" i="5"/>
  <c r="AK157" i="5"/>
  <c r="BA157" i="5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L154" i="5"/>
  <c r="AK158" i="5"/>
  <c r="BA158" i="5" s="1"/>
  <c r="BL158" i="5"/>
  <c r="AY143" i="5"/>
  <c r="AY144" i="5"/>
  <c r="AY145" i="5"/>
  <c r="AY146" i="5"/>
  <c r="AY147" i="5"/>
  <c r="AY148" i="5"/>
  <c r="AY149" i="5"/>
  <c r="AY150" i="5"/>
  <c r="AY151" i="5"/>
  <c r="AY152" i="5"/>
  <c r="AK155" i="5"/>
  <c r="BA155" i="5" s="1"/>
  <c r="BL155" i="5"/>
  <c r="BA144" i="5"/>
  <c r="BA145" i="5"/>
  <c r="AK156" i="5"/>
  <c r="BA156" i="5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BA82" i="5" l="1"/>
  <c r="BN66" i="5"/>
  <c r="BA67" i="5"/>
  <c r="BA116" i="5"/>
  <c r="BA9" i="5"/>
  <c r="BA100" i="5"/>
  <c r="BA95" i="5"/>
  <c r="BN135" i="5"/>
  <c r="BN92" i="5"/>
  <c r="BA139" i="5"/>
  <c r="BA97" i="5"/>
  <c r="BN65" i="5"/>
  <c r="BN57" i="5"/>
  <c r="BA73" i="5"/>
  <c r="BA142" i="5"/>
  <c r="BA146" i="5"/>
  <c r="BN72" i="5"/>
  <c r="BN60" i="5"/>
  <c r="BN54" i="5"/>
  <c r="BA89" i="5"/>
  <c r="BN150" i="5"/>
  <c r="BA150" i="5"/>
  <c r="BN151" i="5"/>
  <c r="BA151" i="5"/>
  <c r="BN147" i="5"/>
  <c r="BA147" i="5"/>
  <c r="BN152" i="5"/>
  <c r="BA152" i="5"/>
  <c r="BN148" i="5"/>
  <c r="BA148" i="5"/>
  <c r="BN149" i="5"/>
  <c r="BA149" i="5"/>
  <c r="BN153" i="5"/>
  <c r="BA153" i="5"/>
  <c r="AD25" i="5"/>
  <c r="BA105" i="5"/>
  <c r="BA87" i="5"/>
  <c r="BA74" i="5"/>
  <c r="BA8" i="5"/>
  <c r="R20" i="27"/>
  <c r="R4" i="27"/>
  <c r="R10" i="27"/>
  <c r="R3" i="27"/>
  <c r="R8" i="27"/>
  <c r="R9" i="27"/>
  <c r="R2" i="27"/>
  <c r="AH2" i="27"/>
  <c r="S1" i="27"/>
  <c r="CC151" i="5"/>
  <c r="CC147" i="5"/>
  <c r="BA143" i="5"/>
  <c r="BA121" i="5"/>
  <c r="BN62" i="5"/>
  <c r="BA119" i="5"/>
  <c r="BA113" i="5"/>
  <c r="BA132" i="5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CC95" i="5"/>
  <c r="CC79" i="5"/>
  <c r="BA84" i="5"/>
  <c r="BA80" i="5"/>
  <c r="BA76" i="5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N83" i="5"/>
  <c r="BA81" i="5"/>
  <c r="BA93" i="5"/>
  <c r="BA90" i="5"/>
  <c r="BA101" i="5"/>
  <c r="BA98" i="5"/>
  <c r="BA85" i="5"/>
  <c r="BA103" i="5"/>
  <c r="BA127" i="5"/>
  <c r="BA123" i="5"/>
  <c r="BA115" i="5"/>
  <c r="BA110" i="5"/>
  <c r="BA108" i="5"/>
  <c r="BA111" i="5"/>
  <c r="BA104" i="5"/>
  <c r="BA122" i="5"/>
  <c r="BA118" i="5"/>
  <c r="BN126" i="5"/>
  <c r="BA126" i="5"/>
  <c r="BN7" i="5"/>
  <c r="BA7" i="5"/>
  <c r="BN91" i="5"/>
  <c r="BA91" i="5"/>
  <c r="BS130" i="5"/>
  <c r="BS114" i="5"/>
  <c r="BS101" i="5"/>
  <c r="BS96" i="5"/>
  <c r="BS74" i="5"/>
  <c r="BN70" i="5"/>
  <c r="BA70" i="5"/>
  <c r="BS29" i="5"/>
  <c r="BS25" i="5"/>
  <c r="BS21" i="5"/>
  <c r="BS17" i="5"/>
  <c r="BS13" i="5"/>
  <c r="BN52" i="5"/>
  <c r="BA52" i="5"/>
  <c r="BN48" i="5"/>
  <c r="BA48" i="5"/>
  <c r="BN44" i="5"/>
  <c r="BA44" i="5"/>
  <c r="BA40" i="5"/>
  <c r="BN40" i="5"/>
  <c r="BA36" i="5"/>
  <c r="BN36" i="5"/>
  <c r="BA32" i="5"/>
  <c r="BN32" i="5"/>
  <c r="BA29" i="5"/>
  <c r="BN29" i="5"/>
  <c r="BA25" i="5"/>
  <c r="BN25" i="5"/>
  <c r="BA21" i="5"/>
  <c r="BN21" i="5"/>
  <c r="BA17" i="5"/>
  <c r="BN17" i="5"/>
  <c r="BA13" i="5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A129" i="5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N53" i="5"/>
  <c r="BN49" i="5"/>
  <c r="BA49" i="5"/>
  <c r="BN45" i="5"/>
  <c r="BA45" i="5"/>
  <c r="BN41" i="5"/>
  <c r="BA41" i="5"/>
  <c r="BN37" i="5"/>
  <c r="BA37" i="5"/>
  <c r="BN33" i="5"/>
  <c r="BA33" i="5"/>
  <c r="BA28" i="5"/>
  <c r="BN28" i="5"/>
  <c r="BA24" i="5"/>
  <c r="BN24" i="5"/>
  <c r="BA20" i="5"/>
  <c r="BN20" i="5"/>
  <c r="BA16" i="5"/>
  <c r="BN16" i="5"/>
  <c r="BA12" i="5"/>
  <c r="BN12" i="5"/>
  <c r="BN155" i="5"/>
  <c r="BN158" i="5"/>
  <c r="BS128" i="5"/>
  <c r="BN131" i="5"/>
  <c r="BA131" i="5"/>
  <c r="BS106" i="5"/>
  <c r="BA88" i="5"/>
  <c r="BN88" i="5"/>
  <c r="BS98" i="5"/>
  <c r="BS72" i="5"/>
  <c r="BS31" i="5"/>
  <c r="BS27" i="5"/>
  <c r="BS23" i="5"/>
  <c r="BS19" i="5"/>
  <c r="BS15" i="5"/>
  <c r="BS11" i="5"/>
  <c r="BN50" i="5"/>
  <c r="BA50" i="5"/>
  <c r="BN46" i="5"/>
  <c r="BA46" i="5"/>
  <c r="BA42" i="5"/>
  <c r="BN42" i="5"/>
  <c r="BA38" i="5"/>
  <c r="BN38" i="5"/>
  <c r="BA34" i="5"/>
  <c r="BN34" i="5"/>
  <c r="BN30" i="5"/>
  <c r="BA30" i="5"/>
  <c r="BN26" i="5"/>
  <c r="BA26" i="5"/>
  <c r="BN22" i="5"/>
  <c r="BA22" i="5"/>
  <c r="BN18" i="5"/>
  <c r="BA18" i="5"/>
  <c r="BN14" i="5"/>
  <c r="BA14" i="5"/>
  <c r="BN10" i="5"/>
  <c r="BA10" i="5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N47" i="5"/>
  <c r="BA47" i="5"/>
  <c r="BN43" i="5"/>
  <c r="BA43" i="5"/>
  <c r="BA39" i="5"/>
  <c r="BN39" i="5"/>
  <c r="BA35" i="5"/>
  <c r="BN35" i="5"/>
  <c r="BN31" i="5"/>
  <c r="BA31" i="5"/>
  <c r="BN27" i="5"/>
  <c r="BA27" i="5"/>
  <c r="BN23" i="5"/>
  <c r="BA23" i="5"/>
  <c r="BN19" i="5"/>
  <c r="BA19" i="5"/>
  <c r="BN15" i="5"/>
  <c r="BA15" i="5"/>
  <c r="BN11" i="5"/>
  <c r="BA11" i="5"/>
  <c r="AJ3" i="14"/>
  <c r="AJ4" i="14"/>
  <c r="CC119" i="5" l="1"/>
  <c r="CC97" i="5"/>
  <c r="CC142" i="5"/>
  <c r="CC113" i="5"/>
  <c r="CC143" i="5"/>
  <c r="CC8" i="5"/>
  <c r="CC74" i="5"/>
  <c r="AD5" i="5"/>
  <c r="AD26" i="5"/>
  <c r="AI2" i="27"/>
  <c r="S8" i="27"/>
  <c r="S9" i="27"/>
  <c r="S2" i="27"/>
  <c r="S20" i="27"/>
  <c r="S4" i="27"/>
  <c r="S10" i="27"/>
  <c r="S3" i="27"/>
  <c r="T1" i="27"/>
  <c r="AJ2" i="27" s="1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U1" i="27"/>
  <c r="AX5" i="5"/>
  <c r="CA5" i="5" s="1"/>
  <c r="AW5" i="5"/>
  <c r="AY5" i="5" s="1"/>
  <c r="CB5" i="5" s="1"/>
  <c r="AV5" i="5"/>
  <c r="AR5" i="5"/>
  <c r="BU5" i="5" s="1"/>
  <c r="AO5" i="5"/>
  <c r="BR5" i="5" s="1"/>
  <c r="AL5" i="5"/>
  <c r="BO5" i="5" s="1"/>
  <c r="AJ5" i="5"/>
  <c r="BM5" i="5" s="1"/>
  <c r="AI5" i="5"/>
  <c r="BL5" i="5" s="1"/>
  <c r="AH5" i="5"/>
  <c r="AD14" i="5" l="1"/>
  <c r="AD31" i="5"/>
  <c r="AD29" i="5"/>
  <c r="AD27" i="5"/>
  <c r="AD16" i="5"/>
  <c r="AD18" i="5"/>
  <c r="AD8" i="5"/>
  <c r="AD37" i="5"/>
  <c r="AD39" i="5"/>
  <c r="AD35" i="5"/>
  <c r="AD9" i="5"/>
  <c r="AD30" i="5"/>
  <c r="AD6" i="5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V1" i="27"/>
  <c r="AK2" i="27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W1" i="27" l="1"/>
  <c r="AD10" i="5"/>
  <c r="V20" i="27"/>
  <c r="V4" i="27"/>
  <c r="V3" i="27"/>
  <c r="V8" i="27"/>
  <c r="V9" i="27"/>
  <c r="V2" i="27"/>
  <c r="V10" i="27"/>
  <c r="AL2" i="27"/>
  <c r="BA5" i="5"/>
  <c r="CC5" i="5" s="1"/>
  <c r="BN5" i="5"/>
  <c r="BS5" i="5"/>
  <c r="D29" i="25"/>
  <c r="C29" i="25"/>
  <c r="L3" i="20"/>
  <c r="AO2" i="27" l="1"/>
  <c r="AD104" i="5" s="1"/>
  <c r="X1" i="27"/>
  <c r="AD106" i="5"/>
  <c r="AD47" i="5"/>
  <c r="AD85" i="5"/>
  <c r="AD48" i="5"/>
  <c r="AD90" i="5"/>
  <c r="AD166" i="5"/>
  <c r="AD92" i="5"/>
  <c r="AD12" i="5"/>
  <c r="AD63" i="5"/>
  <c r="AD67" i="5"/>
  <c r="AD22" i="5"/>
  <c r="AD53" i="5"/>
  <c r="AD103" i="5"/>
  <c r="AD11" i="5"/>
  <c r="AD107" i="5"/>
  <c r="AD44" i="5"/>
  <c r="AD109" i="5"/>
  <c r="AD160" i="5"/>
  <c r="AD84" i="5"/>
  <c r="AD32" i="5"/>
  <c r="AD54" i="5"/>
  <c r="AD81" i="5"/>
  <c r="AD114" i="5"/>
  <c r="AD46" i="5"/>
  <c r="AD86" i="5"/>
  <c r="AD83" i="5"/>
  <c r="AD99" i="5"/>
  <c r="AD41" i="5"/>
  <c r="AD105" i="5"/>
  <c r="AD62" i="5"/>
  <c r="AD50" i="5"/>
  <c r="AD45" i="5"/>
  <c r="AD95" i="5"/>
  <c r="AD89" i="5"/>
  <c r="AD159" i="5"/>
  <c r="AD59" i="5"/>
  <c r="AD66" i="5"/>
  <c r="AD61" i="5"/>
  <c r="AD19" i="5"/>
  <c r="AD96" i="5"/>
  <c r="AD52" i="5"/>
  <c r="AD77" i="5"/>
  <c r="AD80" i="5"/>
  <c r="AD65" i="5"/>
  <c r="AD97" i="5"/>
  <c r="AD91" i="5"/>
  <c r="AD33" i="5"/>
  <c r="AD71" i="5"/>
  <c r="AD74" i="5"/>
  <c r="AJ3" i="17"/>
  <c r="AD51" i="5" l="1"/>
  <c r="AD162" i="5"/>
  <c r="AD110" i="5"/>
  <c r="AD88" i="5"/>
  <c r="AD70" i="5"/>
  <c r="AD111" i="5"/>
  <c r="AD68" i="5"/>
  <c r="AD112" i="5"/>
  <c r="AD49" i="5"/>
  <c r="AD87" i="5"/>
  <c r="AD115" i="5"/>
  <c r="AD165" i="5"/>
  <c r="AD43" i="5"/>
  <c r="AD76" i="5"/>
  <c r="AD82" i="5"/>
  <c r="AD93" i="5"/>
  <c r="AD23" i="5"/>
  <c r="AD73" i="5"/>
  <c r="AD101" i="5"/>
  <c r="AD164" i="5"/>
  <c r="AD57" i="5"/>
  <c r="AD20" i="5"/>
  <c r="AD116" i="5"/>
  <c r="AD102" i="5"/>
  <c r="AD108" i="5"/>
  <c r="AD167" i="5"/>
  <c r="AD78" i="5"/>
  <c r="AD60" i="5"/>
  <c r="AD64" i="5"/>
  <c r="AD79" i="5"/>
  <c r="AD94" i="5"/>
  <c r="AD98" i="5"/>
  <c r="AD58" i="5"/>
  <c r="AD21" i="5"/>
  <c r="AD69" i="5"/>
  <c r="AD75" i="5"/>
  <c r="AD100" i="5"/>
  <c r="AD72" i="5"/>
  <c r="AD113" i="5"/>
  <c r="AD55" i="5"/>
  <c r="AD40" i="5"/>
  <c r="AD161" i="5"/>
  <c r="AD42" i="5"/>
  <c r="AD56" i="5"/>
  <c r="AP2" i="27"/>
  <c r="CC166" i="5"/>
  <c r="CC160" i="5"/>
  <c r="L4" i="20"/>
  <c r="A2" i="20"/>
  <c r="F691" i="22"/>
  <c r="F674" i="22"/>
  <c r="F673" i="22"/>
  <c r="F672" i="22"/>
  <c r="F671" i="22"/>
  <c r="F621" i="22"/>
  <c r="F606" i="22"/>
  <c r="F598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74" i="22"/>
  <c r="F573" i="22"/>
  <c r="F572" i="22"/>
  <c r="F571" i="22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CC165" i="5" l="1"/>
  <c r="CC161" i="5"/>
  <c r="CC167" i="5"/>
  <c r="AD163" i="5"/>
  <c r="AD168" i="5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R4" i="5"/>
  <c r="BU4" i="5" s="1"/>
  <c r="AO4" i="5"/>
  <c r="BR4" i="5" s="1"/>
  <c r="AL4" i="5"/>
  <c r="BO4" i="5" s="1"/>
  <c r="AJ4" i="5"/>
  <c r="BM4" i="5" s="1"/>
  <c r="AI4" i="5"/>
  <c r="BL4" i="5" s="1"/>
  <c r="AH4" i="5"/>
  <c r="BY4" i="5" l="1"/>
  <c r="A5" i="5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B10" i="19"/>
  <c r="A7" i="5" l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A8" i="5" l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J3" i="18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CW168" i="14" l="1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O81" i="5"/>
  <c r="AO84" i="5"/>
  <c r="AO83" i="5"/>
  <c r="AO82" i="5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CQ4" i="14" s="1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0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15" i="19"/>
  <c r="B8" i="19"/>
  <c r="B7" i="19"/>
  <c r="B3" i="19"/>
  <c r="B12" i="19"/>
  <c r="B6" i="19"/>
  <c r="B13" i="19"/>
  <c r="B22" i="19"/>
  <c r="B5" i="19"/>
  <c r="B16" i="19"/>
  <c r="G5" i="5" l="1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2" i="19"/>
  <c r="B17" i="19"/>
  <c r="B14" i="19"/>
  <c r="B4" i="19"/>
  <c r="B21" i="19"/>
  <c r="B20" i="19"/>
  <c r="B9" i="19"/>
  <c r="B18" i="19"/>
  <c r="B19" i="19"/>
  <c r="BX5" i="5" l="1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CH5" i="5" l="1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H152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BJ5" i="5" l="1"/>
  <c r="CH147" i="5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147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52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G14" i="5" l="1"/>
  <c r="M14" i="14" s="1"/>
  <c r="AB14" i="14" s="1"/>
  <c r="A15" i="5"/>
  <c r="G15" i="5" l="1"/>
  <c r="M15" i="14" s="1"/>
  <c r="AB15" i="14" s="1"/>
  <c r="A16" i="5"/>
  <c r="G16" i="5" l="1"/>
  <c r="M16" i="14" s="1"/>
  <c r="AB16" i="14" s="1"/>
  <c r="A17" i="5"/>
  <c r="G17" i="5" l="1"/>
  <c r="M17" i="14" s="1"/>
  <c r="AB17" i="14" s="1"/>
  <c r="A18" i="5"/>
  <c r="G18" i="5" l="1"/>
  <c r="M18" i="14" s="1"/>
  <c r="AB18" i="14" s="1"/>
  <c r="A19" i="5"/>
  <c r="G19" i="5" l="1"/>
  <c r="M19" i="14" s="1"/>
  <c r="AB19" i="14" s="1"/>
  <c r="A20" i="5"/>
  <c r="G20" i="5" l="1"/>
  <c r="M20" i="14" s="1"/>
  <c r="AB20" i="14" s="1"/>
  <c r="A21" i="5"/>
  <c r="G21" i="5" l="1"/>
  <c r="M21" i="14" s="1"/>
  <c r="AB21" i="14" s="1"/>
  <c r="A22" i="5"/>
  <c r="G22" i="5" l="1"/>
  <c r="M22" i="14" s="1"/>
  <c r="AB22" i="14" s="1"/>
  <c r="A23" i="5"/>
  <c r="G23" i="5" l="1"/>
  <c r="M23" i="14" s="1"/>
  <c r="AB23" i="14" s="1"/>
  <c r="A24" i="5"/>
  <c r="G24" i="5" l="1"/>
  <c r="M24" i="14" s="1"/>
  <c r="AB24" i="14" s="1"/>
  <c r="A25" i="5"/>
  <c r="G25" i="5" l="1"/>
  <c r="M25" i="14" s="1"/>
  <c r="AB25" i="14" s="1"/>
  <c r="A26" i="5"/>
  <c r="G26" i="5" l="1"/>
  <c r="M26" i="14" s="1"/>
  <c r="AB26" i="14" s="1"/>
  <c r="A27" i="5"/>
  <c r="G27" i="5" l="1"/>
  <c r="M27" i="14" s="1"/>
  <c r="AB27" i="14" s="1"/>
  <c r="A28" i="5"/>
  <c r="G28" i="5" l="1"/>
  <c r="M28" i="14" s="1"/>
  <c r="AB28" i="14" s="1"/>
  <c r="A29" i="5"/>
  <c r="G29" i="5" l="1"/>
  <c r="M29" i="14" s="1"/>
  <c r="AB29" i="14" s="1"/>
  <c r="A30" i="5"/>
  <c r="G30" i="5" l="1"/>
  <c r="M30" i="14" s="1"/>
  <c r="AB30" i="14" s="1"/>
  <c r="A31" i="5"/>
  <c r="G31" i="5" l="1"/>
  <c r="M31" i="14" s="1"/>
  <c r="AB31" i="14" s="1"/>
  <c r="A32" i="5"/>
  <c r="G32" i="5" l="1"/>
  <c r="M32" i="14" s="1"/>
  <c r="AB32" i="14" s="1"/>
  <c r="A33" i="5"/>
  <c r="G33" i="5" l="1"/>
  <c r="M33" i="14" s="1"/>
  <c r="AB33" i="14" s="1"/>
  <c r="A34" i="5"/>
  <c r="G34" i="5" l="1"/>
  <c r="M34" i="14" s="1"/>
  <c r="AB34" i="14" s="1"/>
  <c r="A35" i="5"/>
  <c r="G35" i="5" l="1"/>
  <c r="M35" i="14" s="1"/>
  <c r="AB35" i="14" s="1"/>
  <c r="A36" i="5"/>
  <c r="G36" i="5" l="1"/>
  <c r="M36" i="14" s="1"/>
  <c r="AB36" i="14" s="1"/>
  <c r="A37" i="5"/>
  <c r="G37" i="5" l="1"/>
  <c r="M37" i="14" s="1"/>
  <c r="AB37" i="14" s="1"/>
  <c r="A38" i="5"/>
  <c r="G38" i="5" l="1"/>
  <c r="M38" i="14" s="1"/>
  <c r="AB38" i="14" s="1"/>
  <c r="A39" i="5"/>
  <c r="G39" i="5" l="1"/>
  <c r="M39" i="14" s="1"/>
  <c r="AB39" i="14" s="1"/>
  <c r="A40" i="5"/>
  <c r="G40" i="5" l="1"/>
  <c r="M40" i="14" s="1"/>
  <c r="AB40" i="14" s="1"/>
  <c r="A41" i="5"/>
  <c r="G41" i="5" l="1"/>
  <c r="M41" i="14" s="1"/>
  <c r="AB41" i="14" s="1"/>
  <c r="A42" i="5"/>
  <c r="G42" i="5" l="1"/>
  <c r="M42" i="14" s="1"/>
  <c r="AB42" i="14" s="1"/>
  <c r="A43" i="5"/>
  <c r="G43" i="5" l="1"/>
  <c r="M43" i="14" s="1"/>
  <c r="AB43" i="14" s="1"/>
  <c r="A44" i="5"/>
  <c r="G44" i="5" l="1"/>
  <c r="M44" i="14" s="1"/>
  <c r="AB44" i="14" s="1"/>
  <c r="A45" i="5"/>
  <c r="G45" i="5" l="1"/>
  <c r="M45" i="14" s="1"/>
  <c r="AB45" i="14" s="1"/>
  <c r="A46" i="5"/>
  <c r="G46" i="5" l="1"/>
  <c r="M46" i="14" s="1"/>
  <c r="AB46" i="14" s="1"/>
  <c r="A47" i="5"/>
  <c r="G47" i="5" l="1"/>
  <c r="M47" i="14" s="1"/>
  <c r="AB47" i="14" s="1"/>
  <c r="A48" i="5"/>
  <c r="G48" i="5" l="1"/>
  <c r="M48" i="14" s="1"/>
  <c r="AB48" i="14" s="1"/>
  <c r="A49" i="5"/>
  <c r="G49" i="5" l="1"/>
  <c r="M49" i="14" s="1"/>
  <c r="AB49" i="14" s="1"/>
  <c r="A50" i="5"/>
  <c r="G50" i="5" l="1"/>
  <c r="M50" i="14" s="1"/>
  <c r="AB50" i="14" s="1"/>
  <c r="A51" i="5"/>
  <c r="G51" i="5" l="1"/>
  <c r="M51" i="14" s="1"/>
  <c r="AB51" i="14" s="1"/>
  <c r="A52" i="5"/>
  <c r="G52" i="5" l="1"/>
  <c r="M52" i="14" s="1"/>
  <c r="AB52" i="14" s="1"/>
  <c r="A53" i="5"/>
  <c r="G53" i="5" l="1"/>
  <c r="M53" i="14" s="1"/>
  <c r="AB53" i="14" s="1"/>
  <c r="A54" i="5"/>
  <c r="G54" i="5" l="1"/>
  <c r="M54" i="14" s="1"/>
  <c r="AB54" i="14" s="1"/>
  <c r="A55" i="5"/>
  <c r="G55" i="5" l="1"/>
  <c r="M55" i="14" s="1"/>
  <c r="AB55" i="14" s="1"/>
  <c r="A56" i="5"/>
  <c r="G56" i="5" l="1"/>
  <c r="M56" i="14" s="1"/>
  <c r="AB56" i="14" s="1"/>
  <c r="A57" i="5"/>
  <c r="G57" i="5" l="1"/>
  <c r="M57" i="14" s="1"/>
  <c r="AB57" i="14" s="1"/>
  <c r="A58" i="5"/>
  <c r="G58" i="5" l="1"/>
  <c r="M58" i="14" s="1"/>
  <c r="AB58" i="14" s="1"/>
  <c r="A59" i="5"/>
  <c r="G59" i="5" l="1"/>
  <c r="M59" i="14" s="1"/>
  <c r="AB59" i="14" s="1"/>
  <c r="A60" i="5"/>
  <c r="G60" i="5" l="1"/>
  <c r="M60" i="14" s="1"/>
  <c r="AB60" i="14" s="1"/>
  <c r="A61" i="5"/>
  <c r="G61" i="5" l="1"/>
  <c r="M61" i="14" s="1"/>
  <c r="AB61" i="14" s="1"/>
  <c r="A62" i="5"/>
  <c r="G62" i="5" l="1"/>
  <c r="M62" i="14" s="1"/>
  <c r="AB62" i="14" s="1"/>
  <c r="A63" i="5"/>
  <c r="G63" i="5" l="1"/>
  <c r="M63" i="14" s="1"/>
  <c r="AB63" i="14" s="1"/>
  <c r="A64" i="5"/>
  <c r="G64" i="5" l="1"/>
  <c r="M64" i="14" s="1"/>
  <c r="AB64" i="14" s="1"/>
  <c r="A65" i="5"/>
  <c r="G65" i="5" l="1"/>
  <c r="M65" i="14" s="1"/>
  <c r="AB65" i="14" s="1"/>
  <c r="A66" i="5"/>
  <c r="G66" i="5" l="1"/>
  <c r="M66" i="14" s="1"/>
  <c r="AB66" i="14" s="1"/>
  <c r="A67" i="5"/>
  <c r="G67" i="5" l="1"/>
  <c r="M67" i="14" s="1"/>
  <c r="AB67" i="14" s="1"/>
  <c r="A68" i="5"/>
  <c r="G68" i="5" l="1"/>
  <c r="M68" i="14" s="1"/>
  <c r="AB68" i="14" s="1"/>
  <c r="A69" i="5"/>
  <c r="G69" i="5" l="1"/>
  <c r="M69" i="14" s="1"/>
  <c r="AB69" i="14" s="1"/>
  <c r="A70" i="5"/>
  <c r="G70" i="5" l="1"/>
  <c r="M70" i="14" s="1"/>
  <c r="AB70" i="14" s="1"/>
  <c r="A71" i="5"/>
  <c r="G71" i="5" l="1"/>
  <c r="M71" i="14" s="1"/>
  <c r="AB71" i="14" s="1"/>
  <c r="A72" i="5"/>
  <c r="G72" i="5" l="1"/>
  <c r="M72" i="14" s="1"/>
  <c r="AB72" i="14" s="1"/>
  <c r="A73" i="5"/>
  <c r="G73" i="5" l="1"/>
  <c r="M73" i="14" s="1"/>
  <c r="AB73" i="14" s="1"/>
  <c r="A74" i="5"/>
  <c r="G74" i="5" l="1"/>
  <c r="M74" i="14" s="1"/>
  <c r="AB74" i="14" s="1"/>
  <c r="A75" i="5"/>
  <c r="G75" i="5" l="1"/>
  <c r="M75" i="14" s="1"/>
  <c r="AB75" i="14" s="1"/>
  <c r="A76" i="5"/>
  <c r="G76" i="5" l="1"/>
  <c r="M76" i="14" s="1"/>
  <c r="AB76" i="14" s="1"/>
  <c r="A77" i="5"/>
  <c r="G77" i="5" l="1"/>
  <c r="M77" i="14" s="1"/>
  <c r="AB77" i="14" s="1"/>
  <c r="A78" i="5"/>
  <c r="G78" i="5" l="1"/>
  <c r="M78" i="14" s="1"/>
  <c r="AB78" i="14" s="1"/>
  <c r="A79" i="5"/>
  <c r="G79" i="5" l="1"/>
  <c r="M79" i="14" s="1"/>
  <c r="AB79" i="14" s="1"/>
  <c r="A80" i="5"/>
  <c r="G80" i="5" l="1"/>
  <c r="M80" i="14" s="1"/>
  <c r="AB80" i="14" s="1"/>
  <c r="A81" i="5"/>
  <c r="G81" i="5" l="1"/>
  <c r="M81" i="14" s="1"/>
  <c r="AB81" i="14" s="1"/>
  <c r="AM81" i="5"/>
  <c r="V81" i="14" s="1"/>
  <c r="A82" i="5"/>
  <c r="G82" i="5" l="1"/>
  <c r="M82" i="14" s="1"/>
  <c r="AB82" i="14" s="1"/>
  <c r="AM82" i="5"/>
  <c r="V82" i="14" s="1"/>
  <c r="BP81" i="5"/>
  <c r="BJ81" i="5" s="1"/>
  <c r="A83" i="5"/>
  <c r="G83" i="5" l="1"/>
  <c r="M83" i="14" s="1"/>
  <c r="AB83" i="14" s="1"/>
  <c r="BP82" i="5"/>
  <c r="BJ82" i="5" s="1"/>
  <c r="AM83" i="5"/>
  <c r="V83" i="14" s="1"/>
  <c r="A84" i="5"/>
  <c r="G84" i="5" l="1"/>
  <c r="M84" i="14" s="1"/>
  <c r="AB84" i="14" s="1"/>
  <c r="AM84" i="5"/>
  <c r="V84" i="14" s="1"/>
  <c r="BP83" i="5"/>
  <c r="BJ83" i="5" s="1"/>
  <c r="A85" i="5"/>
  <c r="G85" i="5" l="1"/>
  <c r="M85" i="14" s="1"/>
  <c r="AB85" i="14" s="1"/>
  <c r="AM85" i="5"/>
  <c r="V85" i="14" s="1"/>
  <c r="BP84" i="5"/>
  <c r="BJ84" i="5" s="1"/>
  <c r="A86" i="5"/>
  <c r="G86" i="5" l="1"/>
  <c r="M86" i="14" s="1"/>
  <c r="AB86" i="14" s="1"/>
  <c r="BP85" i="5"/>
  <c r="BJ85" i="5" s="1"/>
  <c r="BJ1" i="5" s="1"/>
  <c r="A87" i="5"/>
  <c r="G87" i="5" l="1"/>
  <c r="M87" i="14" s="1"/>
  <c r="AB87" i="14" s="1"/>
  <c r="A88" i="5"/>
  <c r="G88" i="5" l="1"/>
  <c r="M88" i="14" s="1"/>
  <c r="AB88" i="14" s="1"/>
  <c r="A89" i="5"/>
  <c r="G89" i="5" l="1"/>
  <c r="M89" i="14" s="1"/>
  <c r="AB89" i="14" s="1"/>
  <c r="A90" i="5"/>
  <c r="G90" i="5" l="1"/>
  <c r="M90" i="14" s="1"/>
  <c r="AB90" i="14" s="1"/>
  <c r="A91" i="5"/>
  <c r="G91" i="5" l="1"/>
  <c r="M91" i="14" s="1"/>
  <c r="AB91" i="14" s="1"/>
  <c r="A92" i="5"/>
  <c r="G92" i="5" l="1"/>
  <c r="M92" i="14" s="1"/>
  <c r="AB92" i="14" s="1"/>
  <c r="A93" i="5"/>
  <c r="G93" i="5" l="1"/>
  <c r="M93" i="14" s="1"/>
  <c r="AB93" i="14" s="1"/>
  <c r="A94" i="5"/>
  <c r="G94" i="5" l="1"/>
  <c r="M94" i="14" s="1"/>
  <c r="AB94" i="14" s="1"/>
  <c r="A95" i="5"/>
  <c r="G95" i="5" l="1"/>
  <c r="M95" i="14" s="1"/>
  <c r="AB95" i="14" s="1"/>
  <c r="A96" i="5"/>
  <c r="G96" i="5" l="1"/>
  <c r="M96" i="14" s="1"/>
  <c r="AB96" i="14" s="1"/>
  <c r="A97" i="5"/>
  <c r="G97" i="5" l="1"/>
  <c r="M97" i="14" s="1"/>
  <c r="AB97" i="14" s="1"/>
  <c r="A98" i="5"/>
  <c r="G98" i="5" l="1"/>
  <c r="M98" i="14" s="1"/>
  <c r="AB98" i="14" s="1"/>
  <c r="A99" i="5"/>
  <c r="G99" i="5" l="1"/>
  <c r="M99" i="14" s="1"/>
  <c r="AB99" i="14" s="1"/>
  <c r="A100" i="5"/>
  <c r="G100" i="5" l="1"/>
  <c r="M100" i="14" s="1"/>
  <c r="AB100" i="14" s="1"/>
  <c r="A101" i="5"/>
  <c r="G101" i="5" l="1"/>
  <c r="M101" i="14" s="1"/>
  <c r="AB101" i="14" s="1"/>
  <c r="A102" i="5"/>
  <c r="G102" i="5" l="1"/>
  <c r="M102" i="14" s="1"/>
  <c r="AB102" i="14" s="1"/>
  <c r="A103" i="5"/>
  <c r="G103" i="5" l="1"/>
  <c r="M103" i="14" s="1"/>
  <c r="AB103" i="14" s="1"/>
  <c r="A104" i="5"/>
  <c r="G104" i="5" l="1"/>
  <c r="M104" i="14" s="1"/>
  <c r="AB104" i="14" s="1"/>
  <c r="A105" i="5"/>
  <c r="G105" i="5" l="1"/>
  <c r="M105" i="14" s="1"/>
  <c r="AB105" i="14" s="1"/>
  <c r="A106" i="5"/>
  <c r="G106" i="5" l="1"/>
  <c r="M106" i="14" s="1"/>
  <c r="AB106" i="14" s="1"/>
  <c r="A107" i="5"/>
  <c r="G107" i="5" l="1"/>
  <c r="M107" i="14" s="1"/>
  <c r="AB107" i="14" s="1"/>
  <c r="A108" i="5"/>
  <c r="G108" i="5" l="1"/>
  <c r="M108" i="14" s="1"/>
  <c r="AB108" i="14" s="1"/>
  <c r="A109" i="5"/>
  <c r="G109" i="5" l="1"/>
  <c r="M109" i="14" s="1"/>
  <c r="AB109" i="14" s="1"/>
  <c r="A110" i="5"/>
  <c r="G110" i="5" l="1"/>
  <c r="M110" i="14" s="1"/>
  <c r="AB110" i="14" s="1"/>
  <c r="A111" i="5"/>
  <c r="G111" i="5" l="1"/>
  <c r="M111" i="14" s="1"/>
  <c r="AB111" i="14" s="1"/>
  <c r="A112" i="5"/>
  <c r="G112" i="5" l="1"/>
  <c r="M112" i="14" s="1"/>
  <c r="AB112" i="14" s="1"/>
  <c r="A113" i="5"/>
  <c r="G113" i="5" l="1"/>
  <c r="M113" i="14" s="1"/>
  <c r="AB113" i="14" s="1"/>
  <c r="A114" i="5"/>
  <c r="G114" i="5" l="1"/>
  <c r="M114" i="14" s="1"/>
  <c r="AB114" i="14" s="1"/>
  <c r="A115" i="5"/>
  <c r="G115" i="5" l="1"/>
  <c r="M115" i="14" s="1"/>
  <c r="AB115" i="14" s="1"/>
  <c r="A116" i="5"/>
  <c r="G116" i="5" l="1"/>
  <c r="M116" i="14" s="1"/>
  <c r="AB116" i="14" s="1"/>
  <c r="A117" i="5"/>
  <c r="G117" i="5" l="1"/>
  <c r="M117" i="14" s="1"/>
  <c r="AB117" i="14" s="1"/>
  <c r="A118" i="5"/>
  <c r="G118" i="5" l="1"/>
  <c r="M118" i="14" s="1"/>
  <c r="AB118" i="14" s="1"/>
  <c r="A119" i="5"/>
  <c r="G119" i="5" l="1"/>
  <c r="M119" i="14" s="1"/>
  <c r="AB119" i="14" s="1"/>
  <c r="A120" i="5"/>
  <c r="G120" i="5" l="1"/>
  <c r="M120" i="14" s="1"/>
  <c r="AB120" i="14" s="1"/>
  <c r="A121" i="5"/>
  <c r="G121" i="5" l="1"/>
  <c r="M121" i="14" s="1"/>
  <c r="AB121" i="14" s="1"/>
  <c r="A122" i="5"/>
  <c r="G122" i="5" l="1"/>
  <c r="M122" i="14" s="1"/>
  <c r="AB122" i="14" s="1"/>
  <c r="A123" i="5"/>
  <c r="G123" i="5" l="1"/>
  <c r="M123" i="14" s="1"/>
  <c r="AB123" i="14" s="1"/>
  <c r="A124" i="5"/>
  <c r="G124" i="5" l="1"/>
  <c r="M124" i="14" s="1"/>
  <c r="AB124" i="14" s="1"/>
  <c r="A125" i="5"/>
  <c r="G125" i="5" l="1"/>
  <c r="M125" i="14" s="1"/>
  <c r="AB125" i="14" s="1"/>
  <c r="A126" i="5"/>
  <c r="G126" i="5" l="1"/>
  <c r="M126" i="14" s="1"/>
  <c r="AB126" i="14" s="1"/>
  <c r="A127" i="5"/>
  <c r="G127" i="5" l="1"/>
  <c r="M127" i="14" s="1"/>
  <c r="AB127" i="14" s="1"/>
  <c r="A128" i="5"/>
  <c r="G128" i="5" l="1"/>
  <c r="M128" i="14" s="1"/>
  <c r="AB128" i="14" s="1"/>
  <c r="A129" i="5"/>
  <c r="G129" i="5" l="1"/>
  <c r="M129" i="14" s="1"/>
  <c r="AB129" i="14" s="1"/>
  <c r="A130" i="5"/>
  <c r="G130" i="5" l="1"/>
  <c r="M130" i="14" s="1"/>
  <c r="AB130" i="14" s="1"/>
  <c r="A131" i="5"/>
  <c r="G131" i="5" l="1"/>
  <c r="M131" i="14" s="1"/>
  <c r="AB131" i="14" s="1"/>
  <c r="A132" i="5"/>
  <c r="G132" i="5" l="1"/>
  <c r="M132" i="14" s="1"/>
  <c r="AB132" i="14" s="1"/>
  <c r="A133" i="5"/>
  <c r="G133" i="5" l="1"/>
  <c r="M133" i="14" s="1"/>
  <c r="AB133" i="14" s="1"/>
  <c r="A134" i="5"/>
  <c r="G134" i="5" l="1"/>
  <c r="M134" i="14" s="1"/>
  <c r="AB134" i="14" s="1"/>
  <c r="A135" i="5"/>
  <c r="G135" i="5" l="1"/>
  <c r="M135" i="14" s="1"/>
  <c r="AB135" i="14" s="1"/>
  <c r="A136" i="5"/>
  <c r="G136" i="5" l="1"/>
  <c r="M136" i="14" s="1"/>
  <c r="AB136" i="14" s="1"/>
  <c r="A137" i="5"/>
  <c r="G137" i="5" l="1"/>
  <c r="M137" i="14" s="1"/>
  <c r="AB137" i="14" s="1"/>
  <c r="A138" i="5"/>
  <c r="G138" i="5" l="1"/>
  <c r="M138" i="14" s="1"/>
  <c r="AB138" i="14" s="1"/>
  <c r="A139" i="5"/>
  <c r="G139" i="5" l="1"/>
  <c r="M139" i="14" s="1"/>
  <c r="AB139" i="14" s="1"/>
  <c r="A140" i="5"/>
  <c r="G140" i="5" l="1"/>
  <c r="M140" i="14" s="1"/>
  <c r="AB140" i="14" s="1"/>
  <c r="A141" i="5"/>
  <c r="G141" i="5" l="1"/>
  <c r="M141" i="14" s="1"/>
  <c r="AB141" i="14" s="1"/>
  <c r="A142" i="5"/>
  <c r="G142" i="5" l="1"/>
  <c r="M142" i="14" s="1"/>
  <c r="AB142" i="14" s="1"/>
  <c r="A143" i="5"/>
  <c r="G143" i="5" l="1"/>
  <c r="M143" i="14" s="1"/>
  <c r="AB143" i="14" s="1"/>
  <c r="A144" i="5"/>
  <c r="G144" i="5" l="1"/>
  <c r="M144" i="14" s="1"/>
  <c r="AB144" i="14" s="1"/>
  <c r="A145" i="5"/>
  <c r="G145" i="5" l="1"/>
  <c r="M145" i="14" s="1"/>
  <c r="AB145" i="14" s="1"/>
  <c r="A146" i="5"/>
  <c r="G146" i="5" l="1"/>
  <c r="M146" i="14" s="1"/>
  <c r="AB146" i="14" s="1"/>
  <c r="A147" i="5"/>
  <c r="G147" i="5" l="1"/>
  <c r="M147" i="14" s="1"/>
  <c r="AB147" i="14" s="1"/>
  <c r="A148" i="5"/>
  <c r="G148" i="5" l="1"/>
  <c r="M148" i="14" s="1"/>
  <c r="AB148" i="14" s="1"/>
  <c r="A149" i="5"/>
  <c r="G149" i="5" l="1"/>
  <c r="M149" i="14" s="1"/>
  <c r="AB149" i="14" s="1"/>
  <c r="A150" i="5"/>
  <c r="G150" i="5" l="1"/>
  <c r="M150" i="14" s="1"/>
  <c r="AB150" i="14" s="1"/>
  <c r="A151" i="5"/>
  <c r="G151" i="5" l="1"/>
  <c r="M151" i="14" s="1"/>
  <c r="AB151" i="14" s="1"/>
  <c r="A152" i="5"/>
  <c r="G152" i="5" l="1"/>
  <c r="M152" i="14" s="1"/>
  <c r="AB152" i="14" s="1"/>
  <c r="A153" i="5"/>
  <c r="G153" i="5" l="1"/>
  <c r="M153" i="14" s="1"/>
  <c r="AB153" i="14" s="1"/>
  <c r="A154" i="5"/>
  <c r="G154" i="5" l="1"/>
  <c r="M154" i="14" s="1"/>
  <c r="AB154" i="14" s="1"/>
  <c r="A155" i="5"/>
  <c r="G155" i="5" l="1"/>
  <c r="M155" i="14" s="1"/>
  <c r="AB155" i="14" s="1"/>
  <c r="A156" i="5"/>
  <c r="G156" i="5" l="1"/>
  <c r="M156" i="14" s="1"/>
  <c r="AB156" i="14" s="1"/>
  <c r="A157" i="5"/>
  <c r="G157" i="5" l="1"/>
  <c r="M157" i="14" s="1"/>
  <c r="AB157" i="14" s="1"/>
  <c r="A158" i="5"/>
  <c r="G158" i="5" l="1"/>
  <c r="M158" i="14" s="1"/>
  <c r="AB158" i="14" s="1"/>
  <c r="A159" i="5"/>
  <c r="G159" i="5" l="1"/>
  <c r="M159" i="14" s="1"/>
  <c r="AB159" i="14" s="1"/>
  <c r="A160" i="5"/>
  <c r="G160" i="5" l="1"/>
  <c r="M160" i="14" s="1"/>
  <c r="AB160" i="14" s="1"/>
  <c r="A161" i="5"/>
  <c r="G161" i="5" l="1"/>
  <c r="M161" i="14" s="1"/>
  <c r="AB161" i="14" s="1"/>
  <c r="A162" i="5"/>
  <c r="G162" i="5" l="1"/>
  <c r="M162" i="14" s="1"/>
  <c r="AB162" i="14" s="1"/>
  <c r="A163" i="5"/>
  <c r="A164" i="5" l="1"/>
  <c r="G163" i="5"/>
  <c r="M163" i="14" s="1"/>
  <c r="AB163" i="14" s="1"/>
  <c r="A165" i="5"/>
  <c r="G165" i="5" l="1"/>
  <c r="M165" i="14" s="1"/>
  <c r="AB165" i="14" s="1"/>
  <c r="G164" i="5"/>
  <c r="M164" i="14" s="1"/>
  <c r="AB164" i="14" s="1"/>
  <c r="A166" i="5"/>
  <c r="G166" i="5" l="1"/>
  <c r="M166" i="14" s="1"/>
  <c r="AB166" i="14" s="1"/>
  <c r="A167" i="5"/>
  <c r="G167" i="5" l="1"/>
  <c r="M167" i="14" s="1"/>
  <c r="AB167" i="14" s="1"/>
  <c r="A168" i="5"/>
  <c r="B1" i="25" l="1"/>
  <c r="B2" i="25" s="1"/>
  <c r="G168" i="5"/>
  <c r="M168" i="14" s="1"/>
  <c r="AB168" i="14" s="1"/>
</calcChain>
</file>

<file path=xl/comments1.xml><?xml version="1.0" encoding="utf-8"?>
<comments xmlns="http://schemas.openxmlformats.org/spreadsheetml/2006/main">
  <authors>
    <author>hlussiatti</author>
  </authors>
  <commentList>
    <comment ref="AJ2" authorId="0" shapeId="0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M1" authorId="0" shapeId="0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<sst xmlns="http://schemas.openxmlformats.org/spreadsheetml/2006/main" count="37829" uniqueCount="9181">
  <si>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</si>
  <si>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</si>
  <si>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</si>
  <si>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</si>
  <si>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</si>
  <si>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</si>
  <si>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</si>
  <si>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</si>
  <si>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</si>
  <si>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</si>
  <si>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</si>
  <si>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</si>
  <si>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</si>
  <si>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</si>
  <si>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</si>
  <si>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</si>
  <si>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</si>
  <si>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</si>
  <si>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</si>
  <si>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</si>
  <si>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</si>
  <si>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</si>
  <si>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</si>
  <si>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</si>
  <si>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</si>
  <si>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</si>
  <si>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</si>
  <si>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</si>
  <si>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</si>
  <si>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</si>
  <si>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</si>
  <si>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</si>
  <si>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</si>
  <si>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</si>
  <si>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</si>
  <si>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</si>
  <si>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</si>
  <si>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</si>
  <si>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</si>
  <si>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</si>
  <si>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</si>
  <si>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</si>
  <si>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</si>
  <si>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</si>
  <si>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</si>
  <si>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</si>
  <si>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</si>
  <si>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</si>
  <si>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</si>
  <si>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</si>
  <si>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</si>
  <si>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</si>
  <si>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</si>
  <si>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</si>
  <si>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</si>
  <si>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</si>
  <si>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</si>
  <si>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</si>
  <si>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</si>
  <si>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</si>
  <si>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</si>
  <si>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</si>
  <si>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</si>
  <si>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</si>
  <si>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</si>
  <si>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</si>
  <si>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</si>
  <si>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</si>
  <si>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</si>
  <si>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</si>
  <si>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</si>
  <si>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</si>
  <si>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</si>
  <si>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</si>
  <si>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</si>
  <si>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</si>
  <si>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</si>
  <si>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</si>
  <si>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</si>
  <si>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</si>
  <si>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</si>
  <si>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</si>
  <si>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</si>
  <si>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</si>
  <si>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</si>
  <si>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</si>
  <si>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</si>
  <si>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</si>
  <si>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</si>
  <si>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</si>
  <si>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</si>
  <si>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</si>
  <si>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</si>
  <si>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</si>
  <si>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</si>
  <si>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</si>
  <si>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</si>
  <si>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</si>
  <si>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</si>
  <si>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</si>
  <si>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</si>
  <si>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</si>
  <si>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</si>
  <si>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</si>
  <si>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</si>
  <si>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</si>
  <si>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</si>
  <si>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</si>
  <si>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</si>
  <si>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</si>
  <si>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</si>
  <si>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</si>
  <si>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</si>
  <si>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</si>
  <si>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</si>
  <si>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</si>
  <si>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</si>
  <si>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</si>
  <si>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</si>
  <si>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</si>
  <si>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</si>
  <si>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</si>
  <si>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</si>
  <si>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</si>
  <si>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</si>
  <si>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</si>
  <si>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</si>
  <si>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</si>
  <si>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</si>
  <si>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</si>
  <si>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</si>
  <si>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</si>
  <si>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</si>
  <si>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</si>
  <si>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</si>
  <si>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</si>
  <si>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</si>
  <si>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</si>
  <si>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</si>
  <si>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</si>
  <si>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</si>
  <si>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</si>
  <si>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</si>
  <si>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</si>
  <si>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</si>
  <si>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</si>
  <si>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</si>
  <si>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</si>
  <si>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</si>
  <si>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</si>
  <si>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</si>
  <si>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</si>
  <si>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</si>
  <si>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</si>
  <si>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</si>
  <si>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</si>
  <si>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</si>
  <si>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</si>
  <si>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</si>
  <si>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</si>
  <si>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</si>
  <si>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</si>
  <si>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</si>
  <si>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</si>
  <si>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</si>
  <si>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</si>
  <si>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</si>
  <si>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</si>
  <si>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</si>
  <si>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</si>
  <si>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</si>
  <si>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</si>
  <si>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</si>
  <si>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</si>
  <si>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</si>
  <si>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</si>
  <si>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</si>
  <si>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</si>
  <si>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</si>
  <si>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</si>
  <si>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</si>
  <si>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</si>
  <si>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</si>
  <si>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</si>
  <si>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</si>
  <si>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</si>
  <si>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</si>
  <si>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</si>
  <si>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</si>
  <si>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</si>
  <si>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</si>
  <si>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</si>
  <si>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</si>
  <si>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</si>
  <si>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</si>
  <si>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</si>
  <si>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</si>
  <si>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</si>
  <si>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</si>
  <si>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</si>
  <si>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</si>
  <si>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</si>
  <si>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</si>
  <si>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</si>
  <si>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</si>
  <si>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</si>
  <si>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</si>
  <si>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</si>
  <si>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</si>
  <si>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</si>
  <si>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</si>
  <si>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</si>
  <si>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</si>
  <si>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</si>
  <si>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</si>
  <si>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</si>
  <si>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</si>
  <si>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</si>
  <si>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</si>
  <si>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</si>
  <si>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</si>
  <si>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</si>
  <si>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</si>
  <si>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</si>
  <si>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</si>
  <si>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</si>
  <si>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</si>
  <si>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</si>
  <si>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</si>
  <si>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</si>
  <si>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</si>
  <si>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</si>
  <si>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</si>
  <si>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</si>
  <si>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</si>
  <si>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</si>
  <si>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</si>
  <si>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</si>
  <si>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</si>
  <si>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</si>
  <si>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</si>
  <si>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</si>
  <si>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</si>
  <si>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</si>
  <si>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</si>
  <si>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</si>
  <si>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</si>
  <si>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</si>
  <si>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</si>
  <si>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</si>
  <si>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</si>
  <si>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</si>
  <si>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</si>
  <si>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</si>
  <si>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</si>
  <si>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</si>
  <si>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</si>
  <si>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</si>
  <si>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</si>
  <si>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</si>
  <si>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</si>
  <si>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</si>
  <si>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</si>
  <si>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</si>
  <si>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</si>
  <si>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</si>
  <si>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</si>
  <si>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</si>
  <si>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</si>
  <si>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</si>
  <si>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</si>
  <si>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</si>
  <si>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</si>
  <si>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</si>
  <si>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</si>
  <si>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</si>
  <si>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</si>
  <si>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</si>
  <si>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</si>
  <si>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</si>
  <si>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</si>
  <si>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</si>
  <si>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</si>
  <si>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</si>
  <si>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</si>
  <si>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</si>
  <si>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</si>
  <si>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</si>
  <si>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</si>
  <si>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</si>
  <si>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</si>
  <si>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</si>
  <si>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</si>
  <si>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</si>
  <si>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</si>
  <si>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</si>
  <si>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</si>
  <si>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</si>
  <si>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</si>
  <si>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</si>
  <si>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</si>
  <si>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</si>
  <si>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</si>
  <si>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</si>
  <si>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</si>
  <si>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</si>
  <si>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</si>
  <si>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</si>
  <si>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</si>
  <si>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</si>
  <si>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</si>
  <si>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</si>
  <si>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</si>
  <si>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</si>
  <si>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</si>
  <si>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</si>
  <si>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</si>
  <si>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</si>
  <si>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</si>
  <si>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</si>
  <si>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</si>
  <si>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</si>
  <si>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</si>
  <si>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</si>
  <si>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</si>
  <si>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</si>
  <si>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</si>
  <si>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</si>
  <si>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</si>
  <si>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</si>
  <si>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</si>
  <si>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</si>
  <si>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</si>
  <si>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</si>
  <si>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</si>
  <si>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</si>
  <si>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</si>
  <si>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</si>
  <si>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</si>
  <si>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</si>
  <si>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</si>
  <si>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</si>
  <si>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</si>
  <si>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</si>
  <si>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</si>
  <si>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</si>
  <si>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</si>
  <si>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</si>
  <si>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</si>
  <si>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</si>
  <si>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</si>
  <si>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</si>
  <si>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</si>
  <si>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</si>
  <si>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</si>
  <si>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</si>
  <si>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</si>
  <si>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</si>
  <si>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</si>
  <si>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</si>
  <si>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</si>
  <si>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</si>
  <si>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</si>
  <si>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</si>
  <si>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</si>
  <si>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</si>
  <si>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</si>
  <si>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</si>
  <si>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</si>
  <si>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</si>
  <si>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</si>
  <si>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</si>
  <si>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</si>
  <si>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</si>
  <si>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</si>
  <si>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</si>
  <si>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</si>
  <si>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</si>
  <si>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</si>
  <si>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</si>
  <si>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</si>
  <si>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</si>
  <si>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</si>
  <si>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</si>
  <si>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</si>
  <si>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</si>
  <si>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</si>
  <si>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</si>
  <si>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</si>
  <si>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</si>
  <si>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</si>
  <si>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</si>
  <si>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</si>
  <si>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</si>
  <si>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</si>
  <si>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</si>
  <si>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</si>
  <si>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</si>
  <si>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</si>
  <si>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</si>
  <si>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</si>
  <si>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</si>
  <si>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</si>
  <si>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</si>
  <si>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</si>
  <si>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</si>
  <si>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</si>
  <si>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</si>
  <si>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</si>
  <si>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</si>
  <si>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</si>
  <si>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</si>
  <si>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</si>
  <si>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</si>
  <si>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</si>
  <si>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</si>
  <si>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</si>
  <si>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</si>
  <si>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</si>
  <si>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</si>
  <si>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</si>
  <si>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</si>
  <si>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</si>
  <si>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</si>
  <si>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</si>
  <si>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</si>
  <si>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</si>
  <si>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</si>
  <si>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</si>
  <si>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</si>
  <si>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</si>
  <si>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</si>
  <si>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</si>
  <si>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</si>
  <si>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</si>
  <si>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</si>
  <si>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</si>
  <si>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</si>
  <si>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</si>
  <si>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</si>
  <si>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</si>
  <si>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</si>
  <si>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</si>
  <si>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</si>
  <si>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</si>
  <si>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</si>
  <si>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</si>
  <si>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</si>
  <si>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</si>
  <si>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</si>
  <si>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</si>
  <si>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</si>
  <si>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</si>
  <si>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</si>
  <si>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</si>
  <si>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</si>
  <si>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</si>
  <si>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</si>
  <si>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</si>
  <si>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</si>
  <si>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</si>
  <si>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</si>
  <si>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</si>
  <si>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</si>
  <si>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</si>
  <si>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</si>
  <si>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</si>
  <si>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</si>
  <si>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</si>
  <si>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</si>
  <si>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</si>
  <si>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</si>
  <si>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</si>
  <si>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</si>
  <si>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</si>
  <si>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</si>
  <si>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</si>
  <si>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</si>
  <si>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</si>
  <si>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</si>
  <si>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</si>
  <si>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</si>
  <si>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</si>
  <si>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</si>
  <si>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</si>
  <si>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</si>
  <si>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</si>
  <si>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</si>
  <si>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</si>
  <si>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</si>
  <si>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</si>
  <si>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</si>
  <si>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</si>
  <si>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</si>
  <si>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</si>
  <si>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</si>
  <si>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</si>
  <si>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</si>
  <si>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</si>
  <si>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</si>
  <si>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</si>
  <si>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</si>
  <si>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</si>
  <si>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</si>
  <si>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</si>
  <si>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</si>
  <si>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</si>
  <si>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</si>
  <si>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</si>
  <si>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</si>
  <si>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</si>
  <si>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</si>
  <si>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</si>
  <si>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</si>
  <si>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</si>
  <si>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</si>
  <si>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</si>
  <si>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</si>
  <si>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</si>
  <si>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</si>
  <si>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</si>
  <si>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</si>
  <si>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</si>
  <si>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</si>
  <si>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</si>
  <si>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</si>
  <si>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</si>
  <si>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</si>
  <si>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</si>
  <si>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</si>
  <si>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</si>
  <si>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</si>
  <si>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</si>
  <si>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</si>
  <si>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</si>
  <si>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</si>
  <si>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</si>
  <si>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</si>
  <si>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</si>
  <si>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</si>
  <si>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</si>
  <si>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</si>
  <si>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</si>
  <si>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</si>
  <si>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</si>
  <si>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</si>
  <si>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</si>
  <si>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</si>
  <si>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</si>
  <si>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</si>
  <si>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</si>
  <si>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</si>
  <si>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</si>
  <si>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</si>
  <si>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</si>
  <si>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</si>
  <si>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</si>
  <si>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</si>
  <si>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</si>
  <si>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</si>
  <si>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</si>
  <si>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</si>
  <si>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</si>
  <si>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</si>
  <si>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</si>
  <si>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</si>
  <si>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</si>
  <si>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</si>
  <si>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</si>
  <si>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</si>
  <si>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</si>
  <si>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</si>
  <si>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</si>
  <si>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</si>
  <si>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</si>
  <si>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</si>
  <si>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</si>
  <si>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</si>
  <si>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</si>
  <si>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</si>
  <si>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</si>
  <si>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</si>
  <si>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</si>
  <si>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</si>
  <si>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</si>
  <si>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</si>
  <si>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</si>
  <si>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</si>
  <si>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</si>
  <si>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</si>
  <si>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</si>
  <si>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</si>
  <si>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</si>
  <si>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</si>
  <si>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</si>
  <si>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</si>
  <si>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</si>
  <si>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</si>
  <si>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</si>
  <si>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</si>
  <si>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</si>
  <si>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</si>
  <si>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</si>
  <si>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</si>
  <si>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</si>
  <si>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</si>
  <si>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</si>
  <si>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</si>
  <si>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</si>
  <si>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</si>
  <si>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</si>
  <si>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</si>
  <si>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</si>
  <si>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</si>
  <si>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</si>
  <si>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</si>
  <si>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</si>
  <si>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</si>
  <si>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</si>
  <si>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</si>
  <si>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</si>
  <si>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</si>
  <si>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</si>
  <si>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</si>
  <si>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</si>
  <si>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</si>
  <si>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</si>
  <si>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</si>
  <si>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</si>
  <si>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</si>
  <si>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</si>
  <si>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</si>
  <si>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</si>
  <si>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</si>
  <si>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</si>
  <si>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</si>
  <si>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</si>
  <si>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</si>
  <si>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</si>
  <si>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</si>
  <si>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</si>
  <si>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</si>
  <si>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</si>
  <si>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</si>
  <si>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</si>
  <si>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</si>
  <si>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</si>
  <si>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</si>
  <si>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</si>
  <si>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</si>
  <si>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</si>
  <si>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</si>
  <si>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</si>
  <si>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</si>
  <si>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</si>
  <si>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</si>
  <si>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</si>
  <si>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</si>
  <si>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</si>
  <si>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</si>
  <si>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</si>
  <si>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</si>
  <si>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</si>
  <si>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</si>
  <si>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</si>
  <si>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</si>
  <si>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</si>
  <si>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</si>
  <si>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</si>
  <si>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</si>
  <si>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</si>
  <si>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</si>
  <si>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</si>
  <si>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</si>
  <si>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</si>
  <si>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</si>
  <si>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</si>
  <si>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</si>
  <si>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</si>
  <si>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</si>
  <si>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</si>
  <si>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</si>
  <si>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</si>
  <si>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</si>
  <si>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</si>
  <si>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</si>
  <si>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</si>
  <si>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</si>
  <si>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</si>
  <si>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</si>
  <si>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</si>
  <si>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</si>
  <si>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</si>
  <si>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</si>
  <si>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</si>
  <si>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</si>
  <si>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</si>
  <si>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</si>
  <si>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</si>
  <si>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</si>
  <si>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</si>
  <si>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</si>
  <si>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</si>
  <si>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</si>
  <si>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</si>
  <si>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</si>
  <si>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</si>
  <si>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</si>
  <si>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</si>
  <si>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</si>
  <si>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</si>
  <si>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</si>
  <si>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</si>
  <si>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</si>
  <si>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</si>
  <si>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</si>
  <si>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</si>
  <si>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</si>
  <si>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</si>
  <si>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</si>
  <si>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</si>
  <si>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</si>
  <si>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</si>
  <si>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</si>
  <si>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</si>
  <si>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</si>
  <si>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</si>
  <si>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</si>
  <si>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</si>
  <si>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</si>
  <si>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</si>
  <si>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</si>
  <si>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</si>
  <si>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</si>
  <si>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</si>
  <si>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</si>
  <si>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</si>
  <si>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</si>
  <si>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</si>
  <si>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</si>
  <si>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</si>
  <si>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</si>
  <si>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</si>
  <si>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</si>
  <si>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</si>
  <si>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</si>
  <si>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</si>
  <si>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</si>
  <si>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</si>
  <si>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</si>
  <si>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</si>
  <si>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</si>
  <si>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</si>
  <si>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</si>
  <si>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</si>
  <si>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</si>
  <si>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</si>
  <si>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</si>
  <si>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</si>
  <si>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</si>
  <si>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</si>
  <si>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</si>
  <si>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</si>
  <si>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</si>
  <si>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</si>
  <si>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</si>
  <si>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</si>
  <si>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</si>
  <si>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</si>
  <si>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</si>
  <si>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</si>
  <si>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</si>
  <si>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</si>
  <si>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</si>
  <si>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</si>
  <si>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</si>
  <si>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</si>
  <si>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</si>
  <si>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</si>
  <si>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</si>
  <si>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</si>
  <si>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</si>
  <si>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</si>
  <si>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</si>
  <si>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</si>
  <si>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</si>
  <si>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</si>
  <si>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</si>
  <si>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</si>
  <si>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</si>
  <si>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</si>
  <si>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</si>
  <si>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</si>
  <si>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</si>
  <si>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</si>
  <si>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</si>
  <si>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</si>
  <si>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</si>
  <si>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</si>
  <si>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</si>
  <si>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</si>
  <si>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</si>
  <si>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</si>
  <si>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</si>
  <si>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</si>
  <si>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</si>
  <si>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</si>
  <si>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</si>
  <si>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</si>
  <si>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</si>
  <si>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</si>
  <si>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</si>
  <si>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</si>
  <si>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</si>
  <si>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</si>
  <si>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</si>
  <si>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</si>
  <si>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</si>
  <si>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</si>
  <si>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</si>
  <si>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</si>
  <si>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</si>
  <si>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</si>
  <si>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</si>
  <si>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</si>
  <si>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</si>
  <si>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</si>
  <si>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</si>
  <si>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</si>
  <si>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</si>
  <si>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</si>
  <si>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</si>
  <si>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</si>
  <si>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</si>
  <si>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</si>
  <si>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</si>
  <si>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</si>
  <si>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</si>
  <si>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</si>
  <si>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</si>
  <si>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</si>
  <si>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</si>
  <si>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</si>
  <si>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</si>
  <si>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</si>
  <si>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</si>
  <si>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</si>
  <si>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</si>
  <si>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</si>
  <si>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</si>
  <si>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</si>
  <si>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</si>
  <si>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</si>
  <si>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</si>
  <si>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</si>
  <si>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</si>
  <si>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</si>
  <si>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</si>
  <si>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</si>
  <si>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</si>
  <si>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</si>
  <si>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</si>
  <si>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</si>
  <si>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</si>
  <si>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</si>
  <si>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</si>
  <si>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</si>
  <si>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</si>
  <si>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</si>
  <si>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</si>
  <si>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</si>
  <si>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</si>
  <si>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</si>
  <si>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</si>
  <si>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</si>
  <si>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</si>
  <si>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</si>
  <si>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</si>
  <si>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</si>
  <si>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</si>
  <si>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</si>
  <si>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</si>
  <si>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</si>
  <si>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</si>
  <si>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</si>
  <si>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</si>
  <si>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</si>
  <si>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</si>
  <si>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</si>
  <si>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</si>
  <si>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</si>
  <si>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</si>
  <si>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</si>
  <si>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</si>
  <si>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</si>
  <si>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</si>
  <si>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</si>
  <si>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</si>
  <si>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</si>
  <si>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</si>
  <si>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</si>
  <si>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</si>
  <si>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</si>
  <si>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</si>
  <si>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</si>
  <si>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</si>
  <si>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</si>
  <si>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</si>
  <si>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</si>
  <si>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</si>
  <si>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</si>
  <si>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</si>
  <si>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</si>
  <si>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</si>
  <si>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</si>
  <si>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</si>
  <si>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</si>
  <si>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</si>
  <si>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</si>
  <si>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</si>
  <si>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</si>
  <si>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</si>
  <si>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</si>
  <si>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</si>
  <si>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</si>
  <si>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</si>
  <si>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</si>
  <si>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</si>
  <si>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</si>
  <si>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</si>
  <si>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</si>
  <si>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</si>
  <si>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</si>
  <si>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</si>
  <si>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</si>
  <si>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</si>
  <si>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</si>
  <si>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</si>
  <si>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</si>
  <si>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</si>
  <si>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</si>
  <si>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</si>
  <si>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</si>
  <si>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</si>
  <si>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</si>
  <si>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</si>
  <si>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</si>
  <si>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</si>
  <si>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</si>
  <si>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</si>
  <si>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</si>
  <si>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</si>
  <si>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</si>
  <si>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</si>
  <si>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</si>
  <si>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</si>
  <si>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</si>
  <si>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</si>
  <si>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</si>
  <si>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</si>
  <si>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</si>
  <si>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</si>
  <si>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</si>
  <si>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</si>
  <si>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</si>
  <si>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</si>
  <si>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</si>
  <si>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</si>
  <si>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</si>
  <si>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</si>
  <si>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</si>
  <si>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</si>
  <si>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</si>
  <si>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</si>
  <si>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</si>
  <si>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</si>
  <si>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</si>
  <si>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</si>
  <si>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</si>
  <si>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</si>
  <si>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</si>
  <si>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</si>
  <si>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</si>
  <si>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</si>
  <si>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</si>
  <si>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</si>
  <si>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</si>
  <si>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</si>
  <si>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</si>
  <si>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</si>
  <si>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</si>
  <si>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</si>
  <si>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</si>
  <si>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</si>
  <si>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</si>
  <si>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</si>
  <si>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</si>
  <si>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</si>
  <si>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</si>
  <si>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</si>
  <si>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</si>
  <si>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</si>
  <si>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</si>
  <si>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</si>
  <si>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</si>
  <si>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</si>
  <si>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</si>
  <si>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</si>
  <si>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</si>
  <si>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</si>
  <si>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</si>
  <si>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</si>
  <si>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</si>
  <si>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</si>
  <si>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</si>
  <si>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</si>
  <si>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</si>
  <si>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</si>
  <si>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</si>
  <si>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</si>
  <si>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</si>
  <si>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</si>
  <si>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</si>
  <si>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</si>
  <si>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</si>
  <si>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</si>
  <si>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</si>
  <si>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</si>
  <si>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</si>
  <si>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</si>
  <si>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</si>
  <si>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</si>
  <si>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</si>
  <si>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</si>
  <si>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</si>
  <si>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</si>
  <si>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</si>
  <si>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</si>
  <si>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</si>
  <si>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</si>
  <si>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</si>
  <si>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</si>
  <si>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</si>
  <si>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</si>
  <si>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</si>
  <si>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</si>
  <si>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</si>
  <si>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</si>
  <si>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</si>
  <si>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</si>
  <si>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</si>
  <si>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</si>
  <si>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</si>
  <si>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</si>
  <si>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</si>
  <si>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</si>
  <si>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</si>
  <si>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</si>
  <si>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</si>
  <si>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</si>
  <si>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</si>
  <si>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</si>
  <si>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</si>
  <si>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</si>
  <si>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</si>
  <si>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</si>
  <si>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</si>
  <si>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</si>
  <si>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</si>
  <si>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</si>
  <si>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</si>
  <si>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</si>
  <si>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</si>
  <si>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</si>
  <si>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</si>
  <si>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</si>
  <si>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</si>
  <si>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</si>
  <si>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</si>
  <si>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</si>
  <si>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</si>
  <si>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</si>
  <si>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</si>
  <si>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</si>
  <si>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</si>
  <si>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</si>
  <si>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</si>
  <si>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</si>
  <si>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</si>
  <si>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</si>
  <si>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</si>
  <si>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</si>
  <si>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</si>
  <si>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</si>
  <si>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</si>
  <si>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</si>
  <si>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</si>
  <si>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</si>
  <si>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</si>
  <si>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</si>
  <si>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</si>
  <si>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</si>
  <si>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</si>
  <si>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</si>
  <si>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</si>
  <si>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</si>
  <si>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</si>
  <si>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</si>
  <si>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</si>
  <si>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</si>
  <si>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</si>
  <si>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</si>
  <si>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</si>
  <si>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</si>
  <si>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</si>
  <si>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</si>
  <si>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</si>
  <si>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</si>
  <si>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</si>
  <si>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</si>
  <si>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</si>
  <si>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</si>
  <si>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</si>
  <si>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</si>
  <si>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</si>
  <si>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</si>
  <si>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</si>
  <si>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</si>
  <si>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</si>
  <si>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</si>
  <si>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</si>
  <si>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</si>
  <si>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</si>
  <si>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</si>
  <si>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</si>
  <si>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</si>
  <si>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</si>
  <si>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</si>
  <si>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</si>
  <si>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</si>
  <si>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</si>
  <si>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</si>
  <si>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</si>
  <si>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</si>
  <si>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</si>
  <si>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</si>
  <si>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</si>
  <si>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</si>
  <si>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</si>
  <si>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</si>
  <si>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</si>
  <si>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</si>
  <si>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</si>
  <si>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</si>
  <si>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</si>
  <si>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</si>
  <si>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</si>
  <si>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</si>
  <si>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</si>
  <si>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</si>
  <si>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</si>
  <si>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</si>
  <si>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</si>
  <si>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</si>
  <si>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</si>
  <si>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</si>
  <si>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</si>
  <si>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</si>
  <si>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</si>
  <si>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</si>
  <si>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</si>
  <si>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</si>
  <si>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</si>
  <si>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</si>
  <si>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</si>
  <si>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</si>
  <si>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</si>
  <si>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</si>
  <si>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</si>
  <si>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</si>
  <si>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</si>
  <si>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</si>
  <si>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</si>
  <si>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</si>
  <si>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</si>
  <si>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</si>
  <si>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</si>
  <si>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</si>
  <si>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</si>
  <si>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</si>
  <si>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</si>
  <si>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</si>
  <si>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</si>
  <si>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</si>
  <si>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</si>
  <si>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</si>
  <si>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</si>
  <si>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</si>
  <si>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</si>
  <si>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</si>
  <si>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</si>
  <si>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</si>
  <si>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</si>
  <si>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</si>
  <si>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</si>
  <si>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</si>
  <si>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</si>
  <si>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</si>
  <si>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</si>
  <si>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</si>
  <si>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</si>
  <si>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</si>
  <si>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</si>
  <si>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</si>
  <si>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</si>
  <si>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</si>
  <si>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</si>
  <si>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</si>
  <si>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</si>
  <si>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</si>
  <si>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</si>
  <si>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</si>
  <si>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</si>
  <si>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</si>
  <si>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</si>
  <si>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</si>
  <si>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</si>
  <si>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</si>
  <si>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</si>
  <si>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</si>
  <si>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</si>
  <si>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</si>
  <si>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</si>
  <si>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</si>
  <si>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</si>
  <si>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</si>
  <si>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</si>
  <si>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</si>
  <si>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</si>
  <si>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</si>
  <si>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</si>
  <si>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</si>
  <si>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</si>
  <si>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</si>
  <si>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</si>
  <si>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</si>
  <si>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</si>
  <si>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</si>
  <si>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</si>
  <si>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</si>
  <si>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</si>
  <si>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</si>
  <si>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</si>
  <si>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</si>
  <si>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</si>
  <si>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</si>
  <si>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</si>
  <si>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</si>
  <si>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</si>
  <si>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</si>
  <si>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</si>
  <si>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</si>
  <si>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</si>
  <si>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</si>
  <si>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</si>
  <si>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</si>
  <si>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</si>
  <si>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</si>
  <si>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</si>
  <si>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</si>
  <si>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</si>
  <si>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</si>
  <si>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</si>
  <si>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</si>
  <si>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</si>
  <si>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</si>
  <si>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</si>
  <si>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</si>
  <si>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</si>
  <si>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</si>
  <si>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</si>
  <si>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</si>
  <si>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</si>
  <si>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</si>
  <si>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</si>
  <si>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</si>
  <si>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</si>
  <si>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</si>
  <si>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</si>
  <si>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</si>
  <si>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</si>
  <si>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</si>
  <si>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</si>
  <si>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</si>
  <si>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</si>
  <si>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</si>
  <si>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</si>
  <si>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</si>
  <si>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</si>
  <si>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</si>
  <si>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</si>
  <si>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</si>
  <si>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</si>
  <si>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</si>
  <si>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</si>
  <si>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</si>
  <si>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</si>
  <si>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</si>
  <si>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</si>
  <si>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</si>
  <si>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</si>
  <si>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</si>
  <si>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</si>
  <si>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</si>
  <si>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</si>
  <si>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</si>
  <si>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</si>
  <si>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</si>
  <si>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</si>
  <si>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</si>
  <si>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</si>
  <si>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</si>
  <si>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</si>
  <si>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</si>
  <si>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</si>
  <si>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</si>
  <si>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</si>
  <si>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</si>
  <si>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</si>
  <si>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</si>
  <si>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</si>
  <si>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</si>
  <si>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</si>
  <si>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</si>
  <si>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</si>
  <si>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</si>
  <si>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</si>
  <si>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</si>
  <si>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</si>
  <si>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</si>
  <si>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</si>
  <si>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</si>
  <si>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</si>
  <si>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</si>
  <si>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</si>
  <si>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</si>
  <si>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</si>
  <si>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</si>
  <si>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</si>
  <si>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</si>
  <si>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</si>
  <si>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</si>
  <si>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</si>
  <si>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</si>
  <si>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</si>
  <si>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</si>
  <si>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</si>
  <si>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</si>
  <si>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</si>
  <si>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</si>
  <si>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</si>
  <si>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</si>
  <si>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</si>
  <si>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</si>
  <si>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</si>
  <si>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</si>
  <si>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</si>
  <si>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</si>
  <si>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</si>
  <si>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</si>
  <si>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</si>
  <si>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</si>
  <si>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</si>
  <si>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</si>
  <si>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</si>
  <si>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</si>
  <si>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</si>
  <si>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</si>
  <si>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</si>
  <si>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</si>
  <si>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</si>
  <si>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</si>
  <si>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</si>
  <si>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</si>
  <si>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</si>
  <si>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</si>
  <si>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</si>
  <si>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</si>
  <si>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</si>
  <si>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</si>
  <si>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</si>
  <si>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</si>
  <si>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</si>
  <si>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</si>
  <si>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</si>
  <si>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</si>
  <si>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</si>
  <si>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</si>
  <si>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</si>
  <si>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</si>
  <si>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</si>
  <si>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</si>
  <si>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</si>
  <si>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</si>
  <si>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</si>
  <si>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</si>
  <si>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</si>
  <si>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</si>
  <si>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</si>
  <si>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</si>
  <si>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</si>
  <si>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</si>
  <si>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</si>
  <si>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</si>
  <si>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</si>
  <si>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</si>
  <si>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</si>
  <si>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</si>
  <si>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</si>
  <si>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</si>
  <si>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</si>
  <si>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</si>
  <si>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</si>
  <si>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</si>
  <si>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</si>
  <si>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</si>
  <si>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</si>
  <si>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</si>
  <si>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</si>
  <si>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</si>
  <si>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</si>
  <si>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</si>
  <si>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</si>
  <si>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</si>
  <si>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</si>
  <si>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</si>
  <si>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</si>
  <si>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</si>
  <si>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</si>
  <si>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</si>
  <si>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</si>
  <si>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</si>
  <si>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</si>
  <si>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</si>
  <si>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</si>
  <si>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</si>
  <si>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</si>
  <si>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</si>
  <si>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</si>
  <si>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</si>
  <si>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</si>
  <si>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</si>
  <si>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</si>
  <si>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</si>
  <si>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</si>
  <si>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</si>
  <si>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</si>
  <si>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</si>
  <si>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</si>
  <si>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</si>
  <si>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</si>
  <si>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</si>
  <si>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</si>
  <si>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</si>
  <si>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</si>
  <si>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</si>
  <si>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</si>
  <si>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</si>
  <si>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</si>
  <si>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</si>
  <si>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</si>
  <si>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</si>
  <si>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</si>
  <si>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</si>
  <si>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</si>
  <si>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</si>
  <si>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</si>
  <si>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</si>
  <si>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</si>
  <si>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</si>
  <si>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</si>
  <si>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</si>
  <si>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</si>
  <si>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</si>
  <si>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</si>
  <si>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</si>
  <si>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</si>
  <si>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</si>
  <si>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</si>
  <si>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</si>
  <si>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</si>
  <si>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</si>
  <si>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</si>
  <si>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</si>
  <si>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</si>
  <si>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</si>
  <si>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</si>
  <si>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</si>
  <si>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</si>
  <si>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</si>
  <si>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</si>
  <si>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</si>
  <si>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</si>
  <si>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</si>
  <si>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</si>
  <si>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</si>
  <si>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</si>
  <si>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</si>
  <si>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</si>
  <si>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</si>
  <si>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</si>
  <si>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</si>
  <si>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</si>
  <si>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</si>
  <si>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</si>
  <si>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</si>
  <si>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</si>
  <si>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</si>
  <si>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</si>
  <si>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</si>
  <si>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</si>
  <si>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</si>
  <si>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</si>
  <si>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</si>
  <si>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</si>
  <si>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</si>
  <si>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</si>
  <si>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</si>
  <si>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</si>
  <si>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</si>
  <si>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</si>
  <si>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</si>
  <si>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</si>
  <si>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</si>
  <si>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</si>
  <si>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</si>
  <si>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</si>
  <si>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</si>
  <si>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</si>
  <si>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</si>
  <si>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</si>
  <si>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</si>
  <si>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</si>
  <si>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</si>
  <si>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</si>
  <si>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</si>
  <si>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</si>
  <si>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</si>
  <si>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</si>
  <si>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</si>
  <si>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</si>
  <si>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</si>
  <si>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</si>
  <si>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</si>
  <si>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</si>
  <si>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</si>
  <si>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</si>
  <si>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</si>
  <si>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</si>
  <si>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</si>
  <si>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</si>
  <si>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</si>
  <si>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</si>
  <si>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</si>
  <si>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</si>
  <si>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</si>
  <si>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</si>
  <si>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</si>
  <si>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</si>
  <si>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</si>
  <si>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</si>
  <si>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</si>
  <si>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</si>
  <si>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</si>
  <si>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</si>
  <si>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</si>
  <si>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</si>
  <si>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</si>
  <si>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</si>
  <si>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</si>
  <si>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</si>
  <si>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</si>
  <si>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</si>
  <si>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</si>
  <si>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</si>
  <si>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</si>
  <si>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</si>
  <si>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</si>
  <si>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</si>
  <si>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</si>
  <si>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</si>
  <si>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</si>
  <si>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</si>
  <si>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</si>
  <si>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</si>
  <si>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</si>
  <si>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</si>
  <si>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</si>
  <si>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</si>
  <si>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</si>
  <si>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</si>
  <si>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</si>
  <si>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</si>
  <si>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</si>
  <si>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</si>
  <si>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</si>
  <si>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</si>
  <si>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</si>
  <si>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</si>
  <si>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</si>
  <si>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</si>
  <si>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</si>
  <si>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</si>
  <si>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</si>
  <si>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</si>
  <si>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</si>
  <si>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</si>
  <si>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</si>
  <si>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</si>
  <si>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</si>
  <si>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</si>
  <si>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</si>
  <si>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</si>
  <si>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</si>
  <si>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</si>
  <si>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</si>
  <si>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</si>
  <si>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</si>
  <si>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</si>
  <si>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</si>
  <si>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</si>
  <si>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</si>
  <si>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</si>
  <si>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</si>
  <si>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</si>
  <si>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</si>
  <si>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</si>
  <si>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</si>
  <si>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</si>
  <si>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</si>
  <si>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</si>
  <si>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</si>
  <si>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</si>
  <si>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</si>
  <si>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</si>
  <si>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</si>
  <si>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</si>
  <si>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</si>
  <si>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</si>
  <si>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</si>
  <si>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</si>
  <si>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</si>
  <si>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</si>
  <si>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</si>
  <si>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</si>
  <si>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</si>
  <si>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</si>
  <si>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</si>
  <si>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</si>
  <si>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</si>
  <si>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</si>
  <si>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</si>
  <si>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</si>
  <si>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</si>
  <si>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</si>
  <si>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</si>
  <si>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</si>
  <si>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</si>
  <si>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</si>
  <si>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</si>
  <si>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</si>
  <si>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</si>
  <si>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</si>
  <si>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</si>
  <si>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</si>
  <si>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</si>
  <si>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</si>
  <si>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</si>
  <si>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</si>
  <si>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</si>
  <si>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</si>
  <si>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</si>
  <si>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</si>
  <si>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</si>
  <si>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</si>
  <si>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</si>
  <si>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</si>
  <si>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</si>
  <si>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</si>
  <si>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</si>
  <si>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</si>
  <si>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</si>
  <si>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</si>
  <si>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</si>
  <si>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</si>
  <si>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</si>
  <si>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</si>
  <si>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</si>
  <si>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</si>
  <si>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</si>
  <si>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</si>
  <si>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</si>
  <si>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</si>
  <si>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</si>
  <si>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</si>
  <si>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</si>
  <si>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</si>
  <si>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</si>
  <si>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</si>
  <si>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</si>
  <si>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</si>
  <si>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</si>
  <si>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</si>
  <si>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</si>
  <si>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</si>
  <si>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</si>
  <si>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</si>
  <si>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</si>
  <si>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</si>
  <si>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</si>
  <si>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</si>
  <si>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</si>
  <si>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</si>
  <si>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</si>
  <si>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</si>
  <si>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</si>
  <si>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</si>
  <si>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</si>
  <si>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</si>
  <si>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</si>
  <si>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</si>
  <si>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</si>
  <si>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</si>
  <si>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</si>
  <si>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</si>
  <si>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</si>
  <si>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</si>
  <si>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</si>
  <si>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</si>
  <si>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</si>
  <si>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</si>
  <si>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</si>
  <si>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</si>
  <si>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</si>
  <si>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</si>
  <si>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</si>
  <si>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</si>
  <si>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</si>
  <si>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</si>
  <si>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</si>
  <si>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</si>
  <si>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</si>
  <si>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</si>
  <si>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</si>
  <si>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</si>
  <si>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</si>
  <si>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</si>
  <si>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</si>
  <si>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</si>
  <si>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</si>
  <si>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</si>
  <si>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</si>
  <si>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</si>
  <si>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</si>
  <si>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</si>
  <si>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</si>
  <si>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</si>
  <si>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</si>
  <si>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</si>
  <si>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</si>
  <si>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</si>
  <si>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</si>
  <si>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</si>
  <si>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</si>
  <si>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</si>
  <si>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</si>
  <si>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</si>
  <si>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</si>
  <si>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</si>
  <si>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</si>
  <si>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</si>
  <si>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</si>
  <si>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</si>
  <si>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</si>
  <si>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</si>
  <si>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</si>
  <si>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</si>
  <si>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</si>
  <si>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</si>
  <si>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</si>
  <si>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</si>
  <si>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</si>
  <si>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</si>
  <si>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</si>
  <si>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</si>
  <si>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</si>
  <si>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</si>
  <si>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</si>
  <si>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</si>
  <si>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</si>
  <si>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</si>
  <si>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</si>
  <si>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</si>
  <si>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</si>
  <si>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</si>
  <si>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</si>
  <si>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</si>
  <si>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</si>
  <si>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</si>
  <si>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</si>
  <si>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</si>
  <si>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</si>
  <si>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</si>
  <si>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</si>
  <si>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</si>
  <si>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</si>
  <si>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</si>
  <si>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</si>
  <si>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</si>
  <si>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</si>
  <si>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</si>
  <si>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</si>
  <si>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</si>
  <si>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</si>
  <si>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</si>
  <si>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</si>
  <si>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</si>
  <si>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</si>
  <si>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</si>
  <si>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</si>
  <si>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</si>
  <si>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</si>
  <si>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</si>
  <si>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</si>
  <si>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</si>
  <si>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</si>
  <si>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</si>
  <si>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</si>
  <si>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</si>
  <si>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</si>
  <si>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</si>
  <si>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</si>
  <si>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</si>
  <si>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</si>
  <si>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</si>
  <si>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</si>
  <si>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</si>
  <si>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</si>
  <si>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</si>
  <si>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</si>
  <si>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</si>
  <si>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</si>
  <si>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</si>
  <si>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</si>
  <si>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</si>
  <si>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</si>
  <si>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</si>
  <si>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</si>
  <si>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</si>
  <si>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</si>
  <si>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</si>
  <si>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</si>
  <si>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</si>
  <si>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</si>
  <si>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</si>
  <si>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</si>
  <si>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</si>
  <si>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</si>
  <si>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</si>
  <si>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</si>
  <si>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</si>
  <si>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</si>
  <si>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</si>
  <si>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</si>
  <si>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</si>
  <si>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</si>
  <si>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</si>
  <si>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</si>
  <si>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</si>
  <si>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</si>
  <si>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</si>
  <si>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</si>
  <si>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</si>
  <si>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</si>
  <si>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</si>
  <si>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</si>
  <si>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</si>
  <si>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</si>
  <si>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</si>
  <si>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</si>
  <si>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</si>
  <si>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</si>
  <si>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</si>
  <si>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</si>
  <si>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</si>
  <si>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</si>
  <si>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</si>
  <si>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</si>
  <si>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</si>
  <si>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</si>
  <si>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</si>
  <si>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</si>
  <si>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</si>
  <si>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</si>
  <si>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</si>
  <si>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</si>
  <si>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</si>
  <si>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</si>
  <si>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</si>
  <si>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</si>
  <si>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</si>
  <si>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</si>
  <si>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</si>
  <si>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</si>
  <si>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</si>
  <si>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</si>
  <si>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</si>
  <si>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</si>
  <si>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</si>
  <si>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</si>
  <si>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</si>
  <si>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</si>
  <si>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</si>
  <si>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</si>
  <si>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</si>
  <si>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</si>
  <si>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</si>
  <si>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</si>
  <si>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</si>
  <si>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</si>
  <si>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</si>
  <si>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</si>
  <si>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</si>
  <si>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</si>
  <si>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</si>
  <si>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</si>
  <si>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</si>
  <si>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</si>
  <si>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</si>
  <si>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</si>
  <si>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</si>
  <si>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</si>
  <si>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</si>
  <si>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</si>
  <si>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</si>
  <si>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</si>
  <si>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</si>
  <si>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</si>
  <si>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</si>
  <si>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</si>
  <si>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</si>
  <si>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</si>
  <si>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</si>
  <si>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</si>
  <si>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</si>
  <si>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</si>
  <si>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</si>
  <si>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</si>
  <si>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</si>
  <si>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</si>
  <si>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</si>
  <si>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</si>
  <si>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</si>
  <si>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</si>
  <si>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</si>
  <si>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</si>
  <si>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</si>
  <si>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</si>
  <si>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</si>
  <si>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</si>
  <si>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</si>
  <si>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</si>
  <si>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</si>
  <si>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</si>
  <si>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</si>
  <si>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</si>
  <si>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</si>
  <si>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</si>
  <si>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</si>
  <si>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</si>
  <si>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</si>
  <si>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</si>
  <si>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</si>
  <si>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</si>
  <si>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</si>
  <si>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</si>
  <si>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</si>
  <si>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</si>
  <si>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</si>
  <si>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</si>
  <si>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</si>
  <si>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</si>
  <si>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</si>
  <si>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</si>
  <si>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</si>
  <si>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</si>
  <si>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</si>
  <si>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</si>
  <si>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</si>
  <si>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</si>
  <si>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</si>
  <si>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</si>
  <si>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</si>
  <si>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</si>
  <si>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</si>
  <si>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</si>
  <si>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</si>
  <si>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</si>
  <si>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</si>
  <si>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</si>
  <si>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</si>
  <si>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</si>
  <si>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</si>
  <si>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</si>
  <si>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</si>
  <si>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</si>
  <si>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</si>
  <si>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</si>
  <si>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</si>
  <si>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</si>
  <si>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</si>
  <si>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</si>
  <si>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</si>
  <si>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</si>
  <si>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</si>
  <si>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</si>
  <si>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</si>
  <si>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</si>
  <si>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</si>
  <si>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</si>
  <si>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</si>
  <si>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</si>
  <si>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</si>
  <si>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</si>
  <si>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</si>
  <si>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</si>
  <si>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</si>
  <si>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</si>
  <si>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</si>
  <si>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</si>
  <si>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</si>
  <si>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</si>
  <si>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</si>
  <si>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</si>
  <si>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</si>
  <si>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</si>
  <si>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</si>
  <si>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</si>
  <si>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</si>
  <si>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</si>
  <si>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</si>
  <si>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</si>
  <si>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</si>
  <si>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</si>
  <si>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</si>
  <si>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</si>
  <si>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</si>
  <si>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</si>
  <si>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</si>
  <si>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</si>
  <si>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</si>
  <si>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</si>
  <si>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</si>
  <si>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</si>
  <si>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</si>
  <si>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</si>
  <si>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</si>
  <si>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</si>
  <si>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</si>
  <si>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</si>
  <si>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</si>
  <si>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</si>
  <si>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</si>
  <si>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</si>
  <si>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</si>
  <si>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</si>
  <si>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</si>
  <si>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</si>
  <si>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</si>
  <si>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</si>
  <si>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</si>
  <si>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</si>
  <si>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</si>
  <si>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</si>
  <si>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</si>
  <si>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</si>
  <si>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</si>
  <si>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</si>
  <si>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</si>
  <si>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</si>
  <si>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</si>
  <si>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</si>
  <si>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</si>
  <si>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</si>
  <si>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</si>
  <si>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</si>
  <si>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</si>
  <si>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</si>
  <si>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</si>
  <si>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</si>
  <si>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</si>
  <si>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</si>
  <si>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</si>
  <si>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</si>
  <si>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</si>
  <si>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</si>
  <si>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</si>
  <si>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</si>
  <si>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</si>
  <si>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</si>
  <si>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</si>
  <si>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</si>
  <si>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</si>
  <si>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</si>
  <si>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</si>
  <si>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</si>
  <si>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</si>
  <si>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</si>
  <si>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</si>
  <si>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</si>
  <si>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</si>
  <si>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</si>
  <si>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</si>
  <si>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</si>
  <si>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</si>
  <si>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</si>
  <si>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</si>
  <si>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</si>
  <si>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</si>
  <si>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</si>
  <si>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</si>
  <si>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</si>
  <si>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</si>
  <si>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</si>
  <si>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</si>
  <si>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</si>
  <si>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</si>
  <si>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</si>
  <si>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</si>
  <si>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</si>
  <si>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</si>
  <si>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</si>
  <si>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</si>
  <si>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</si>
  <si>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</si>
  <si>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</si>
  <si>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</si>
  <si>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</si>
  <si>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</si>
  <si>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</si>
  <si>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</si>
  <si>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</si>
  <si>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</si>
  <si>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</si>
  <si>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</si>
  <si>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</si>
  <si>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</si>
  <si>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</si>
  <si>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</si>
  <si>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</si>
  <si>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</si>
  <si>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</si>
  <si>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</si>
  <si>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</si>
  <si>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</si>
  <si>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</si>
  <si>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</si>
  <si>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</si>
  <si>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</si>
  <si>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</si>
  <si>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</si>
  <si>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</si>
  <si>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</si>
  <si>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</si>
  <si>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</si>
  <si>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</si>
  <si>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</si>
  <si>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</si>
  <si>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</si>
  <si>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</si>
  <si>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</si>
  <si>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</si>
  <si>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</si>
  <si>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</si>
  <si>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</si>
  <si>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</si>
  <si>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</si>
  <si>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</si>
  <si>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</si>
  <si>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</si>
  <si>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</si>
  <si>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</si>
  <si>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</si>
  <si>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</si>
  <si>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</si>
  <si>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</si>
  <si>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</si>
  <si>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</si>
  <si>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</si>
  <si>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</si>
  <si>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</si>
  <si>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</si>
  <si>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</si>
  <si>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</si>
  <si>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</si>
  <si>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</si>
  <si>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</si>
  <si>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</si>
  <si>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</si>
  <si>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</si>
  <si>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</si>
  <si>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</si>
  <si>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</si>
  <si>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</si>
  <si>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</si>
  <si>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</si>
  <si>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</si>
  <si>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</si>
  <si>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</si>
  <si>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</si>
  <si>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</si>
  <si>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</si>
  <si>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</si>
  <si>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</si>
  <si>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</si>
  <si>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</si>
  <si>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</si>
  <si>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</si>
  <si>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</si>
  <si>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</si>
  <si>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</si>
  <si>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</si>
  <si>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</si>
  <si>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</si>
  <si>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</si>
  <si>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</si>
  <si>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</si>
  <si>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</si>
  <si>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</si>
  <si>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</si>
  <si>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</si>
  <si>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</si>
  <si>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</si>
  <si>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</si>
  <si>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</si>
  <si>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</si>
  <si>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</si>
  <si>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</si>
  <si>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</si>
  <si>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</si>
  <si>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</si>
  <si>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</si>
  <si>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</si>
  <si>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</si>
  <si>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</si>
  <si>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</si>
  <si>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</si>
  <si>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</si>
  <si>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</si>
  <si>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</si>
  <si>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</si>
  <si>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</si>
  <si>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</si>
  <si>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</si>
  <si>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</si>
  <si>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</si>
  <si>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</si>
  <si>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</si>
  <si>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</si>
  <si>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</si>
  <si>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</si>
  <si>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</si>
  <si>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</si>
  <si>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</si>
  <si>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</si>
  <si>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</si>
  <si>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</si>
  <si>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</si>
  <si>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</si>
  <si>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</si>
  <si>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</si>
  <si>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</si>
  <si>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</si>
  <si>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</si>
  <si>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</si>
  <si>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</si>
  <si>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</si>
  <si>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</si>
  <si>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</si>
  <si>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</si>
  <si>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</si>
  <si>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</si>
  <si>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</si>
  <si>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</si>
  <si>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</si>
  <si>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</si>
  <si>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</si>
  <si>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</si>
  <si>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</si>
  <si>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</si>
  <si>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</si>
  <si>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</si>
  <si>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</si>
  <si>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</si>
  <si>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</si>
  <si>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</si>
  <si>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</si>
  <si>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</si>
  <si>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</si>
  <si>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</si>
  <si>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</si>
  <si>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</si>
  <si>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</si>
  <si>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</si>
  <si>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</si>
  <si>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</si>
  <si>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</si>
  <si>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</si>
  <si>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</si>
  <si>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</si>
  <si>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</si>
  <si>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</si>
  <si>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</si>
  <si>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</si>
  <si>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</si>
  <si>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</si>
  <si>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</si>
  <si>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</si>
  <si>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</si>
  <si>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</si>
  <si>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</si>
  <si>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</si>
  <si>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</si>
  <si>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</si>
  <si>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</si>
  <si>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</si>
  <si>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</si>
  <si>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</si>
  <si>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</si>
  <si>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</si>
  <si>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</si>
  <si>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</si>
  <si>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</si>
  <si>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</si>
  <si>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</si>
  <si>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</si>
  <si>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</si>
  <si>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</si>
  <si>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</si>
  <si>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</si>
  <si>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</si>
  <si>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</si>
  <si>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</si>
  <si>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</si>
  <si>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</si>
  <si>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</si>
  <si>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</si>
  <si>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</si>
  <si>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</si>
  <si>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</si>
  <si>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</si>
  <si>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</si>
  <si>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</si>
  <si>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</si>
  <si>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</si>
  <si>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</si>
  <si>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</si>
  <si>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</si>
  <si>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</si>
  <si>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</si>
  <si>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</si>
  <si>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</si>
  <si>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</si>
  <si>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</si>
  <si>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</si>
  <si>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</si>
  <si>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</si>
  <si>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</si>
  <si>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</si>
  <si>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</si>
  <si>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</si>
  <si>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</si>
  <si>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</si>
  <si>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</si>
  <si>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</si>
  <si>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</si>
  <si>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</si>
  <si>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</si>
  <si>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</si>
  <si>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</si>
  <si>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</si>
  <si>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</si>
  <si>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</si>
  <si>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</si>
  <si>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</si>
  <si>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</si>
  <si>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</si>
  <si>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</si>
  <si>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</si>
  <si>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</si>
  <si>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</si>
  <si>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</si>
  <si>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</si>
  <si>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</si>
  <si>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</si>
  <si>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</si>
  <si>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</si>
  <si>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</si>
  <si>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</si>
  <si>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</si>
  <si>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</si>
  <si>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</si>
  <si>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</si>
  <si>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</si>
  <si>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</si>
  <si>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</si>
  <si>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</si>
  <si>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</si>
  <si>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</si>
  <si>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</si>
  <si>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</si>
  <si>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</si>
  <si>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</si>
  <si>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</si>
  <si>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</si>
  <si>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</si>
  <si>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</si>
  <si>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</si>
  <si>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</si>
  <si>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</si>
  <si>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</si>
  <si>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</si>
  <si>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</si>
  <si>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</si>
  <si>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</si>
  <si>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</si>
  <si>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</si>
  <si>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</si>
  <si>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</si>
  <si>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</si>
  <si>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</si>
  <si>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</si>
  <si>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</si>
  <si>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</si>
  <si>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</si>
  <si>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</si>
  <si>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</si>
  <si>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</si>
  <si>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</si>
  <si>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</si>
  <si>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</si>
  <si>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</si>
  <si>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</si>
  <si>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</si>
  <si>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</si>
  <si>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</si>
  <si>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</si>
  <si>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</si>
  <si>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</si>
  <si>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</si>
  <si>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</si>
  <si>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</si>
  <si>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</si>
  <si>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</si>
  <si>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</si>
  <si>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</si>
  <si>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</si>
  <si>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</si>
  <si>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</si>
  <si>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</si>
  <si>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</si>
  <si>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</si>
  <si>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</si>
  <si>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</si>
  <si>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</si>
  <si>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</si>
  <si>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</si>
  <si>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</si>
  <si>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</si>
  <si>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</si>
  <si>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</si>
  <si>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</si>
  <si>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</si>
  <si>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</si>
  <si>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</si>
  <si>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</si>
  <si>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</si>
  <si>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</si>
  <si>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</si>
  <si>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</si>
  <si>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</si>
  <si>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</si>
  <si>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</si>
  <si>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</si>
  <si>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</si>
  <si>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</si>
  <si>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</si>
  <si>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</si>
  <si>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</si>
  <si>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</si>
  <si>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</si>
  <si>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</si>
  <si>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</si>
  <si>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</si>
  <si>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</si>
  <si>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</si>
  <si>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</si>
  <si>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</si>
  <si>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</si>
  <si>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</si>
  <si>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</si>
  <si>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</si>
  <si>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</si>
  <si>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</si>
  <si>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</si>
  <si>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</si>
  <si>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</si>
  <si>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</si>
  <si>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</si>
  <si>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</si>
  <si>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</si>
  <si>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</si>
  <si>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</si>
  <si>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</si>
  <si>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</si>
  <si>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</si>
  <si>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</si>
  <si>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</si>
  <si>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</si>
  <si>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</si>
  <si>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</si>
  <si>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</si>
  <si>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</si>
  <si>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</si>
  <si>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</si>
  <si>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</si>
  <si>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</si>
  <si>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</si>
  <si>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</si>
  <si>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</si>
  <si>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</si>
  <si>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</si>
  <si>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</si>
  <si>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</si>
  <si>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</si>
  <si>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</si>
  <si>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</si>
  <si>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</si>
  <si>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</si>
  <si>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</si>
  <si>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</si>
  <si>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</si>
  <si>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</si>
  <si>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</si>
  <si>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</si>
  <si>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</si>
  <si>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</si>
  <si>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</si>
  <si>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</si>
  <si>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</si>
  <si>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</si>
  <si>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</si>
  <si>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</si>
  <si>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</si>
  <si>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</si>
  <si>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</si>
  <si>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</si>
  <si>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</si>
  <si>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</si>
  <si>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</si>
  <si>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</si>
  <si>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</si>
  <si>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</si>
  <si>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</si>
  <si>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</si>
  <si>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</si>
  <si>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</si>
  <si>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</si>
  <si>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</si>
  <si>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</si>
  <si>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</si>
  <si>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</si>
  <si>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</si>
  <si>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</si>
  <si>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</si>
  <si>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</si>
  <si>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</si>
  <si>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</si>
  <si>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</si>
  <si>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</si>
  <si>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</si>
  <si>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</si>
  <si>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</si>
  <si>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</si>
  <si>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</si>
  <si>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</si>
  <si>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</si>
  <si>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</si>
  <si>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</si>
  <si>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</si>
  <si>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</si>
  <si>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</si>
  <si>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</si>
  <si>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</si>
  <si>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</si>
  <si>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</si>
  <si>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</si>
  <si>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</si>
  <si>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</si>
  <si>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</si>
  <si>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</si>
  <si>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</si>
  <si>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</si>
  <si>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</si>
  <si>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</si>
  <si>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</si>
  <si>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</si>
  <si>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</si>
  <si>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</si>
  <si>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</si>
  <si>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</si>
  <si>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</si>
  <si>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</si>
  <si>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</si>
  <si>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</si>
  <si>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</si>
  <si>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</si>
  <si>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</si>
  <si>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</si>
  <si>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</si>
  <si>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</si>
  <si>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</si>
  <si>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</si>
  <si>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</si>
  <si>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</si>
  <si>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</si>
  <si>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</si>
  <si>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</si>
  <si>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</si>
  <si>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</si>
  <si>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</si>
  <si>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</si>
  <si>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</si>
  <si>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</si>
  <si>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</si>
  <si>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</si>
  <si>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</si>
  <si>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</si>
  <si>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</si>
  <si>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</si>
  <si>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</si>
  <si>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</si>
  <si>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</si>
  <si>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</si>
  <si>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</si>
  <si>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</si>
  <si>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</si>
  <si>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</si>
  <si>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</si>
  <si>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</si>
  <si>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</si>
  <si>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</si>
  <si>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</si>
  <si>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</si>
  <si>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</si>
  <si>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</si>
  <si>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</si>
  <si>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</si>
  <si>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</si>
  <si>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</si>
  <si>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</si>
  <si>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</si>
  <si>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</si>
  <si>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</si>
  <si>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</si>
  <si>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</si>
  <si>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</si>
  <si>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</si>
  <si>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</si>
  <si>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</si>
  <si>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</si>
  <si>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</si>
  <si>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</si>
  <si>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</si>
  <si>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</si>
  <si>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</si>
  <si>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</si>
  <si>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</si>
  <si>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</si>
  <si>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</si>
  <si>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</si>
  <si>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</si>
  <si>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</si>
  <si>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</si>
  <si>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</si>
  <si>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</si>
  <si>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</si>
  <si>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</si>
  <si>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</si>
  <si>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</si>
  <si>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</si>
  <si>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</si>
  <si>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</si>
  <si>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</si>
  <si>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</si>
  <si>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</si>
  <si>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</si>
  <si>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</si>
  <si>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</si>
  <si>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</si>
  <si>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</si>
  <si>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</si>
  <si>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</si>
  <si>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</si>
  <si>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</si>
  <si>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</si>
  <si>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</si>
  <si>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</si>
  <si>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</si>
  <si>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</si>
  <si>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</si>
  <si>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</si>
  <si>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</si>
  <si>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</si>
  <si>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</si>
  <si>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</si>
  <si>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</si>
  <si>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</si>
  <si>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</si>
  <si>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</si>
  <si>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</si>
  <si>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</si>
  <si>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</si>
  <si>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</si>
  <si>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</si>
  <si>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</si>
  <si>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</si>
  <si>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</si>
  <si>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</si>
  <si>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</si>
  <si>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</si>
  <si>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</si>
  <si>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</si>
  <si>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</si>
  <si>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</si>
  <si>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</si>
  <si>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</si>
  <si>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</si>
  <si>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</si>
  <si>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</si>
  <si>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</si>
  <si>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</si>
  <si>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</si>
  <si>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</si>
  <si>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</si>
  <si>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</si>
  <si>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</si>
  <si>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</si>
  <si>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</si>
  <si>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</si>
  <si>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</si>
  <si>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</si>
  <si>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</si>
  <si>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</si>
  <si>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</si>
  <si>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</si>
  <si>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</si>
  <si>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</si>
  <si>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</si>
  <si>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</si>
  <si>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</si>
  <si>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</si>
  <si>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</si>
  <si>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</si>
  <si>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</si>
  <si>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</si>
  <si>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</si>
  <si>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</si>
  <si>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</si>
  <si>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</si>
  <si>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</si>
  <si>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</si>
  <si>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</si>
  <si>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</si>
  <si>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</si>
  <si>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</si>
  <si>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</si>
  <si>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</si>
  <si>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</si>
  <si>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</si>
  <si>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</si>
  <si>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</si>
  <si>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</si>
  <si>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</si>
  <si>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</si>
  <si>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</si>
  <si>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</si>
  <si>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</si>
  <si>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</si>
  <si>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</si>
  <si>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</si>
  <si>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</si>
  <si>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</si>
  <si>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</si>
  <si>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</si>
  <si>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</si>
  <si>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</si>
  <si>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</si>
  <si>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</si>
  <si>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</si>
  <si>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</si>
  <si>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</si>
  <si>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</si>
  <si>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</si>
  <si>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</si>
  <si>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</si>
  <si>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</si>
  <si>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</si>
  <si>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</si>
  <si>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</si>
  <si>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</si>
  <si>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</si>
  <si>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</si>
  <si>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</si>
  <si>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</si>
  <si>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</si>
  <si>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</si>
  <si>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</si>
  <si>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</si>
  <si>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</si>
  <si>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</si>
  <si>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</si>
  <si>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</si>
  <si>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</si>
  <si>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</si>
  <si>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</si>
  <si>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</si>
  <si>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</si>
  <si>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</si>
  <si>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</si>
  <si>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</si>
  <si>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</si>
  <si>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</si>
  <si>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</si>
  <si>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</si>
  <si>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</si>
  <si>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</si>
  <si>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</si>
  <si>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</si>
  <si>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</si>
  <si>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</si>
  <si>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</si>
  <si>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</si>
  <si>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</si>
  <si>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</si>
  <si>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</si>
  <si>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</si>
  <si>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</si>
  <si>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</si>
  <si>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</si>
  <si>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</si>
  <si>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</si>
  <si>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</si>
  <si>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</si>
  <si>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</si>
  <si>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</si>
  <si>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</si>
  <si>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</si>
  <si>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</si>
  <si>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</si>
  <si>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</si>
  <si>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</si>
  <si>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</si>
  <si>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</si>
  <si>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</si>
  <si>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</si>
  <si>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</si>
  <si>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</si>
  <si>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</si>
  <si>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</si>
  <si>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</si>
  <si>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</si>
  <si>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</si>
  <si>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</si>
  <si>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</si>
  <si>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</si>
  <si>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</si>
  <si>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</si>
  <si>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</si>
  <si>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</si>
  <si>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</si>
  <si>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</si>
  <si>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</si>
  <si>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</si>
  <si>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</si>
  <si>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</si>
  <si>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</si>
  <si>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</si>
  <si>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</si>
  <si>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</si>
  <si>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</si>
  <si>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</si>
  <si>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</si>
  <si>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</si>
  <si>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</si>
  <si>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</si>
  <si>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</si>
  <si>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</si>
  <si>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</si>
  <si>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</si>
  <si>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</si>
  <si>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</si>
  <si>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</si>
  <si>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</si>
  <si>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</si>
  <si>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</si>
  <si>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</si>
  <si>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</si>
  <si>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</si>
  <si>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</si>
  <si>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</si>
  <si>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</si>
  <si>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</si>
  <si>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</si>
  <si>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</si>
  <si>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</si>
  <si>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</si>
  <si>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</si>
  <si>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</si>
  <si>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</si>
  <si>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</si>
  <si>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</si>
  <si>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</si>
  <si>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</si>
  <si>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</si>
  <si>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</si>
  <si>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</si>
  <si>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</si>
  <si>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</si>
  <si>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</si>
  <si>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</si>
  <si>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</si>
  <si>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</si>
  <si>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</si>
  <si>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</si>
  <si>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</si>
  <si>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</si>
  <si>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</si>
  <si>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</si>
  <si>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</si>
  <si>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</si>
  <si>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</si>
  <si>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</si>
  <si>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</si>
  <si>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</si>
  <si>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</si>
  <si>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</si>
  <si>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</si>
  <si>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</si>
  <si>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</si>
  <si>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</si>
  <si>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</si>
  <si>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</si>
  <si>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</si>
  <si>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</si>
  <si>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</si>
  <si>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</si>
  <si>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</si>
  <si>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</si>
  <si>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</si>
  <si>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</si>
  <si>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</si>
  <si>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</si>
  <si>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</si>
  <si>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</si>
  <si>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</si>
  <si>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</si>
  <si>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</si>
  <si>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</si>
  <si>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</si>
  <si>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</si>
  <si>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</si>
  <si>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</si>
  <si>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</si>
  <si>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</si>
  <si>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</si>
  <si>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</si>
  <si>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</si>
  <si>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</si>
  <si>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</si>
  <si>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</si>
  <si>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</si>
  <si>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</si>
  <si>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</si>
  <si>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</si>
  <si>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</si>
  <si>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</si>
  <si>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</si>
  <si>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</si>
  <si>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</si>
  <si>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</si>
  <si>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</si>
  <si>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</si>
  <si>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</si>
  <si>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</si>
  <si>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</si>
  <si>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</si>
  <si>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</si>
  <si>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</si>
  <si>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</si>
  <si>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</si>
  <si>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</si>
  <si>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</si>
  <si>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</si>
  <si>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</si>
  <si>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</si>
  <si>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</si>
  <si>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</si>
  <si>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</si>
  <si>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</si>
  <si>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</si>
  <si>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</si>
  <si>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</si>
  <si>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</si>
  <si>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</si>
  <si>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</si>
  <si>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</si>
  <si>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</si>
  <si>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</si>
  <si>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</si>
  <si>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</si>
  <si>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</si>
  <si>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</si>
  <si>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</si>
  <si>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</si>
  <si>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</si>
  <si>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</si>
  <si>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</si>
  <si>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</si>
  <si>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</si>
  <si>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</si>
  <si>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</si>
  <si>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</si>
  <si>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</si>
  <si>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</si>
  <si>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</si>
  <si>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</si>
  <si>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</si>
  <si>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</si>
  <si>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</si>
  <si>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</si>
  <si>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</si>
  <si>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</si>
  <si>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</si>
  <si>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</si>
  <si>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</si>
  <si>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</si>
  <si>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</si>
  <si>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</si>
  <si>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</si>
  <si>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</si>
  <si>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</si>
  <si>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</si>
  <si>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</si>
  <si>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</si>
  <si>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</si>
  <si>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</si>
  <si>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</si>
  <si>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</si>
  <si>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</si>
  <si>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</si>
  <si>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</si>
  <si>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</si>
  <si>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</si>
  <si>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</si>
  <si>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</si>
  <si>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</si>
  <si>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</si>
  <si>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</si>
  <si>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</si>
  <si>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</si>
  <si>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</si>
  <si>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</si>
  <si>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</si>
  <si>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</si>
  <si>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</si>
  <si>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</si>
  <si>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</si>
  <si>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</si>
  <si>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</si>
  <si>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</si>
  <si>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</si>
  <si>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</si>
  <si>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</si>
  <si>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</si>
  <si>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</si>
  <si>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</si>
  <si>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</si>
  <si>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</si>
  <si>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</si>
  <si>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</si>
  <si>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</si>
  <si>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</si>
  <si>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</si>
  <si>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</si>
  <si>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</si>
  <si>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</si>
  <si>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</si>
  <si>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</si>
  <si>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</si>
  <si>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</si>
  <si>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</si>
  <si>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</si>
  <si>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</si>
  <si>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</si>
  <si>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</si>
  <si>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</si>
  <si>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</si>
  <si>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</si>
  <si>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</si>
  <si>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</si>
  <si>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</si>
  <si>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</si>
  <si>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</si>
  <si>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</si>
  <si>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</si>
  <si>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</si>
  <si>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</si>
  <si>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</si>
  <si>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</si>
  <si>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</si>
  <si>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</si>
  <si>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</si>
  <si>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</si>
  <si>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</si>
  <si>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</si>
  <si>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</si>
  <si>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</si>
  <si>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</si>
  <si>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</si>
  <si>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</si>
  <si>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</si>
  <si>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</si>
  <si>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</si>
  <si>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</si>
  <si>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</si>
  <si>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</si>
  <si>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</si>
  <si>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</si>
  <si>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</si>
  <si>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</si>
  <si>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</si>
  <si>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</si>
  <si>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</si>
  <si>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</si>
  <si>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</si>
  <si>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</si>
  <si>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</si>
  <si>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</si>
  <si>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</si>
  <si>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</si>
  <si>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</si>
  <si>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</si>
  <si>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</si>
  <si>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</si>
  <si>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</si>
  <si>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</si>
  <si>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</si>
  <si>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</si>
  <si>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</si>
  <si>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</si>
  <si>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</si>
  <si>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</si>
  <si>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</si>
  <si>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</si>
  <si>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</si>
  <si>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</si>
  <si>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</si>
  <si>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</si>
  <si>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</si>
  <si>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</si>
  <si>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</si>
  <si>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</si>
  <si>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</si>
  <si>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</si>
  <si>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</si>
  <si>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</si>
  <si>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</si>
  <si>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</si>
  <si>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</si>
  <si>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</si>
  <si>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</si>
  <si>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</si>
  <si>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</si>
  <si>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</si>
  <si>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</si>
  <si>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</si>
  <si>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</si>
  <si>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</si>
  <si>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</si>
  <si>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</si>
  <si>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</si>
  <si>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</si>
  <si>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</si>
  <si>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</si>
  <si>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</si>
  <si>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</si>
  <si>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</si>
  <si>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</si>
  <si>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</si>
  <si>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</si>
  <si>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</si>
  <si>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</si>
  <si>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</si>
  <si>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</si>
  <si>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</si>
  <si>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</si>
  <si>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</si>
  <si>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</si>
  <si>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</si>
  <si>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</si>
  <si>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</si>
  <si>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</si>
  <si>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</si>
  <si>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</si>
  <si>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</si>
  <si>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</si>
  <si>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</si>
  <si>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</si>
  <si>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</si>
  <si>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</si>
  <si>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</si>
  <si>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</si>
  <si>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</si>
  <si>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</si>
  <si>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</si>
  <si>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</si>
  <si>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</si>
  <si>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</si>
  <si>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</si>
  <si>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</si>
  <si>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</si>
  <si>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</si>
  <si>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</si>
  <si>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</si>
  <si>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</si>
  <si>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</si>
  <si>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</si>
  <si>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</si>
  <si>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</si>
  <si>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</si>
  <si>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</si>
  <si>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</si>
  <si>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</si>
  <si>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</si>
  <si>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</si>
  <si>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</si>
  <si>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</si>
  <si>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</si>
  <si>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</si>
  <si>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</si>
  <si>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</si>
  <si>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</si>
  <si>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</si>
  <si>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</si>
  <si>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</si>
  <si>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</si>
  <si>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</si>
  <si>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</si>
  <si>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</si>
  <si>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</si>
  <si>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</si>
  <si>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</si>
  <si>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</si>
  <si>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</si>
  <si>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</si>
  <si>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</si>
  <si>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</si>
  <si>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</si>
  <si>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</si>
  <si>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</si>
  <si>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</si>
  <si>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</si>
  <si>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</si>
  <si>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</si>
  <si>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</si>
  <si>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</si>
  <si>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</si>
  <si>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</si>
  <si>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</si>
  <si>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</si>
  <si>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</si>
  <si>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</si>
  <si>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</si>
  <si>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</si>
  <si>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</si>
  <si>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</si>
  <si>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</si>
  <si>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</si>
  <si>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</si>
  <si>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</si>
  <si>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</si>
  <si>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</si>
  <si>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</si>
  <si>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</si>
  <si>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</si>
  <si>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</si>
  <si>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</si>
  <si>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</si>
  <si>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</si>
  <si>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</si>
  <si>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</si>
  <si>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</si>
  <si>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</si>
  <si>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</si>
  <si>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</si>
  <si>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</si>
  <si>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</si>
  <si>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</si>
  <si>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</si>
  <si>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</si>
  <si>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</si>
  <si>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</si>
  <si>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</si>
  <si>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</si>
  <si>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</si>
  <si>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</si>
  <si>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</si>
  <si>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</si>
  <si>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</si>
  <si>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</si>
  <si>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</si>
  <si>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</si>
  <si>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</si>
  <si>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</si>
  <si>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</si>
  <si>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</si>
  <si>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</si>
  <si>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</si>
  <si>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</si>
  <si>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</si>
  <si>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</si>
  <si>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</si>
  <si>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</si>
  <si>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</si>
  <si>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</si>
  <si>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</si>
  <si>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</si>
  <si>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</si>
  <si>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</si>
  <si>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</si>
  <si>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</si>
  <si>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</si>
  <si>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</si>
  <si>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</si>
  <si>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</si>
  <si>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</si>
  <si>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</si>
  <si>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</si>
  <si>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</si>
  <si>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</si>
  <si>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</si>
  <si>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</si>
  <si>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</si>
  <si>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</si>
  <si>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</si>
  <si>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</si>
  <si>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</si>
  <si>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</si>
  <si>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</si>
  <si>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</si>
  <si>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</si>
  <si>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</si>
  <si>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</si>
  <si>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</si>
  <si>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</si>
  <si>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</si>
  <si>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</si>
  <si>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</si>
  <si>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</si>
  <si>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</si>
  <si>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</si>
  <si>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</si>
  <si>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</si>
  <si>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</si>
  <si>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</si>
  <si>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</si>
  <si>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</si>
  <si>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</si>
  <si>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</si>
  <si>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</si>
  <si>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</si>
  <si>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</si>
  <si>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</si>
  <si>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</si>
  <si>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</si>
  <si>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</si>
  <si>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</si>
  <si>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</si>
  <si>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</si>
  <si>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</si>
  <si>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</si>
  <si>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</si>
  <si>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</si>
  <si>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</si>
  <si>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</si>
  <si>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</si>
  <si>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</si>
  <si>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</si>
  <si>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</si>
  <si>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</si>
  <si>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</si>
  <si>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</si>
  <si>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</si>
  <si>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</si>
  <si>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</si>
  <si>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</si>
  <si>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</si>
  <si>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</si>
  <si>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</si>
  <si>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</si>
  <si>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</si>
  <si>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</si>
  <si>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</si>
  <si>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</si>
  <si>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</si>
  <si>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</si>
  <si>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</si>
  <si>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</si>
  <si>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</si>
  <si>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</si>
  <si>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</si>
  <si>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</si>
  <si>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</si>
  <si>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</si>
  <si>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</si>
  <si>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</si>
  <si>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</si>
  <si>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</si>
  <si>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</si>
  <si>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</si>
  <si>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</si>
  <si>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</si>
  <si>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</si>
  <si>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</si>
  <si>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</si>
  <si>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</si>
  <si>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</si>
  <si>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</si>
  <si>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</si>
  <si>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</si>
  <si>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</si>
  <si>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</si>
  <si>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</si>
  <si>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</si>
  <si>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</si>
  <si>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</si>
  <si>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</si>
  <si>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</si>
  <si>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</si>
  <si>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</si>
  <si>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</si>
  <si>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</si>
  <si>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</si>
  <si>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</si>
  <si>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</si>
  <si>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</si>
  <si>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</si>
  <si>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</si>
  <si>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</si>
  <si>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</si>
  <si>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</si>
  <si>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</si>
  <si>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</si>
  <si>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</si>
  <si>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</si>
  <si>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</si>
  <si>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</si>
  <si>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</si>
  <si>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</si>
  <si>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</si>
  <si>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</si>
  <si>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</si>
  <si>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</si>
  <si>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</si>
  <si>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</si>
  <si>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</si>
  <si>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</si>
  <si>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</si>
  <si>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</si>
  <si>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</si>
  <si>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</si>
  <si>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</si>
  <si>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</si>
  <si>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</si>
  <si>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</si>
  <si>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</si>
  <si>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</si>
  <si>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</si>
  <si>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</si>
  <si>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</si>
  <si>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</si>
  <si>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</si>
  <si>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</si>
  <si>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</si>
  <si>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</si>
  <si>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</si>
  <si>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</si>
  <si>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</si>
  <si>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</si>
  <si>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</si>
  <si>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</si>
  <si>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</si>
  <si>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</si>
  <si>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</si>
  <si>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</si>
  <si>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</si>
  <si>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</si>
  <si>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</si>
  <si>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</si>
  <si>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</si>
  <si>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</si>
  <si>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</si>
  <si>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</si>
  <si>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</si>
  <si>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</si>
  <si>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</si>
  <si>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</si>
  <si>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</si>
  <si>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</si>
  <si>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</si>
  <si>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</si>
  <si>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</si>
  <si>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</si>
  <si>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</si>
  <si>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</si>
  <si>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</si>
  <si>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</si>
  <si>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</si>
  <si>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</si>
  <si>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</si>
  <si>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</si>
  <si>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</si>
  <si>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</si>
  <si>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</si>
  <si>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</si>
  <si>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</si>
  <si>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</si>
  <si>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</si>
  <si>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</si>
  <si>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</si>
  <si>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</si>
  <si>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</si>
  <si>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</si>
  <si>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</si>
  <si>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</si>
  <si>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</si>
  <si>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</si>
  <si>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</si>
  <si>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</si>
  <si>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</si>
  <si>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</si>
  <si>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</si>
  <si>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</si>
  <si>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</si>
  <si>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</si>
  <si>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</si>
  <si>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</si>
  <si>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</si>
  <si>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</si>
  <si>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</si>
  <si>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</si>
  <si>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</si>
  <si>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</si>
  <si>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</si>
  <si>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</si>
  <si>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</si>
  <si>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</si>
  <si>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</si>
  <si>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</si>
  <si>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</si>
  <si>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</si>
  <si>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</si>
  <si>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</si>
  <si>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</si>
  <si>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</si>
  <si>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</si>
  <si>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</si>
  <si>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</si>
  <si>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</si>
  <si>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</si>
  <si>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</si>
  <si>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</si>
  <si>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</si>
  <si>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</si>
  <si>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</si>
  <si>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</si>
  <si>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</si>
  <si>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</si>
  <si>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</si>
  <si>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</si>
  <si>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</si>
  <si>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</si>
  <si>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</si>
  <si>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</si>
  <si>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</si>
  <si>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</si>
  <si>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</si>
  <si>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</si>
  <si>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</si>
  <si>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</si>
  <si>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</si>
  <si>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</si>
  <si>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</si>
  <si>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</si>
  <si>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</si>
  <si>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</si>
  <si>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</si>
  <si>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</si>
  <si>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</si>
  <si>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</si>
  <si>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</si>
  <si>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</si>
  <si>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</si>
  <si>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</si>
  <si>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</si>
  <si>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</si>
  <si>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</si>
  <si>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</si>
  <si>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</si>
  <si>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</si>
  <si>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</si>
  <si>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</si>
  <si>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</si>
  <si>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</si>
  <si>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</si>
  <si>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</si>
  <si>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</si>
  <si>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</si>
  <si>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</si>
  <si>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</si>
  <si>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</si>
  <si>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</si>
  <si>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</si>
  <si>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</si>
  <si>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</si>
  <si>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</si>
  <si>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</si>
  <si>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</si>
  <si>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</si>
  <si>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</si>
  <si>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</si>
  <si>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</si>
  <si>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</si>
  <si>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</si>
  <si>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</si>
  <si>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</si>
  <si>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</si>
  <si>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</si>
  <si>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</si>
  <si>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</si>
  <si>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</si>
  <si>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</si>
  <si>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</si>
  <si>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</si>
  <si>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</si>
  <si>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</si>
  <si>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</si>
  <si>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</si>
  <si>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</si>
  <si>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</si>
  <si>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</si>
  <si>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</si>
  <si>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</si>
  <si>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</si>
  <si>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</si>
  <si>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</si>
  <si>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</si>
  <si>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</si>
  <si>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</si>
  <si>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</si>
  <si>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</si>
  <si>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</si>
  <si>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</si>
  <si>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</si>
  <si>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</si>
  <si>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</si>
  <si>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</si>
  <si>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</si>
  <si>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</si>
  <si>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</si>
  <si>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</si>
  <si>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</si>
  <si>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</si>
  <si>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</si>
  <si>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</si>
  <si>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</si>
  <si>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</si>
  <si>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</si>
  <si>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</si>
  <si>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</si>
  <si>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</si>
  <si>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</si>
  <si>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</si>
  <si>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</si>
  <si>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</si>
  <si>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</si>
  <si>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</si>
  <si>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</si>
  <si>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</si>
  <si>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</si>
  <si>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</si>
  <si>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</si>
  <si>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</si>
  <si>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</si>
  <si>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</si>
  <si>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</si>
  <si>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</si>
  <si>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</si>
  <si>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</si>
  <si>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</si>
  <si>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</si>
  <si>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</si>
  <si>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</si>
  <si>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</si>
  <si>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</si>
  <si>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</si>
  <si>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</si>
  <si>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</si>
  <si>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</si>
  <si>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</si>
  <si>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</si>
  <si>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</si>
  <si>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</si>
  <si>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</si>
  <si>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</si>
  <si>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</si>
  <si>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</si>
  <si>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</si>
  <si>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</si>
  <si>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</si>
  <si>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</si>
  <si>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</si>
  <si>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</si>
  <si>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</si>
  <si>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</si>
  <si>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</si>
  <si>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</si>
  <si>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</si>
  <si>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</si>
  <si>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</si>
  <si>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</si>
  <si>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</si>
  <si>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</si>
  <si>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</si>
  <si>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</si>
  <si>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</si>
  <si>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</si>
  <si>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</si>
  <si>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</si>
  <si>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</si>
  <si>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</si>
  <si>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</si>
  <si>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</si>
  <si>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</si>
  <si>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</si>
  <si>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</si>
  <si>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</si>
  <si>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</si>
  <si>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</si>
  <si>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</si>
  <si>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</si>
  <si>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</si>
  <si>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</si>
  <si>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</si>
  <si>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</si>
  <si>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</si>
  <si>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</si>
  <si>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</si>
  <si>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</si>
  <si>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</si>
  <si>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</si>
  <si>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</si>
  <si>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</si>
  <si>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</si>
  <si>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</si>
  <si>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</si>
  <si>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</si>
  <si>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</si>
  <si>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</si>
  <si>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</si>
  <si>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</si>
  <si>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</si>
  <si>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</si>
  <si>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</si>
  <si>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</si>
  <si>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</si>
  <si>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</si>
  <si>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</si>
  <si>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</si>
  <si>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</si>
  <si>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</si>
  <si>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</si>
  <si>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</si>
  <si>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</si>
  <si>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</si>
  <si>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</si>
  <si>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</si>
  <si>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</si>
  <si>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</si>
  <si>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</si>
  <si>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</si>
  <si>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</si>
  <si>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</si>
  <si>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</si>
  <si>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</si>
  <si>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</si>
  <si>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</si>
  <si>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</si>
  <si>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</si>
  <si>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</si>
  <si>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</si>
  <si>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</si>
  <si>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</si>
  <si>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</si>
  <si>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</si>
  <si>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</si>
  <si>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</si>
  <si>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</si>
  <si>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</si>
  <si>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</si>
  <si>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</si>
  <si>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</si>
  <si>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</si>
  <si>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</si>
  <si>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</si>
  <si>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</si>
  <si>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</si>
  <si>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</si>
  <si>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</si>
  <si>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</si>
  <si>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</si>
  <si>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</si>
  <si>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</si>
  <si>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</si>
  <si>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</si>
  <si>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</si>
  <si>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</si>
  <si>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</si>
  <si>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</si>
  <si>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</si>
  <si>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</si>
  <si>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</si>
  <si>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</si>
  <si>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</si>
  <si>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</si>
  <si>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</si>
  <si>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</si>
  <si>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</si>
  <si>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</si>
  <si>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</si>
  <si>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</si>
  <si>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</si>
  <si>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</si>
  <si>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</si>
  <si>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</si>
  <si>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</si>
  <si>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</si>
  <si>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</si>
  <si>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</si>
  <si>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</si>
  <si>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</si>
  <si>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</si>
  <si>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</si>
  <si>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</si>
  <si>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</si>
  <si>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</si>
  <si>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</si>
  <si>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</si>
  <si>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</si>
  <si>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</si>
  <si>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</si>
  <si>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</si>
  <si>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</si>
  <si>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</si>
  <si>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</si>
  <si>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</si>
  <si>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</si>
  <si>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</si>
  <si>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</si>
  <si>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</si>
  <si>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</si>
  <si>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</si>
  <si>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</si>
  <si>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</si>
  <si>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</si>
  <si>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</si>
  <si>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</si>
  <si>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</si>
  <si>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</si>
  <si>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</si>
  <si>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</si>
  <si>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</si>
  <si>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</si>
  <si>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</si>
  <si>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</si>
  <si>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</si>
  <si>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</si>
  <si>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</si>
  <si>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</si>
  <si>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</si>
  <si>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</si>
  <si>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</si>
  <si>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</si>
  <si>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</si>
  <si>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</si>
  <si>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</si>
  <si>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</si>
  <si>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</si>
  <si>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</si>
  <si>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</si>
  <si>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</si>
  <si>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</si>
  <si>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</si>
  <si>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</si>
  <si>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</si>
  <si>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</si>
  <si>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</si>
  <si>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</si>
  <si>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</si>
  <si>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</si>
  <si>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</si>
  <si>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</si>
  <si>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</si>
  <si>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</si>
  <si>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</si>
  <si>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</si>
  <si>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</si>
  <si>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</si>
  <si>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</si>
  <si>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</si>
  <si>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</si>
  <si>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</si>
  <si>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</si>
  <si>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</si>
  <si>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</si>
  <si>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</si>
  <si>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</si>
  <si>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</si>
  <si>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</si>
  <si>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</si>
  <si>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</si>
  <si>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</si>
  <si>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</si>
  <si>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</si>
  <si>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</si>
  <si>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</si>
  <si>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</si>
  <si>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</si>
  <si>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</si>
  <si>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</si>
  <si>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</si>
  <si>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</si>
  <si>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</si>
  <si>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</si>
  <si>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</si>
  <si>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</si>
  <si>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</si>
  <si>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</si>
  <si>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</si>
  <si>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</si>
  <si>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</si>
  <si>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</si>
  <si>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</si>
  <si>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</si>
  <si>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</si>
  <si>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</si>
  <si>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</si>
  <si>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</si>
  <si>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</si>
  <si>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</si>
  <si>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</si>
  <si>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</si>
  <si>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</si>
  <si>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</si>
  <si>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</si>
  <si>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</si>
  <si>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</si>
  <si>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</si>
  <si>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</si>
  <si>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</si>
  <si>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</si>
  <si>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</si>
  <si>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</si>
  <si>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</si>
  <si>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</si>
  <si>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</si>
  <si>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</si>
  <si>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</si>
  <si>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</si>
  <si>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</si>
  <si>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</si>
  <si>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</si>
  <si>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</si>
  <si>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</si>
  <si>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</si>
  <si>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</si>
  <si>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</si>
  <si>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</si>
  <si>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</si>
  <si>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</si>
  <si>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</si>
  <si>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</si>
  <si>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</si>
  <si>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</si>
  <si>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</si>
  <si>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</si>
  <si>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</si>
  <si>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</si>
  <si>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</si>
  <si>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</si>
  <si>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</si>
  <si>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</si>
  <si>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</si>
  <si>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</si>
  <si>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</si>
  <si>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</si>
  <si>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</si>
  <si>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</si>
  <si>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</si>
  <si>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</si>
  <si>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</si>
  <si>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</si>
  <si>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</si>
  <si>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</si>
  <si>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</si>
  <si>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</si>
  <si>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</si>
  <si>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</si>
  <si>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</si>
  <si>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</si>
  <si>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</si>
  <si>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</si>
  <si>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</si>
  <si>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</si>
  <si>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</si>
  <si>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</si>
  <si>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</si>
  <si>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</si>
  <si>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</si>
  <si>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</si>
  <si>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</si>
  <si>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</si>
  <si>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</si>
  <si>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</si>
  <si>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</si>
  <si>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</si>
  <si>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</si>
  <si>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</si>
  <si>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</si>
  <si>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</si>
  <si>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</si>
  <si>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</si>
  <si>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</si>
  <si>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</si>
  <si>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</si>
  <si>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</si>
  <si>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</si>
  <si>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</si>
  <si>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</si>
  <si>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</si>
  <si>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</si>
  <si>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</si>
  <si>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</si>
  <si>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</si>
  <si>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</si>
  <si>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</si>
  <si>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</si>
  <si>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</si>
  <si>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</si>
  <si>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</si>
  <si>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</si>
  <si>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</si>
  <si>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</si>
  <si>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</si>
  <si>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</si>
  <si>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</si>
  <si>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</si>
  <si>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</si>
  <si>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</si>
  <si>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</si>
  <si>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</si>
  <si>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</si>
  <si>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</si>
  <si>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</si>
  <si>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</si>
  <si>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</si>
  <si>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</si>
  <si>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</si>
  <si>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</si>
  <si>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</si>
  <si>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</si>
  <si>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</si>
  <si>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</si>
  <si>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</si>
  <si>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</si>
  <si>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</si>
  <si>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</si>
  <si>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</si>
  <si>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</si>
  <si>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</si>
  <si>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</si>
  <si>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</si>
  <si>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</si>
  <si>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</si>
  <si>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</si>
  <si>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</si>
  <si>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</si>
  <si>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</si>
  <si>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</si>
  <si>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</si>
  <si>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</si>
  <si>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</si>
  <si>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</si>
  <si>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</si>
  <si>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</si>
  <si>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</si>
  <si>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</si>
  <si>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</si>
  <si>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</si>
  <si>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</si>
  <si>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</si>
  <si>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</si>
  <si>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</si>
  <si>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</si>
  <si>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</si>
  <si>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</si>
  <si>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</si>
  <si>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</si>
  <si>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</si>
  <si>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</si>
  <si>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</si>
  <si>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</si>
  <si>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</si>
  <si>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</si>
  <si>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</si>
  <si>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</si>
  <si>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</si>
  <si>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</si>
  <si>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</si>
  <si>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</si>
  <si>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</si>
  <si>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</si>
  <si>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</si>
  <si>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</si>
  <si>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</si>
  <si>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</si>
  <si>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</si>
  <si>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</si>
  <si>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</si>
  <si>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</si>
  <si>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</si>
  <si>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</si>
  <si>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</si>
  <si>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</si>
  <si>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</si>
  <si>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</si>
  <si>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</si>
  <si>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</si>
  <si>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</si>
  <si>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</si>
  <si>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</si>
  <si>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</si>
  <si>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</si>
  <si>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</si>
  <si>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</si>
  <si>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</si>
  <si>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</si>
  <si>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</si>
  <si>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</si>
  <si>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</si>
  <si>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</si>
  <si>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</si>
  <si>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</si>
  <si>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</si>
  <si>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</si>
  <si>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</si>
  <si>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</si>
  <si>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</si>
  <si>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</si>
  <si>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</si>
  <si>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</si>
  <si>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</si>
  <si>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</si>
  <si>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</si>
  <si>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</si>
  <si>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</si>
  <si>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</si>
  <si>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</si>
  <si>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</si>
  <si>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</si>
  <si>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</si>
  <si>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</si>
  <si>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</si>
  <si>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</si>
  <si>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</si>
  <si>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</si>
  <si>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</si>
  <si>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</si>
  <si>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</si>
  <si>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</si>
  <si>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</si>
  <si>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</si>
  <si>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</si>
  <si>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</si>
  <si>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</si>
  <si>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</si>
  <si>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</si>
  <si>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</si>
  <si>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</si>
  <si>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</si>
  <si>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</si>
  <si>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</si>
  <si>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</si>
  <si>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</si>
  <si>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</si>
  <si>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</si>
  <si>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</si>
  <si>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</si>
  <si>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</si>
  <si>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</si>
  <si>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</si>
  <si>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</si>
  <si>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</si>
  <si>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</si>
  <si>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</si>
  <si>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</si>
  <si>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</si>
  <si>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</si>
  <si>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</si>
  <si>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</si>
  <si>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</si>
  <si>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</si>
  <si>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</si>
  <si>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</si>
  <si>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</si>
  <si>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</si>
  <si>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</si>
  <si>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</si>
  <si>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</si>
  <si>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</si>
  <si>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</si>
  <si>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</si>
  <si>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</si>
  <si>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</si>
  <si>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</si>
  <si>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</si>
  <si>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</si>
  <si>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</si>
  <si>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</si>
  <si>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</si>
  <si>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</si>
  <si>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</si>
  <si>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</si>
  <si>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</si>
  <si>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</si>
  <si>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</si>
  <si>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</si>
  <si>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</si>
  <si>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</si>
  <si>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</si>
  <si>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</si>
  <si>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</si>
  <si>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</si>
  <si>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</si>
  <si>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</si>
  <si>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</si>
  <si>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</si>
  <si>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</si>
  <si>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</si>
  <si>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</si>
  <si>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</si>
  <si>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</si>
  <si>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</si>
  <si>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</si>
  <si>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</si>
  <si>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</si>
  <si>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</si>
  <si>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</si>
  <si>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</si>
  <si>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</si>
  <si>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</si>
  <si>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</si>
  <si>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</si>
  <si>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</si>
  <si>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</si>
  <si>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</si>
  <si>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</si>
  <si>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</si>
  <si>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</si>
  <si>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</si>
  <si>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</si>
  <si>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</si>
  <si>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</si>
  <si>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</si>
  <si>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</si>
  <si>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</si>
  <si>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</si>
  <si>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</si>
  <si>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</si>
  <si>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</si>
  <si>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</si>
  <si>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</si>
  <si>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</si>
  <si>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</si>
  <si>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</si>
  <si>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</si>
  <si>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</si>
  <si>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</si>
  <si>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</si>
  <si>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</si>
  <si>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</si>
  <si>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</si>
  <si>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</si>
  <si>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</si>
  <si>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</si>
  <si>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</si>
  <si>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</si>
  <si>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</si>
  <si>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</si>
  <si>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</si>
  <si>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</si>
  <si>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</si>
  <si>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</si>
  <si>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</si>
  <si>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</si>
  <si>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</si>
  <si>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</si>
  <si>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</si>
  <si>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</si>
  <si>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</si>
  <si>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</si>
  <si>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</si>
  <si>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</si>
  <si>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</si>
  <si>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</si>
  <si>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</si>
  <si>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</si>
  <si>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</si>
  <si>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</si>
  <si>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</si>
  <si>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</si>
  <si>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</si>
  <si>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</si>
  <si>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</si>
  <si>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</si>
  <si>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</si>
  <si>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</si>
  <si>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</si>
  <si>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</si>
  <si>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</si>
  <si>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</si>
  <si>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</si>
  <si>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</si>
  <si>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</si>
  <si>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</si>
  <si>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</si>
  <si>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</si>
  <si>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</si>
  <si>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</si>
  <si>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</si>
  <si>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</si>
  <si>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</si>
  <si>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</si>
  <si>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</si>
  <si>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</si>
  <si>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</si>
  <si>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</si>
  <si>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</si>
  <si>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</si>
  <si>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</si>
  <si>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</si>
  <si>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</si>
  <si>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</si>
  <si>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</si>
  <si>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</si>
  <si>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</si>
  <si>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</si>
  <si>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</si>
  <si>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</si>
  <si>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</si>
  <si>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</si>
  <si>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</si>
  <si>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</si>
  <si>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</si>
  <si>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</si>
  <si>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</si>
  <si>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</si>
  <si>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</si>
  <si>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</si>
  <si>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</si>
  <si>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</si>
  <si>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</si>
  <si>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</si>
  <si>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</si>
  <si>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</si>
  <si>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</si>
  <si>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</si>
  <si>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</si>
  <si>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</si>
  <si>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</si>
  <si>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</si>
  <si>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</si>
  <si>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</si>
  <si>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</si>
  <si>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</si>
  <si>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</si>
  <si>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</si>
  <si>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</si>
  <si>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</si>
  <si>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</si>
  <si>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</si>
  <si>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</si>
  <si>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</si>
  <si>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</si>
  <si>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</si>
  <si>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</si>
  <si>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</si>
  <si>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</si>
  <si>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</si>
  <si>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</si>
  <si>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</si>
  <si>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</si>
  <si>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</si>
  <si>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</si>
  <si>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</si>
  <si>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</si>
  <si>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</si>
  <si>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</si>
  <si>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</si>
  <si>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</si>
  <si>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</si>
  <si>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</si>
  <si>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</si>
  <si>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</si>
  <si>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</si>
  <si>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</si>
  <si>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</si>
  <si>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</si>
  <si>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</si>
  <si>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</si>
  <si>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</si>
  <si>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</si>
  <si>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</si>
  <si>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</si>
  <si>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</si>
  <si>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</si>
  <si>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</si>
  <si>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</si>
  <si>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</si>
  <si>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</si>
  <si>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</si>
  <si>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</si>
  <si>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</si>
  <si>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</si>
  <si>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</si>
  <si>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</si>
  <si>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</si>
  <si>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</si>
  <si>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</si>
  <si>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</si>
  <si>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</si>
  <si>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</si>
  <si>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</si>
  <si>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</si>
  <si>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</si>
  <si>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</si>
  <si>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</si>
  <si>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</si>
  <si>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</si>
  <si>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</si>
  <si>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</si>
  <si>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</si>
  <si>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</si>
  <si>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</si>
  <si>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</si>
  <si>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</si>
  <si>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</si>
  <si>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</si>
  <si>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</si>
  <si>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</si>
  <si>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</si>
  <si>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</si>
  <si>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</si>
  <si>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</si>
  <si>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</si>
  <si>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</si>
  <si>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</si>
  <si>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</si>
  <si>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</si>
  <si>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</si>
  <si>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</si>
  <si>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</si>
  <si>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</si>
  <si>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</si>
  <si>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</si>
  <si>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</si>
  <si>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</si>
  <si>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</si>
  <si>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</si>
  <si>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</si>
  <si>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</si>
  <si>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</si>
  <si>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</si>
  <si>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</si>
  <si>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</si>
  <si>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</si>
  <si>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</si>
  <si>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</si>
  <si>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</si>
  <si>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</si>
  <si>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</si>
  <si>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</si>
  <si>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</si>
  <si>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</si>
  <si>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</si>
  <si>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</si>
  <si>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</si>
  <si>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</si>
  <si>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</si>
  <si>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</si>
  <si>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</si>
  <si>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</si>
  <si>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</si>
  <si>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</si>
  <si>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</si>
  <si>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</si>
  <si>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</si>
  <si>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</si>
  <si>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</si>
  <si>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</si>
  <si>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</si>
  <si>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</si>
  <si>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</si>
  <si>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</si>
  <si>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</si>
  <si>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</si>
  <si>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</si>
  <si>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</si>
  <si>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</si>
  <si>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</si>
  <si>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</si>
  <si>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</si>
  <si>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</si>
  <si>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</si>
  <si>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</si>
  <si>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</si>
  <si>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</si>
  <si>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</si>
  <si>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</si>
  <si>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</si>
  <si>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</si>
  <si>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</si>
  <si>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</si>
  <si>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</si>
  <si>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</si>
  <si>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</si>
  <si>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</si>
  <si>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</si>
  <si>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</si>
  <si>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</si>
  <si>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</si>
  <si>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</si>
  <si>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</si>
  <si>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</si>
  <si>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</si>
  <si>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</si>
  <si>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</si>
  <si>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</si>
  <si>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</si>
  <si>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</si>
  <si>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</si>
  <si>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</si>
  <si>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</si>
  <si>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</si>
  <si>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</si>
  <si>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</si>
  <si>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</si>
  <si>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</si>
  <si>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</si>
  <si>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</si>
  <si>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</si>
  <si>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</si>
  <si>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</si>
  <si>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</si>
  <si>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</si>
  <si>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</si>
  <si>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</si>
  <si>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</si>
  <si>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</si>
  <si>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</si>
  <si>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</si>
  <si>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</si>
  <si>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</si>
  <si>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</si>
  <si>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</si>
  <si>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</si>
  <si>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</si>
  <si>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</si>
  <si>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</si>
  <si>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</si>
  <si>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</si>
  <si>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</si>
  <si>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</si>
  <si>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</si>
  <si>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</si>
  <si>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</si>
  <si>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</si>
  <si>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</si>
  <si>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</si>
  <si>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</si>
  <si>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</si>
  <si>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</si>
  <si>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</si>
  <si>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</si>
  <si>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</si>
  <si>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</si>
  <si>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</si>
  <si>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</si>
  <si>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</si>
  <si>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</si>
  <si>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</si>
  <si>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</si>
  <si>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</si>
  <si>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</si>
  <si>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</si>
  <si>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</si>
  <si>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</si>
  <si>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</si>
  <si>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</si>
  <si>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</si>
  <si>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</si>
  <si>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</si>
  <si>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</si>
  <si>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</si>
  <si>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</si>
  <si>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</si>
  <si>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</si>
  <si>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</si>
  <si>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</si>
  <si>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</si>
  <si>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</si>
  <si>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</si>
  <si>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</si>
  <si>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</si>
  <si>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</si>
  <si>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</si>
  <si>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</si>
  <si>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</si>
  <si>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</si>
  <si>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</si>
  <si>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</si>
  <si>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</si>
  <si>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</si>
  <si>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</si>
  <si>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</si>
  <si>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</si>
  <si>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</si>
  <si>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</si>
  <si>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</si>
  <si>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</si>
  <si>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</si>
  <si>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</si>
  <si>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</si>
  <si>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</si>
  <si>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</si>
  <si>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</si>
  <si>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</si>
  <si>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</si>
  <si>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</si>
  <si>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</si>
  <si>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</si>
  <si>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</si>
  <si>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</si>
  <si>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</si>
  <si>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</si>
  <si>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</si>
  <si>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</si>
  <si>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</si>
  <si>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</si>
  <si>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</si>
  <si>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</si>
  <si>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</si>
  <si>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</si>
  <si>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</si>
  <si>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</si>
  <si>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</si>
  <si>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</si>
  <si>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</si>
  <si>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</si>
  <si>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</si>
  <si>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</si>
  <si>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</si>
  <si>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</si>
  <si>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</si>
  <si>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</si>
  <si>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</si>
  <si>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</si>
  <si>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</si>
  <si>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</si>
  <si>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</si>
  <si>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</si>
  <si>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</si>
  <si>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</si>
  <si>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</si>
  <si>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</si>
  <si>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</si>
  <si>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</si>
  <si>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</si>
  <si>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</si>
  <si>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</si>
  <si>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</si>
  <si>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</si>
  <si>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</si>
  <si>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</si>
  <si>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</si>
  <si>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</si>
  <si>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</si>
  <si>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</si>
  <si>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</si>
  <si>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</si>
  <si>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</si>
  <si>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</si>
  <si>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</si>
  <si>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</si>
  <si>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</si>
  <si>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</si>
  <si>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</si>
  <si>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</si>
  <si>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</si>
  <si>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</si>
  <si>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</si>
  <si>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</si>
  <si>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</si>
  <si>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</si>
  <si>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</si>
  <si>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</si>
  <si>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</si>
  <si>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</si>
  <si>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</si>
  <si>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</si>
  <si>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</si>
  <si>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</si>
  <si>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</si>
  <si>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</si>
  <si>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</si>
  <si>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</si>
  <si>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</si>
  <si>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</si>
  <si>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</si>
  <si>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</si>
  <si>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</si>
  <si>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</si>
  <si>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</si>
  <si>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</si>
  <si>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</si>
  <si>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</si>
  <si>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</si>
  <si>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</si>
  <si>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</si>
  <si>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</si>
  <si>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</si>
  <si>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</si>
  <si>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</si>
  <si>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</si>
  <si>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</si>
  <si>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</si>
  <si>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</si>
  <si>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</si>
  <si>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</si>
  <si>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</si>
  <si>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</si>
  <si>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</si>
  <si>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</si>
  <si>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</si>
  <si>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</si>
  <si>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</si>
  <si>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</si>
  <si>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</si>
  <si>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</si>
  <si>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</si>
  <si>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</si>
  <si>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</si>
  <si>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</si>
  <si>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</si>
  <si>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</si>
  <si>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</si>
  <si>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</si>
  <si>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</si>
  <si>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</si>
  <si>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</si>
  <si>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</si>
  <si>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</si>
  <si>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</si>
  <si>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</si>
  <si>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</si>
  <si>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</si>
  <si>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</si>
  <si>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</si>
  <si>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</si>
  <si>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</si>
  <si>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</si>
  <si>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</si>
  <si>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</si>
  <si>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</si>
  <si>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</si>
  <si>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</si>
  <si>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</si>
  <si>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</si>
  <si>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</si>
  <si>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</si>
  <si>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</si>
  <si>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</si>
  <si>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</si>
  <si>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</si>
  <si>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</si>
  <si>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</si>
  <si>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</si>
  <si>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</si>
  <si>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</si>
  <si>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</si>
  <si>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</si>
  <si>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</si>
  <si>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</si>
  <si>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</si>
  <si>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</si>
  <si>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</si>
  <si>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</si>
  <si>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</si>
  <si>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</si>
  <si>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</si>
  <si>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</si>
  <si>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</si>
  <si>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</si>
  <si>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</si>
  <si>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</si>
  <si>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</si>
  <si>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</si>
  <si>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</si>
  <si>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</si>
  <si>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</si>
  <si>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</si>
  <si>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</si>
  <si>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</si>
  <si>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</si>
  <si>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</si>
  <si>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</si>
  <si>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</si>
  <si>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</si>
  <si>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</si>
  <si>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</si>
  <si>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</si>
  <si>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</si>
  <si>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</si>
  <si>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</si>
  <si>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</si>
  <si>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</si>
  <si>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</si>
  <si>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</si>
  <si>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</si>
  <si>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</si>
  <si>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</si>
  <si>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</si>
  <si>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</si>
  <si>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</si>
  <si>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</si>
  <si>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</si>
  <si>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</si>
  <si>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</si>
  <si>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</si>
  <si>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</si>
  <si>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</si>
  <si>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</si>
  <si>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</si>
  <si>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</si>
  <si>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</si>
  <si>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</si>
  <si>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</si>
  <si>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</si>
  <si>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</si>
  <si>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</si>
  <si>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</si>
  <si>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</si>
  <si>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</si>
  <si>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</si>
  <si>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</si>
  <si>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</si>
  <si>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</si>
  <si>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</si>
  <si>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</si>
  <si>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</si>
  <si>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</si>
  <si>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</si>
  <si>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</si>
  <si>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</si>
  <si>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</si>
  <si>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</si>
  <si>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</si>
  <si>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</si>
  <si>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</si>
  <si>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</si>
  <si>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</si>
  <si>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</si>
  <si>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</si>
  <si>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</si>
  <si>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</si>
  <si>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</si>
  <si>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</si>
  <si>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</si>
  <si>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</si>
  <si>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</si>
  <si>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</si>
  <si>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</si>
  <si>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</si>
  <si>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</si>
  <si>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</si>
  <si>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</si>
  <si>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</si>
  <si>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</si>
  <si>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</si>
  <si>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</si>
  <si>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</si>
  <si>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</si>
  <si>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</si>
  <si>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</si>
  <si>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</si>
  <si>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</si>
  <si>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</si>
  <si>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</si>
  <si>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</si>
  <si>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</si>
  <si>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</si>
  <si>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</si>
  <si>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</si>
  <si>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</si>
  <si>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</si>
  <si>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</si>
  <si>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</si>
  <si>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</si>
  <si>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</si>
  <si>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</si>
  <si>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</si>
  <si>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</si>
  <si>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</si>
  <si>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</si>
  <si>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</si>
  <si>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</si>
  <si>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</si>
  <si>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</si>
  <si>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</si>
  <si>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</si>
  <si>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</si>
  <si>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</si>
  <si>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</si>
  <si>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</si>
  <si>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</si>
  <si>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</si>
  <si>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</si>
  <si>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</si>
  <si>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</si>
  <si>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</si>
  <si>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</si>
  <si>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</si>
  <si>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</si>
  <si>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</si>
  <si>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</si>
  <si>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</si>
  <si>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</si>
  <si>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</si>
  <si>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</si>
  <si>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</si>
  <si>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</si>
  <si>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</si>
  <si>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</si>
  <si>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</si>
  <si>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</si>
  <si>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</si>
  <si>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</si>
  <si>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</si>
  <si>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</si>
  <si>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</si>
  <si>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</si>
  <si>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</si>
  <si>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</si>
  <si>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</si>
  <si>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</si>
  <si>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</si>
  <si>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</si>
  <si>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</si>
  <si>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</si>
  <si>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</si>
  <si>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</si>
  <si>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</si>
  <si>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</si>
  <si>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</si>
  <si>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</si>
  <si>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</si>
  <si>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</si>
  <si>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</si>
  <si>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</si>
  <si>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</si>
  <si>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</si>
  <si>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</si>
  <si>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</si>
  <si>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</si>
  <si>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</si>
  <si>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</si>
  <si>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</si>
  <si>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</si>
  <si>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</si>
  <si>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</si>
  <si>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</si>
  <si>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</si>
  <si>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</si>
  <si>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</si>
  <si>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</si>
  <si>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</si>
  <si>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</si>
  <si>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</si>
  <si>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</si>
  <si>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</si>
  <si>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</si>
  <si>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</si>
  <si>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</si>
  <si>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</si>
  <si>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</si>
  <si>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</si>
  <si>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</si>
  <si>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</si>
  <si>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</si>
  <si>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</si>
  <si>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</si>
  <si>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</si>
  <si>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</si>
  <si>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</si>
  <si>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</si>
  <si>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</si>
  <si>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</si>
  <si>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</si>
  <si>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</si>
  <si>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</si>
  <si>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</si>
  <si>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</si>
  <si>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</si>
  <si>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</si>
  <si>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</si>
  <si>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</si>
  <si>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</si>
  <si>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</si>
  <si>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</si>
  <si>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</si>
  <si>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</si>
  <si>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</si>
  <si>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</si>
  <si>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</si>
  <si>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</si>
  <si>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</si>
  <si>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</si>
  <si>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</si>
  <si>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</si>
  <si>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</si>
  <si>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</si>
  <si>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</si>
  <si>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</si>
  <si>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</si>
  <si>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</si>
  <si>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</si>
  <si>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</si>
  <si>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</si>
  <si>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</si>
  <si>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</si>
  <si>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</si>
  <si>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</si>
  <si>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</si>
  <si>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</si>
  <si>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</si>
  <si>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</si>
  <si>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</si>
  <si>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</si>
  <si>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</si>
  <si>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</si>
  <si>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</si>
  <si>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</si>
  <si>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</si>
  <si>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</si>
  <si>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</si>
  <si>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</si>
  <si>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</si>
  <si>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</si>
  <si>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</si>
  <si>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</si>
  <si>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</si>
  <si>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</si>
  <si>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</si>
  <si>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</si>
  <si>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</si>
  <si>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</si>
  <si>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</si>
  <si>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</si>
  <si>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</si>
  <si>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</si>
  <si>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</si>
  <si>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</si>
  <si>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</si>
  <si>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</si>
  <si>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</si>
  <si>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</si>
  <si>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</si>
  <si>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</si>
  <si>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</si>
  <si>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</si>
  <si>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</si>
  <si>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</si>
  <si>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</si>
  <si>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</si>
  <si>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</si>
  <si>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</si>
  <si>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</si>
  <si>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</si>
  <si>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</si>
  <si>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</si>
  <si>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</si>
  <si>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</si>
  <si>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</si>
  <si>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</si>
  <si>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</si>
  <si>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</si>
  <si>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</si>
  <si>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</si>
  <si>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</si>
  <si>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</si>
  <si>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</si>
  <si>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</si>
  <si>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</si>
  <si>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</si>
  <si>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</si>
  <si>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</si>
  <si>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</si>
  <si>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</si>
  <si>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</si>
  <si>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</si>
  <si>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</si>
  <si>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</si>
  <si>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</si>
  <si>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</si>
  <si>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</si>
  <si>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</si>
  <si>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</si>
  <si>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</si>
  <si>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</si>
  <si>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</si>
  <si>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</si>
  <si>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</si>
  <si>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</si>
  <si>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</si>
  <si>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</si>
  <si>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</si>
  <si>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</si>
  <si>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</si>
  <si>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</si>
  <si>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</si>
  <si>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</si>
  <si>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</si>
  <si>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</si>
  <si>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</si>
  <si>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</si>
  <si>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</si>
  <si>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</si>
  <si>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</si>
  <si>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</si>
  <si>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</si>
  <si>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</si>
  <si>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</si>
  <si>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</si>
  <si>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</si>
  <si>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</si>
  <si>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</si>
  <si>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</si>
  <si>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</si>
  <si>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</si>
  <si>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</si>
  <si>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</si>
  <si>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</si>
  <si>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</si>
  <si>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</si>
  <si>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</si>
  <si>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</si>
  <si>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</si>
  <si>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</si>
  <si>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</si>
  <si>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</si>
  <si>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</si>
  <si>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</si>
  <si>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</si>
  <si>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</si>
  <si>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</si>
  <si>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</si>
  <si>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</si>
  <si>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</si>
  <si>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</si>
  <si>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</si>
  <si>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</si>
  <si>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</si>
  <si>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</si>
  <si>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</si>
  <si>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</si>
  <si>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</si>
  <si>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</si>
  <si>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</si>
  <si>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</si>
  <si>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</si>
  <si>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</si>
  <si>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</si>
  <si>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</si>
  <si>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</si>
  <si>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</si>
  <si>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</si>
  <si>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</si>
  <si>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</si>
  <si>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</si>
  <si>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</si>
  <si>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</si>
  <si>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</si>
  <si>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</si>
  <si>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</si>
  <si>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</si>
  <si>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</si>
  <si>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</si>
  <si>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</si>
  <si>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</si>
  <si>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</si>
  <si>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</si>
  <si>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</si>
  <si>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</si>
  <si>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</si>
  <si>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</si>
  <si>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</si>
  <si>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</si>
  <si>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</si>
  <si>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</si>
  <si>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</si>
  <si>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</si>
  <si>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</si>
  <si>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</si>
  <si>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</si>
  <si>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</si>
  <si>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</si>
  <si>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</si>
  <si>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</si>
  <si>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</si>
  <si>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</si>
  <si>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</si>
  <si>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</si>
  <si>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</si>
  <si>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</si>
  <si>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</si>
  <si>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</si>
  <si>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</si>
  <si>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</si>
  <si>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</si>
  <si>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</si>
  <si>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</si>
  <si>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</si>
  <si>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</si>
  <si>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</si>
  <si>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</si>
  <si>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</si>
  <si>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</si>
  <si>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</si>
  <si>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</si>
  <si>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</si>
  <si>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</si>
  <si>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</si>
  <si>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</si>
  <si>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</si>
  <si>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</si>
  <si>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</si>
  <si>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</si>
  <si>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</si>
  <si>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</si>
  <si>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</si>
  <si>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</si>
  <si>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</si>
  <si>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</si>
  <si>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</si>
  <si>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</si>
  <si>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</si>
  <si>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</si>
  <si>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</si>
  <si>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</si>
  <si>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</si>
  <si>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</si>
  <si>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</si>
  <si>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</si>
  <si>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</si>
  <si>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</si>
  <si>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</si>
  <si>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</si>
  <si>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</si>
  <si>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</si>
  <si>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</si>
  <si>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</si>
  <si>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</si>
  <si>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</si>
  <si>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</si>
  <si>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</si>
  <si>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</si>
  <si>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</si>
  <si>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</si>
  <si>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</si>
  <si>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</si>
  <si>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</si>
  <si>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</si>
  <si>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</si>
  <si>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</si>
  <si>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</si>
  <si>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</si>
  <si>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</si>
  <si>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</si>
  <si>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</si>
  <si>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</si>
  <si>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</si>
  <si>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</si>
  <si>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</si>
  <si>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</si>
  <si>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</si>
  <si>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</si>
  <si>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</si>
  <si>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</si>
  <si>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</si>
  <si>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</si>
  <si>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</si>
  <si>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</si>
  <si>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</si>
  <si>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</si>
  <si>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</si>
  <si>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</si>
  <si>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</si>
  <si>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</si>
  <si>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</si>
  <si>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</si>
  <si>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</si>
  <si>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</si>
  <si>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</si>
  <si>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</si>
  <si>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</si>
  <si>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</si>
  <si>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</si>
  <si>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</si>
  <si>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</si>
  <si>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</si>
  <si>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</si>
  <si>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</si>
  <si>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</si>
  <si>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</si>
  <si>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</si>
  <si>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</si>
  <si>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</si>
  <si>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</si>
  <si>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</si>
  <si>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</si>
  <si>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</si>
  <si>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</si>
  <si>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</si>
  <si>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</si>
  <si>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</si>
  <si>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</si>
  <si>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</si>
  <si>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</si>
  <si>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</si>
  <si>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</si>
  <si>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</si>
  <si>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</si>
  <si>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</si>
  <si>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</si>
  <si>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</si>
  <si>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</si>
  <si>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</si>
  <si>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</si>
  <si>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</si>
  <si>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</si>
  <si>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</si>
  <si>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</si>
  <si>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</si>
  <si>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</si>
  <si>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</si>
  <si>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</si>
  <si>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</si>
  <si>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</si>
  <si>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</si>
  <si>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</si>
  <si>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</si>
  <si>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</si>
  <si>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</si>
  <si>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</si>
  <si>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</si>
  <si>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</si>
  <si>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</si>
  <si>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</si>
  <si>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</si>
  <si>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</si>
  <si>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</si>
  <si>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</si>
  <si>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</si>
  <si>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</si>
  <si>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</si>
  <si>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</si>
  <si>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</si>
  <si>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</si>
  <si>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</si>
  <si>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</si>
  <si>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</si>
  <si>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</si>
  <si>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</si>
  <si>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</si>
  <si>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</si>
  <si>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</si>
  <si>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</si>
  <si>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</si>
  <si>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</si>
  <si>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</si>
  <si>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</si>
  <si>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</si>
  <si>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</si>
  <si>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</si>
  <si>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</si>
  <si>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</si>
  <si>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</si>
  <si>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</si>
  <si>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</si>
  <si>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</si>
  <si>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</si>
  <si>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</si>
  <si>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</si>
  <si>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</si>
  <si>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</si>
  <si>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</si>
  <si>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</si>
  <si>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</si>
  <si>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</si>
  <si>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</si>
  <si>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</si>
  <si>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</si>
  <si>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</si>
  <si>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</si>
  <si>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</si>
  <si>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</si>
  <si>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</si>
  <si>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</si>
  <si>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</si>
  <si>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</si>
  <si>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</si>
  <si>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</si>
  <si>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</si>
  <si>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</si>
  <si>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</si>
  <si>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</si>
  <si>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</si>
  <si>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</si>
  <si>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</si>
  <si>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</si>
  <si>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</si>
  <si>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</si>
  <si>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</si>
  <si>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</si>
  <si>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</si>
  <si>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</si>
  <si>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</si>
  <si>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</si>
  <si>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</si>
  <si>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</si>
  <si>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</si>
  <si>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</si>
  <si>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</si>
  <si>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</si>
  <si>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</si>
  <si>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</si>
  <si>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</si>
  <si>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</si>
  <si>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</si>
  <si>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</si>
  <si>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</si>
  <si>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</si>
  <si>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</si>
  <si>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</si>
  <si>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</si>
  <si>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</si>
  <si>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</si>
  <si>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</si>
  <si>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</si>
  <si>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</si>
  <si>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</si>
  <si>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</si>
  <si>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</si>
  <si>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</si>
  <si>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</si>
  <si>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</si>
  <si>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</si>
  <si>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</si>
  <si>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</si>
  <si>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</si>
  <si>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</si>
  <si>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</si>
  <si>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</si>
  <si>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</si>
  <si>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</si>
  <si>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</si>
  <si>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</si>
  <si>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</si>
  <si>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</si>
  <si>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</si>
  <si>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</si>
  <si>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</si>
  <si>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</si>
  <si>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</si>
  <si>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</si>
  <si>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</si>
  <si>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</si>
  <si>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</si>
  <si>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</si>
  <si>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</si>
  <si>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</si>
  <si>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</si>
  <si>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</si>
  <si>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</si>
  <si>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</si>
  <si>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</si>
  <si>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</si>
  <si>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</si>
  <si>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</si>
  <si>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</si>
  <si>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</si>
  <si>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</si>
  <si>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</si>
  <si>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</si>
  <si>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</si>
  <si>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</si>
  <si>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</si>
  <si>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</si>
  <si>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</si>
  <si>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</si>
  <si>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</si>
  <si>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</si>
  <si>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</si>
  <si>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</si>
  <si>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</si>
  <si>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</si>
  <si>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</si>
  <si>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</si>
  <si>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</si>
  <si>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</si>
  <si>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</si>
  <si>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</si>
  <si>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</si>
  <si>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</si>
  <si>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</si>
  <si>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</si>
  <si>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</si>
  <si>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</si>
  <si>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</si>
  <si>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</si>
  <si>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</si>
  <si>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</si>
  <si>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</si>
  <si>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</si>
  <si>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</si>
  <si>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</si>
  <si>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</si>
  <si>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</si>
  <si>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</si>
  <si>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</si>
  <si>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</si>
  <si>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</si>
  <si>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</si>
  <si>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</si>
  <si>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</si>
  <si>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</si>
  <si>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</si>
  <si>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</si>
  <si>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</si>
  <si>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</si>
  <si>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</si>
  <si>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</si>
  <si>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</si>
  <si>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</si>
  <si>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</si>
  <si>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</si>
  <si>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</si>
  <si>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</si>
  <si>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</si>
  <si>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</si>
  <si>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</si>
  <si>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</si>
  <si>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</si>
  <si>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</si>
  <si>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</si>
  <si>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</si>
  <si>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</si>
  <si>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</si>
  <si>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</si>
  <si>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</si>
  <si>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</si>
  <si>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</si>
  <si>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</si>
  <si>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</si>
  <si>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</si>
  <si>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</si>
  <si>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</si>
  <si>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</si>
  <si>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</si>
  <si>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</si>
  <si>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</si>
  <si>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</si>
  <si>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</si>
  <si>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</si>
  <si>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</si>
  <si>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</si>
  <si>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</si>
  <si>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</si>
  <si>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</si>
  <si>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</si>
  <si>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</si>
  <si>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</si>
  <si>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</si>
  <si>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</si>
  <si>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</si>
  <si>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</si>
  <si>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</si>
  <si>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</si>
  <si>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</si>
  <si>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</si>
  <si>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</si>
  <si>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</si>
  <si>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</si>
  <si>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</si>
  <si>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</si>
  <si>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</si>
  <si>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</si>
  <si>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</si>
  <si>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</si>
  <si>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</si>
  <si>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</si>
  <si>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</si>
  <si>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</si>
  <si>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</si>
  <si>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</si>
  <si>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</si>
  <si>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</si>
  <si>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</si>
  <si>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</si>
  <si>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</si>
  <si>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</si>
  <si>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</si>
  <si>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</si>
  <si>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</si>
  <si>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</si>
  <si>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</si>
  <si>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</si>
  <si>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</si>
  <si>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</si>
  <si>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</si>
  <si>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</si>
  <si>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</si>
  <si>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</si>
  <si>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</si>
  <si>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</si>
  <si>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</si>
  <si>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</si>
  <si>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</si>
  <si>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</si>
  <si>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</si>
  <si>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</si>
  <si>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</si>
  <si>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</si>
  <si>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</si>
  <si>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</si>
  <si>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</si>
  <si>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</si>
  <si>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</si>
  <si>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</si>
  <si>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</si>
  <si>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</si>
  <si>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</si>
  <si>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</si>
  <si>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</si>
  <si>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</si>
  <si>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</si>
  <si>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</si>
  <si>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</si>
  <si>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</si>
  <si>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</si>
  <si>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</si>
  <si>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</si>
  <si>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</si>
  <si>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</si>
  <si>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</si>
  <si>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</si>
  <si>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</si>
  <si>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</si>
  <si>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</si>
  <si>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</si>
  <si>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</si>
  <si>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</si>
  <si>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</si>
  <si>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</si>
  <si>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</si>
  <si>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</si>
  <si>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</si>
  <si>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</si>
  <si>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</si>
  <si>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</si>
  <si>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</si>
  <si>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</si>
  <si>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</si>
  <si>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</si>
  <si>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</si>
  <si>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</si>
  <si>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</si>
  <si>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</si>
  <si>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</si>
  <si>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</si>
  <si>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</si>
  <si>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</si>
  <si>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</si>
  <si>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</si>
  <si>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</si>
  <si>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</si>
  <si>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</si>
  <si>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</si>
  <si>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</si>
  <si>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</si>
  <si>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</si>
  <si>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</si>
  <si>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</si>
  <si>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</si>
  <si>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</si>
  <si>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</si>
  <si>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</si>
  <si>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</si>
  <si>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</si>
  <si>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</si>
  <si>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</si>
  <si>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</si>
  <si>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</si>
  <si>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</si>
  <si>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</si>
  <si>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</si>
  <si>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</si>
  <si>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</si>
  <si>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</si>
  <si>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</si>
  <si>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</si>
  <si>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</si>
  <si>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</si>
  <si>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</si>
  <si>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</si>
  <si>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</si>
  <si>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</si>
  <si>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</si>
  <si>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</si>
  <si>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</si>
  <si>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</si>
  <si>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</si>
  <si>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</si>
  <si>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</si>
  <si>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</si>
  <si>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</si>
  <si>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</si>
  <si>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</si>
  <si>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</si>
  <si>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</si>
  <si>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</si>
  <si>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</si>
  <si>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</si>
  <si>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</si>
  <si>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</si>
  <si>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</si>
  <si>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</si>
  <si>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</si>
  <si>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</si>
  <si>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</si>
  <si>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</si>
  <si>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</si>
  <si>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</si>
  <si>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</si>
  <si>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</si>
  <si>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</si>
  <si>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</si>
  <si>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</si>
  <si>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</si>
  <si>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</si>
  <si>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</si>
  <si>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</si>
  <si>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</si>
  <si>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</si>
  <si>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</si>
  <si>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</si>
  <si>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</si>
  <si>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</si>
  <si>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</si>
  <si>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</si>
  <si>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</si>
  <si>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</si>
  <si>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</si>
  <si>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</si>
  <si>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</si>
  <si>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</si>
  <si>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</si>
  <si>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</si>
  <si>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</si>
  <si>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</si>
  <si>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</si>
  <si>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</si>
  <si>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</si>
  <si>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</si>
  <si>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</si>
  <si>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</si>
  <si>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</si>
  <si>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</si>
  <si>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</si>
  <si>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</si>
  <si>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</si>
  <si>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</si>
  <si>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</si>
  <si>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</si>
  <si>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</si>
  <si>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</si>
  <si>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</si>
  <si>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</si>
  <si>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</si>
  <si>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</si>
  <si>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</si>
  <si>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</si>
  <si>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</si>
  <si>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</si>
  <si>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</si>
  <si>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</si>
  <si>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</si>
  <si>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</si>
  <si>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</si>
  <si>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</si>
  <si>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</si>
  <si>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</si>
  <si>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</si>
  <si>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</si>
  <si>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</si>
  <si>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</si>
  <si>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</si>
  <si>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</si>
  <si>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</si>
  <si>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</si>
  <si>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</si>
  <si>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</si>
  <si>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</si>
  <si>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</si>
  <si>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</si>
  <si>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</si>
  <si>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</si>
  <si>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</si>
  <si>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</si>
  <si>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</si>
  <si>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</si>
  <si>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</si>
  <si>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</si>
  <si>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</si>
  <si>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</si>
  <si>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</si>
  <si>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</si>
  <si>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</si>
  <si>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</si>
  <si>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</si>
  <si>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</si>
  <si>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</si>
  <si>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</si>
  <si>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</si>
  <si>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</si>
  <si>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</si>
  <si>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</si>
  <si>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</si>
  <si>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</si>
  <si>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</si>
  <si>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</si>
  <si>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</si>
  <si>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</si>
  <si>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</si>
  <si>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</si>
  <si>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</si>
  <si>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</si>
  <si>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</si>
  <si>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</si>
  <si>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</si>
  <si>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</si>
  <si>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</si>
  <si>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</si>
  <si>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</si>
  <si>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</si>
  <si>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</si>
  <si>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</si>
  <si>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</si>
  <si>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</si>
  <si>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</si>
  <si>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</si>
  <si>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</si>
  <si>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</si>
  <si>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</si>
  <si>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</si>
  <si>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</si>
  <si>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</si>
  <si>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</si>
  <si>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</si>
  <si>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</si>
  <si>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</si>
  <si>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</si>
  <si>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</si>
  <si>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</si>
  <si>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</si>
  <si>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</si>
  <si>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</si>
  <si>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</si>
  <si>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</si>
  <si>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</si>
  <si>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</si>
  <si>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</si>
  <si>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</si>
  <si>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</si>
  <si>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</si>
  <si>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</si>
  <si>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</si>
  <si>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</si>
  <si>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</si>
  <si>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</si>
  <si>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</si>
  <si>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</si>
  <si>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</si>
  <si>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</si>
  <si>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</si>
  <si>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</si>
  <si>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</si>
  <si>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</si>
  <si>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</si>
  <si>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</si>
  <si>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</si>
  <si>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</si>
  <si>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</si>
  <si>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</si>
  <si>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</si>
  <si>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</si>
  <si>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</si>
  <si>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</si>
  <si>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</si>
  <si>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</si>
  <si>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</si>
  <si>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</si>
  <si>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</si>
  <si>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</si>
  <si>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</si>
  <si>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</si>
  <si>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</si>
  <si>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</si>
  <si>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</si>
  <si>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</si>
  <si>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</si>
  <si>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</si>
  <si>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</si>
  <si>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</si>
  <si>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</si>
  <si>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</si>
  <si>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</si>
  <si>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</si>
  <si>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</si>
  <si>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</si>
  <si>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</si>
  <si>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</si>
  <si>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</si>
  <si>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</si>
  <si>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</si>
  <si>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</si>
  <si>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</si>
  <si>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</si>
  <si>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</si>
  <si>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</si>
  <si>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</si>
  <si>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</si>
  <si>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</si>
  <si>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</si>
  <si>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</si>
  <si>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</si>
  <si>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</si>
  <si>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</si>
  <si>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</si>
  <si>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</si>
  <si>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</si>
  <si>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</si>
  <si>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</si>
  <si>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</si>
  <si>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</si>
  <si>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</si>
  <si>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</si>
  <si>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</si>
  <si>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</si>
  <si>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</si>
  <si>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</si>
  <si>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</si>
  <si>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</si>
  <si>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</si>
  <si>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</si>
  <si>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</si>
  <si>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</si>
  <si>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</si>
  <si>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</si>
  <si>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</si>
  <si>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</si>
  <si>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</si>
  <si>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</si>
  <si>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</si>
  <si>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</si>
  <si>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</si>
  <si>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</si>
  <si>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</si>
  <si>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</si>
  <si>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</si>
  <si>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</si>
  <si>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</si>
  <si>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</si>
  <si>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</si>
  <si>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</si>
  <si>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</si>
  <si>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</si>
  <si>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</si>
  <si>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</si>
  <si>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</si>
  <si>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</si>
  <si>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</si>
  <si>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</si>
  <si>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</si>
  <si>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</si>
  <si>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</si>
  <si>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</si>
  <si>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</si>
  <si>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</si>
  <si>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</si>
  <si>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</si>
  <si>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</si>
  <si>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</si>
  <si>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</si>
  <si>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</si>
  <si>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</si>
  <si>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</si>
  <si>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</si>
  <si>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</si>
  <si>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</si>
  <si>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</si>
  <si>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</si>
  <si>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</si>
  <si>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</si>
  <si>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</si>
  <si>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</si>
  <si>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</si>
  <si>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</si>
  <si>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</si>
  <si>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</si>
  <si>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</si>
  <si>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</si>
  <si>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</si>
  <si>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</si>
  <si>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</si>
  <si>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</si>
  <si>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</si>
  <si>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</si>
  <si>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</si>
  <si>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</si>
  <si>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</si>
  <si>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</si>
  <si>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</si>
  <si>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</si>
  <si>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</si>
  <si>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</si>
  <si>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</si>
  <si>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</si>
  <si>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</si>
  <si>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</si>
  <si>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</si>
  <si>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</si>
  <si>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</si>
  <si>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</si>
  <si>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</si>
  <si>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</si>
  <si>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</si>
  <si>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</si>
  <si>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</si>
  <si>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</si>
  <si>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</si>
  <si>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</si>
  <si>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</si>
  <si>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</si>
  <si>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</si>
  <si>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</si>
  <si>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</si>
  <si>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</si>
  <si>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</si>
  <si>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</si>
  <si>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</si>
  <si>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</si>
  <si>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</si>
  <si>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</si>
  <si>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</si>
  <si>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</si>
  <si>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</si>
  <si>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</si>
  <si>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</si>
  <si>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</si>
  <si>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</si>
  <si>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</si>
  <si>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</si>
  <si>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</si>
  <si>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</si>
  <si>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</si>
  <si>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</si>
  <si>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</si>
  <si>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</si>
  <si>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</si>
  <si>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</si>
  <si>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</si>
  <si>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</si>
  <si>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</si>
  <si>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</si>
  <si>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</si>
  <si>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</si>
  <si>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</si>
  <si>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</si>
  <si>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</si>
  <si>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</si>
  <si>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</si>
  <si>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</si>
  <si>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</si>
  <si>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</si>
  <si>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</si>
  <si>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</si>
  <si>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</si>
  <si>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</si>
  <si>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</si>
  <si>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</si>
  <si>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</si>
  <si>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</si>
  <si>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</si>
  <si>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</si>
  <si>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</si>
  <si>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</si>
  <si>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</si>
  <si>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</si>
  <si>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</si>
  <si>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</si>
  <si>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</si>
  <si>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</si>
  <si>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</si>
  <si>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</si>
  <si>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</si>
  <si>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</si>
  <si>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</si>
  <si>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</si>
  <si>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</si>
  <si>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</si>
  <si>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</si>
  <si>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</si>
  <si>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</si>
  <si>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</si>
  <si>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</si>
  <si>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</si>
  <si>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</si>
  <si>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</si>
  <si>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</si>
  <si>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</si>
  <si>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</si>
  <si>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</si>
  <si>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</si>
  <si>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</si>
  <si>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</si>
  <si>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</si>
  <si>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</si>
  <si>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</si>
  <si>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</si>
  <si>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</si>
  <si>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</si>
  <si>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</si>
  <si>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</si>
  <si>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</si>
  <si>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</si>
  <si>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</si>
  <si>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</si>
  <si>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</si>
  <si>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</si>
  <si>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</si>
  <si>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</si>
  <si>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</si>
  <si>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</si>
  <si>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</si>
  <si>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</si>
  <si>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</si>
  <si>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</si>
  <si>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</si>
  <si>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</si>
  <si>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</si>
  <si>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</si>
  <si>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</si>
  <si>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</si>
  <si>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</si>
  <si>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</si>
  <si>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</si>
  <si>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</si>
  <si>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</si>
  <si>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</si>
  <si>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</si>
  <si>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</si>
  <si>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</si>
  <si>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</si>
  <si>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</si>
  <si>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</si>
  <si>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</si>
  <si>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</si>
  <si>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</si>
  <si>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</si>
  <si>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</si>
  <si>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</si>
  <si>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</si>
  <si>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</si>
  <si>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</si>
  <si>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</si>
  <si>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</si>
  <si>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</si>
  <si>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</si>
  <si>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</si>
  <si>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</si>
  <si>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</si>
  <si>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</si>
  <si>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</si>
  <si>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</si>
  <si>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</si>
  <si>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</si>
  <si>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</si>
  <si>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</si>
  <si>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</si>
  <si>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</si>
  <si>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</si>
  <si>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</si>
  <si>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</si>
  <si>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</si>
  <si>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</si>
  <si>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</si>
  <si>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</si>
  <si>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</si>
  <si>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</si>
  <si>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</si>
  <si>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</si>
  <si>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</si>
  <si>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</si>
  <si>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</si>
  <si>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</si>
  <si>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</si>
  <si>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</si>
  <si>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</si>
  <si>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</si>
  <si>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</si>
  <si>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</si>
  <si>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</si>
  <si>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</si>
  <si>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</si>
  <si>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</si>
  <si>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</si>
  <si>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</si>
  <si>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</si>
  <si>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</si>
  <si>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</si>
  <si>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</si>
  <si>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</si>
  <si>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</si>
  <si>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</si>
  <si>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</si>
  <si>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</si>
  <si>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</si>
  <si>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</si>
  <si>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</si>
  <si>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</si>
  <si>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</si>
  <si>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</si>
  <si>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</si>
  <si>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</si>
  <si>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</si>
  <si>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</si>
  <si>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</si>
  <si>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</si>
  <si>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</si>
  <si>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</si>
  <si>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</si>
  <si>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</si>
  <si>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</si>
  <si>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</si>
  <si>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</si>
  <si>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</si>
  <si>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</si>
  <si>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</si>
  <si>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</si>
  <si>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</si>
  <si>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</si>
  <si>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</si>
  <si>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</si>
  <si>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</si>
  <si>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</si>
  <si>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</si>
  <si>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</si>
  <si>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</si>
  <si>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</si>
  <si>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</si>
  <si>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</si>
  <si>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</si>
  <si>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</si>
  <si>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</si>
  <si>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</si>
  <si>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</si>
  <si>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</si>
  <si>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</si>
  <si>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</si>
  <si>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</si>
  <si>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</si>
  <si>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</si>
  <si>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</si>
  <si>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</si>
  <si>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</si>
  <si>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</si>
  <si>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</si>
  <si>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</si>
  <si>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</si>
  <si>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</si>
  <si>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</si>
  <si>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</si>
  <si>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</si>
  <si>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</si>
  <si>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</si>
  <si>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</si>
  <si>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</si>
  <si>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</si>
  <si>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</si>
  <si>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</si>
  <si>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</si>
  <si>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</si>
  <si>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</si>
  <si>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</si>
  <si>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</si>
  <si>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</si>
  <si>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</si>
  <si>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</si>
  <si>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</si>
  <si>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</si>
  <si>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</si>
  <si>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</si>
  <si>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</si>
  <si>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</si>
  <si>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</si>
  <si>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</si>
  <si>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</si>
  <si>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</si>
  <si>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</si>
  <si>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</si>
  <si>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</si>
  <si>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</si>
  <si>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</si>
  <si>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</si>
  <si>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</si>
  <si>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</si>
  <si>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</si>
  <si>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</si>
  <si>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</si>
  <si>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</si>
  <si>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</si>
  <si>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</si>
  <si>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</si>
  <si>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</si>
  <si>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</si>
  <si>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</si>
  <si>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</si>
  <si>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</si>
  <si>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</si>
  <si>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</si>
  <si>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</si>
  <si>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</si>
  <si>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</si>
  <si>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</si>
  <si>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</si>
  <si>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</si>
  <si>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</si>
  <si>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</si>
  <si>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</si>
  <si>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</si>
  <si>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</si>
  <si>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</si>
  <si>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</si>
  <si>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</si>
  <si>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</si>
  <si>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</si>
  <si>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</si>
  <si>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</si>
  <si>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</si>
  <si>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</si>
  <si>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</si>
  <si>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</si>
  <si>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</si>
  <si>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</si>
  <si>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</si>
  <si>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</si>
  <si>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</si>
  <si>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</si>
  <si>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</si>
  <si>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</si>
  <si>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</si>
  <si>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</si>
  <si>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</si>
  <si>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</si>
  <si>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</si>
  <si>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</si>
  <si>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</si>
  <si>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</si>
  <si>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</si>
  <si>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</si>
  <si>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</si>
  <si>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</si>
  <si>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</si>
  <si>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</si>
  <si>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</si>
  <si>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</si>
  <si>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</si>
  <si>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</si>
  <si>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</si>
  <si>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</si>
  <si>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</si>
  <si>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</si>
  <si>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</si>
  <si>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</si>
  <si>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</si>
  <si>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</si>
  <si>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</si>
  <si>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</si>
  <si>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</si>
  <si>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</si>
  <si>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</si>
  <si>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</si>
  <si>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</si>
  <si>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</si>
  <si>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</si>
  <si>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</si>
  <si>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</si>
  <si>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</si>
  <si>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</si>
  <si>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</si>
  <si>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</si>
  <si>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</si>
  <si>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</si>
  <si>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</si>
  <si>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</si>
  <si>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</si>
  <si>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</si>
  <si>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</si>
  <si>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</si>
  <si>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</si>
  <si>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</si>
  <si>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</si>
  <si>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</si>
  <si>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</si>
  <si>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</si>
  <si>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</si>
  <si>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</si>
  <si>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</si>
  <si>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</si>
  <si>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</si>
  <si>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</si>
  <si>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</si>
  <si>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</si>
  <si>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</si>
  <si>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</si>
  <si>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</si>
  <si>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</si>
  <si>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</si>
  <si>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</si>
  <si>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</si>
  <si>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</si>
  <si>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</si>
  <si>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</si>
  <si>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</si>
  <si>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</si>
  <si>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</si>
  <si>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</si>
  <si>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</si>
  <si>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</si>
  <si>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</si>
  <si>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</si>
  <si>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</si>
  <si>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</si>
  <si>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</si>
  <si>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</si>
  <si>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</si>
  <si>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</si>
  <si>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</si>
  <si>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</si>
  <si>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</si>
  <si>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</si>
  <si>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</si>
  <si>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</si>
  <si>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</si>
  <si>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</si>
  <si>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</si>
  <si>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</si>
  <si>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</si>
  <si>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</si>
  <si>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</si>
  <si>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</si>
  <si>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</si>
  <si>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</si>
  <si>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</si>
  <si>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</si>
  <si>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</si>
  <si>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</si>
  <si>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</si>
  <si>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</si>
  <si>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</si>
  <si>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</si>
  <si>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</si>
  <si>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</si>
  <si>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</si>
  <si>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</si>
  <si>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</si>
  <si>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</si>
  <si>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</si>
  <si>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</si>
  <si>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</si>
  <si>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</si>
  <si>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</si>
  <si>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</si>
  <si>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</si>
  <si>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</si>
  <si>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</si>
  <si>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</si>
  <si>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</si>
  <si>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</si>
  <si>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</si>
  <si>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</si>
  <si>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</si>
  <si>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</si>
  <si>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</si>
  <si>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</si>
  <si>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</si>
  <si>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</si>
  <si>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</si>
  <si>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</si>
  <si>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</si>
  <si>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</si>
  <si>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</si>
  <si>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</si>
  <si>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</si>
  <si>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</si>
  <si>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</si>
  <si>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</si>
  <si>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</si>
  <si>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</si>
  <si>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</si>
  <si>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</si>
  <si>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</si>
  <si>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</si>
  <si>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</si>
  <si>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</si>
  <si>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</si>
  <si>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</si>
  <si>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</si>
  <si>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</si>
  <si>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</si>
  <si>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</si>
  <si>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</si>
  <si>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</si>
  <si>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</si>
  <si>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</si>
  <si>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</si>
  <si>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</si>
  <si>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</si>
  <si>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</si>
  <si>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</si>
  <si>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</si>
  <si>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</si>
  <si>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</si>
  <si>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</si>
  <si>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</si>
  <si>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</si>
  <si>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</si>
  <si>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</si>
  <si>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</si>
  <si>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</si>
  <si>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</si>
  <si>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</si>
  <si>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</si>
  <si>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</si>
  <si>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</si>
  <si>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</si>
  <si>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</si>
  <si>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</si>
  <si>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</si>
  <si>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</si>
  <si>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</si>
  <si>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</si>
  <si>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</si>
  <si>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</si>
  <si>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</si>
  <si>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</si>
  <si>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</si>
  <si>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</si>
  <si>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</si>
  <si>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</si>
  <si>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</si>
  <si>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</si>
  <si>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</si>
  <si>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</si>
  <si>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</si>
  <si>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</si>
  <si>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</si>
  <si>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</si>
  <si>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</si>
  <si>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</si>
  <si>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</si>
  <si>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</si>
  <si>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</si>
  <si>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</si>
  <si>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</si>
  <si>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</si>
  <si>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</si>
  <si>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</si>
  <si>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</si>
  <si>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</si>
  <si>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</si>
  <si>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</si>
  <si>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</si>
  <si>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</si>
  <si>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</si>
  <si>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</si>
  <si>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</si>
  <si>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</si>
  <si>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</si>
  <si>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</si>
  <si>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</si>
  <si>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</si>
  <si>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</si>
  <si>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</si>
  <si>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</si>
  <si>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</si>
  <si>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</si>
  <si>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</si>
  <si>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</si>
  <si>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</si>
  <si>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</si>
  <si>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</si>
  <si>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</si>
  <si>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</si>
  <si>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</si>
  <si>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</si>
  <si>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</si>
  <si>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</si>
  <si>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</si>
  <si>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</si>
  <si>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</si>
  <si>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</si>
  <si>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</si>
  <si>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</si>
  <si>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</si>
  <si>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</si>
  <si>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</si>
  <si>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</si>
  <si>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</si>
  <si>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</si>
  <si>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</si>
  <si>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</si>
  <si>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</si>
  <si>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</si>
  <si>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</si>
  <si>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</si>
  <si>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</si>
  <si>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</si>
  <si>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</si>
  <si>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</si>
  <si>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</si>
  <si>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</si>
  <si>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</si>
  <si>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</si>
  <si>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</si>
  <si>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</si>
  <si>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</si>
  <si>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</si>
  <si>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</si>
  <si>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</si>
  <si>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</si>
  <si>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</si>
  <si>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</si>
  <si>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</si>
  <si>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</si>
  <si>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</si>
  <si>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</si>
  <si>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</si>
  <si>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</si>
  <si>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</si>
  <si>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</si>
  <si>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</si>
  <si>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</si>
  <si>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</si>
  <si>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</si>
  <si>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</si>
  <si>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</si>
  <si>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</si>
  <si>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</si>
  <si>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</si>
  <si>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</si>
  <si>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</si>
  <si>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</si>
  <si>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</si>
  <si>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</si>
  <si>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</si>
  <si>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</si>
  <si>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</si>
  <si>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</si>
  <si>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</si>
  <si>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</si>
  <si>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</si>
  <si>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</si>
  <si>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</si>
  <si>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</si>
  <si>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</si>
  <si>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</si>
  <si>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</si>
  <si>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</si>
  <si>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</si>
  <si>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</si>
  <si>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</si>
  <si>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</si>
  <si>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</si>
  <si>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</si>
  <si>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</si>
  <si>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</si>
  <si>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</si>
  <si>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</si>
  <si>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</si>
  <si>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</si>
  <si>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</si>
  <si>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</si>
  <si>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</si>
  <si>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</si>
  <si>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</si>
  <si>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</si>
  <si>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</si>
  <si>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</si>
  <si>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</si>
  <si>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</si>
  <si>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</si>
  <si>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</si>
  <si>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</si>
  <si>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</si>
  <si>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</si>
  <si>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</si>
  <si>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</si>
  <si>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</si>
  <si>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</si>
  <si>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</si>
  <si>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</si>
  <si>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</si>
  <si>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</si>
  <si>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</si>
  <si>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</si>
  <si>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</si>
  <si>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</si>
  <si>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</si>
  <si>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</si>
  <si>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</si>
  <si>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</si>
  <si>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</si>
  <si>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</si>
  <si>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</si>
  <si>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</si>
  <si>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</si>
  <si>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</si>
  <si>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</si>
  <si>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</si>
  <si>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</si>
  <si>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</si>
  <si>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</si>
  <si>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</si>
  <si>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</si>
  <si>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</si>
  <si>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</si>
  <si>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</si>
  <si>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</si>
  <si>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</si>
  <si>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</si>
  <si>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</si>
  <si>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</si>
  <si>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</si>
  <si>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</si>
  <si>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</si>
  <si>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</si>
  <si>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</si>
  <si>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</si>
  <si>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</si>
  <si>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</si>
  <si>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</si>
  <si>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</si>
  <si>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</si>
  <si>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</si>
  <si>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</si>
  <si>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</si>
  <si>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</si>
  <si>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</si>
  <si>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</si>
  <si>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</si>
  <si>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</si>
  <si>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</si>
  <si>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</si>
  <si>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</si>
  <si>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</si>
  <si>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</si>
  <si>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</si>
  <si>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</si>
  <si>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</si>
  <si>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</si>
  <si>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</si>
  <si>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</si>
  <si>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</si>
  <si>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</si>
  <si>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</si>
  <si>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</si>
  <si>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</si>
  <si>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</si>
  <si>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</si>
  <si>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</si>
  <si>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</si>
  <si>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</si>
  <si>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</si>
  <si>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</si>
  <si>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</si>
  <si>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</si>
  <si>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</si>
  <si>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</si>
  <si>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</si>
  <si>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</si>
  <si>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</si>
  <si>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</si>
  <si>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</si>
  <si>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</si>
  <si>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</si>
  <si>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</si>
  <si>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</si>
  <si>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</si>
  <si>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</si>
  <si>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</si>
  <si>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</si>
  <si>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</si>
  <si>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</si>
  <si>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</si>
  <si>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</si>
  <si>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</si>
  <si>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</si>
  <si>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</si>
  <si>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</si>
  <si>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</si>
  <si>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</si>
  <si>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</si>
  <si>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</si>
  <si>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</si>
  <si>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</si>
  <si>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</si>
  <si>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</si>
  <si>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</si>
  <si>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</si>
  <si>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</si>
  <si>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</si>
  <si>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</si>
  <si>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</si>
  <si>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</si>
  <si>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</si>
  <si>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</si>
  <si>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</si>
  <si>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</si>
  <si>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</si>
  <si>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</si>
  <si>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</si>
  <si>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</si>
  <si>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</si>
  <si>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</si>
  <si>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</si>
  <si>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</si>
  <si>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</si>
  <si>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</si>
  <si>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</si>
  <si>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</si>
  <si>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</si>
  <si>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</si>
  <si>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</si>
  <si>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</si>
  <si>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</si>
  <si>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</si>
  <si>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</si>
  <si>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</si>
  <si>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</si>
  <si>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</si>
  <si>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</si>
  <si>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</si>
  <si>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</si>
  <si>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</si>
  <si>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</si>
  <si>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</si>
  <si>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</si>
  <si>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</si>
  <si>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</si>
  <si>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</si>
  <si>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</si>
  <si>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</si>
  <si>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</si>
  <si>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</si>
  <si>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</si>
  <si>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</si>
  <si>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</si>
  <si>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</si>
  <si>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</si>
  <si>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</si>
  <si>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</si>
  <si>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</si>
  <si>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</si>
  <si>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</si>
  <si>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</si>
  <si>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</si>
  <si>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</si>
  <si>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</si>
  <si>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</si>
  <si>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</si>
  <si>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</si>
  <si>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</si>
  <si>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</si>
  <si>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</si>
  <si>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</si>
  <si>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</si>
  <si>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</si>
  <si>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</si>
  <si>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</si>
  <si>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</si>
  <si>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</si>
  <si>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</si>
  <si>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</si>
  <si>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</si>
  <si>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</si>
  <si>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</si>
  <si>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</si>
  <si>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</si>
  <si>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</si>
  <si>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</si>
  <si>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</si>
  <si>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</si>
  <si>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</si>
  <si>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</si>
  <si>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</si>
  <si>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</si>
  <si>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</si>
  <si>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</si>
  <si>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</si>
  <si>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</si>
  <si>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</si>
  <si>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</si>
  <si>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</si>
  <si>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</si>
  <si>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</si>
  <si>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</si>
  <si>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</si>
  <si>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</si>
  <si>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</si>
  <si>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</si>
  <si>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</si>
  <si>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</si>
  <si>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</si>
  <si>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</si>
  <si>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</si>
  <si>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</si>
  <si>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</si>
  <si>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</si>
  <si>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</si>
  <si>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</si>
  <si>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</si>
  <si>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</si>
  <si>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</si>
  <si>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</si>
  <si>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</si>
  <si>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</si>
  <si>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</si>
  <si>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</si>
  <si>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</si>
  <si>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</si>
  <si>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</si>
  <si>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</si>
  <si>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</si>
  <si>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</si>
  <si>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</si>
  <si>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</si>
  <si>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</si>
  <si>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</si>
  <si>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</si>
  <si>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</si>
  <si>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</si>
  <si>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</si>
  <si>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</si>
  <si>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</si>
  <si>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</si>
  <si>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</si>
  <si>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</si>
  <si>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</si>
  <si>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</si>
  <si>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</si>
  <si>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</si>
  <si>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</si>
  <si>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</si>
  <si>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</si>
  <si>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</si>
  <si>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</si>
  <si>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</si>
  <si>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</si>
  <si>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</si>
  <si>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</si>
  <si>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</si>
  <si>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</si>
  <si>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</si>
  <si>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</si>
  <si>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</si>
  <si>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</si>
  <si>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</si>
  <si>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</si>
  <si>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</si>
  <si>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</si>
  <si>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</si>
  <si>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</si>
  <si>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</si>
  <si>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</si>
  <si>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</si>
  <si>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</si>
  <si>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</si>
  <si>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</si>
  <si>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</si>
  <si>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</si>
  <si>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</si>
  <si>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</si>
  <si>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</si>
  <si>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</si>
  <si>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</si>
  <si>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</si>
  <si>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</si>
  <si>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</si>
  <si>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</si>
  <si>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</si>
  <si>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</si>
  <si>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</si>
  <si>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</si>
  <si>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</si>
  <si>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</si>
  <si>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</si>
  <si>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</si>
  <si>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</si>
  <si>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</si>
  <si>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</si>
  <si>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</si>
  <si>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</si>
  <si>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</si>
  <si>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</si>
  <si>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</si>
  <si>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</si>
  <si>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</si>
  <si>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</si>
  <si>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</si>
  <si>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</si>
  <si>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</si>
  <si>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</si>
  <si>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</si>
  <si>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</si>
  <si>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</si>
  <si>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</si>
  <si>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</si>
  <si>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</si>
  <si>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</si>
  <si>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</si>
  <si>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</si>
  <si>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</si>
  <si>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</si>
  <si>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</si>
  <si>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</si>
  <si>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</si>
  <si>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</si>
  <si>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</si>
  <si>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</si>
  <si>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</si>
  <si>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</si>
  <si>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</si>
  <si>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</si>
  <si>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</si>
  <si>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</si>
  <si>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</si>
  <si>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</si>
  <si>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</si>
  <si>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</si>
  <si>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</si>
  <si>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</si>
  <si>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</si>
  <si>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</si>
  <si>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</si>
  <si>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</si>
  <si>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</si>
  <si>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</si>
  <si>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</si>
  <si>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</si>
  <si>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</si>
  <si>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</si>
  <si>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</si>
  <si>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</si>
  <si>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</si>
  <si>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</si>
  <si>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</si>
  <si>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</si>
  <si>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</si>
  <si>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</si>
  <si>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</si>
  <si>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</si>
  <si>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</si>
  <si>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</si>
  <si>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</si>
  <si>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</si>
  <si>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</si>
  <si>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</si>
  <si>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</si>
  <si>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</si>
  <si>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</si>
  <si>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</si>
  <si>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</si>
  <si>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</si>
  <si>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</si>
  <si>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</si>
  <si>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</si>
  <si>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</si>
  <si>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</si>
  <si>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</si>
  <si>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</si>
  <si>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</si>
  <si>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</si>
  <si>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</si>
  <si>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</si>
  <si>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</si>
  <si>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</si>
  <si>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</si>
  <si>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</si>
  <si>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</si>
  <si>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</si>
  <si>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</si>
  <si>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</si>
  <si>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</si>
  <si>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</si>
  <si>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</si>
  <si>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</si>
  <si>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</si>
  <si>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</si>
  <si>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</si>
  <si>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</si>
  <si>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</si>
  <si>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</si>
  <si>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</si>
  <si>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</si>
  <si>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</si>
  <si>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</si>
  <si>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</si>
  <si>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</si>
  <si>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</si>
  <si>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</si>
  <si>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</si>
  <si>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</si>
  <si>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</si>
  <si>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</si>
  <si>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</si>
  <si>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</si>
  <si>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</si>
  <si>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</si>
  <si>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</si>
  <si>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</si>
  <si>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</si>
  <si>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</si>
  <si>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</si>
  <si>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</si>
  <si>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</si>
  <si>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</si>
  <si>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</si>
  <si>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</si>
  <si>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</si>
  <si>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</si>
  <si>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</si>
  <si>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</si>
  <si>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</si>
  <si>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</si>
  <si>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</si>
  <si>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</si>
  <si>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</si>
  <si>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</si>
  <si>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</si>
  <si>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</si>
  <si>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</si>
  <si>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</si>
  <si>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</si>
  <si>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</si>
  <si>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</si>
  <si>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</si>
  <si>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</si>
  <si>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</si>
  <si>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</si>
  <si>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</si>
  <si>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</si>
  <si>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</si>
  <si>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</si>
  <si>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</si>
  <si>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</si>
  <si>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</si>
  <si>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</si>
  <si>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</si>
  <si>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</si>
  <si>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</si>
  <si>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</si>
  <si>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</si>
  <si>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</si>
  <si>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</si>
  <si>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</si>
  <si>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</si>
  <si>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</si>
  <si>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</si>
  <si>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</si>
  <si>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</si>
  <si>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</si>
  <si>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</si>
  <si>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</si>
  <si>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</si>
  <si>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</si>
  <si>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</si>
  <si>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</si>
  <si>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</si>
  <si>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</si>
  <si>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</si>
  <si>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</si>
  <si>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</si>
  <si>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</si>
  <si>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</si>
  <si>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</si>
  <si>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</si>
  <si>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</si>
  <si>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</si>
  <si>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</si>
  <si>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</si>
  <si>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</si>
  <si>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</si>
  <si>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</si>
  <si>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</si>
  <si>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</si>
  <si>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</si>
  <si>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</si>
  <si>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</si>
  <si>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</si>
  <si>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</si>
  <si>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</si>
  <si>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</si>
  <si>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</si>
  <si>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</si>
  <si>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</si>
  <si>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</si>
  <si>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</si>
  <si>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</si>
  <si>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</si>
  <si>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</si>
  <si>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</si>
  <si>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</si>
  <si>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</si>
  <si>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</si>
  <si>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</si>
  <si>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</si>
  <si>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</si>
  <si>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</si>
  <si>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</si>
  <si>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</si>
  <si>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</si>
  <si>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</si>
  <si>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</si>
  <si>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</si>
  <si>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</si>
  <si>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</si>
  <si>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</si>
  <si>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</si>
  <si>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</si>
  <si>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</si>
  <si>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</si>
  <si>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</si>
  <si>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</si>
  <si>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</si>
  <si>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</si>
  <si>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</si>
  <si>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</si>
  <si>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</si>
  <si>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</si>
  <si>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</si>
  <si>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</si>
  <si>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</si>
  <si>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</si>
  <si>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</si>
  <si>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</si>
  <si>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</si>
  <si>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</si>
  <si>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</si>
  <si>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</si>
  <si>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</si>
  <si>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</si>
  <si>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</si>
  <si>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</si>
  <si>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</si>
  <si>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</si>
  <si>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</si>
  <si>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</si>
  <si>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</si>
  <si>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</si>
  <si>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</si>
  <si>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</si>
  <si>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</si>
  <si>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</si>
  <si>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</si>
  <si>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</si>
  <si>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</si>
  <si>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</si>
  <si>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</si>
  <si>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</si>
  <si>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</si>
  <si>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</si>
  <si>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</si>
  <si>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</si>
  <si>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</si>
  <si>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</si>
  <si>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</si>
  <si>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</si>
  <si>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</si>
  <si>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</si>
  <si>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</si>
  <si>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</si>
  <si>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</si>
  <si>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</si>
  <si>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</si>
  <si>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</si>
  <si>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</si>
  <si>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</si>
  <si>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</si>
  <si>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</si>
  <si>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</si>
  <si>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</si>
  <si>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</si>
  <si>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</si>
  <si>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</si>
  <si>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</si>
  <si>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</si>
  <si>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</si>
  <si>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</si>
  <si>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</si>
  <si>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</si>
  <si>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</si>
  <si>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</si>
  <si>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</si>
  <si>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</si>
  <si>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</si>
  <si>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</si>
  <si>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</si>
  <si>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</si>
  <si>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</si>
  <si>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</si>
  <si>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</si>
  <si>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</si>
  <si>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</si>
  <si>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</si>
  <si>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</si>
  <si>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</si>
  <si>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</si>
  <si>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</si>
  <si>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</si>
  <si>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</si>
  <si>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</si>
  <si>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</si>
  <si>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</si>
  <si>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</si>
  <si>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</si>
  <si>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</si>
  <si>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</si>
  <si>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</si>
  <si>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</si>
  <si>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</si>
  <si>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</si>
  <si>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</si>
  <si>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</si>
  <si>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</si>
  <si>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</si>
  <si>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</si>
  <si>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</si>
  <si>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</si>
  <si>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</si>
  <si>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</si>
  <si>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</si>
  <si>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</si>
  <si>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</si>
  <si>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</si>
  <si>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</si>
  <si>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</si>
  <si>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</si>
  <si>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</si>
  <si>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</si>
  <si>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</si>
  <si>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</si>
  <si>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</si>
  <si>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</si>
  <si>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</si>
  <si>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</si>
  <si>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</si>
  <si>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</si>
  <si>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</si>
  <si>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</si>
  <si>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</si>
  <si>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</si>
  <si>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</si>
  <si>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</si>
  <si>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</si>
  <si>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</si>
  <si>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</si>
  <si>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</si>
  <si>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</si>
  <si>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</si>
  <si>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</si>
  <si>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</si>
  <si>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</si>
  <si>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</si>
  <si>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</si>
  <si>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</si>
  <si>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</si>
  <si>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</si>
  <si>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</si>
  <si>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</si>
  <si>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</si>
  <si>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</si>
  <si>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</si>
  <si>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</si>
  <si>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</si>
  <si>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</si>
  <si>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</si>
  <si>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</si>
  <si>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</si>
  <si>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</si>
  <si>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</si>
  <si>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</si>
  <si>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</si>
  <si>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</si>
  <si>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</si>
  <si>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</si>
  <si>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</si>
  <si>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</si>
  <si>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</si>
  <si>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</si>
  <si>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</si>
  <si>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</si>
  <si>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</si>
  <si>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</si>
  <si>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</si>
  <si>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</si>
  <si>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</si>
  <si>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</si>
  <si>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</si>
  <si>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</si>
  <si>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</si>
  <si>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</si>
  <si>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</si>
  <si>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</si>
  <si>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</si>
  <si>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</si>
  <si>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</si>
  <si>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</si>
  <si>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</si>
  <si>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</si>
  <si>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</si>
  <si>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</si>
  <si>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</si>
  <si>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</si>
  <si>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</si>
  <si>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</si>
  <si>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</si>
  <si>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</si>
  <si>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</si>
  <si>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</si>
  <si>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</si>
  <si>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</si>
  <si>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</si>
  <si>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</si>
  <si>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</si>
  <si>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</si>
  <si>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</si>
  <si>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</si>
  <si>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</si>
  <si>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</si>
  <si>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</si>
  <si>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</si>
  <si>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</si>
  <si>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</si>
  <si>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</si>
  <si>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</si>
  <si>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</si>
  <si>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</si>
  <si>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</si>
  <si>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</si>
  <si>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</si>
  <si>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</si>
  <si>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</si>
  <si>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</si>
  <si>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</si>
  <si>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</si>
  <si>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</si>
  <si>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</si>
  <si>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</si>
  <si>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</si>
  <si>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</si>
  <si>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</si>
  <si>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</si>
  <si>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</si>
  <si>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</si>
  <si>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</si>
  <si>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</si>
  <si>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</si>
  <si>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</si>
  <si>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</si>
  <si>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</si>
  <si>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</si>
  <si>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</si>
  <si>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</si>
  <si>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</si>
  <si>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</si>
  <si>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</si>
  <si>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</si>
  <si>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</si>
  <si>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</si>
  <si>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</si>
  <si>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</si>
  <si>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</si>
  <si>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</si>
  <si>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</si>
  <si>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</si>
  <si>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</si>
  <si>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</si>
  <si>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</si>
  <si>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</si>
  <si>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</si>
  <si>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</si>
  <si>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</si>
  <si>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</si>
  <si>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</si>
  <si>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</si>
  <si>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</si>
  <si>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</si>
  <si>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</si>
  <si>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</si>
  <si>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</si>
  <si>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</si>
  <si>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</si>
  <si>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</si>
  <si>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</si>
  <si>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</si>
  <si>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</si>
  <si>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</si>
  <si>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</si>
  <si>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</si>
  <si>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</si>
  <si>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</si>
  <si>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</si>
  <si>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</si>
  <si>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</si>
  <si>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</si>
  <si>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</si>
  <si>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</si>
  <si>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</si>
  <si>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</si>
  <si>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</si>
  <si>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</si>
  <si>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</si>
  <si>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</si>
  <si>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</si>
  <si>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</si>
  <si>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</si>
  <si>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</si>
  <si>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</si>
  <si>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</si>
  <si>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</si>
  <si>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</si>
  <si>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</si>
  <si>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</si>
  <si>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</si>
  <si>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</si>
  <si>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</si>
  <si>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</si>
  <si>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</si>
  <si>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</si>
  <si>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</si>
  <si>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</si>
  <si>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</si>
  <si>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</si>
  <si>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</si>
  <si>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</si>
  <si>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</si>
  <si>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</si>
  <si>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</si>
  <si>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</si>
  <si>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</si>
  <si>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</si>
  <si>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</si>
  <si>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</si>
  <si>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</si>
  <si>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</si>
  <si>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</si>
  <si>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</si>
  <si>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</si>
  <si>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</si>
  <si>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</si>
  <si>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</si>
  <si>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</si>
  <si>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</si>
  <si>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</si>
  <si>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</si>
  <si>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</si>
  <si>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</si>
  <si>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</si>
  <si>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</si>
  <si>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</si>
  <si>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</si>
  <si>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</si>
  <si>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</si>
  <si>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</si>
  <si>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</si>
  <si>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</si>
  <si>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</si>
  <si>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</si>
  <si>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</si>
  <si>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</si>
  <si>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</si>
  <si>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</si>
  <si>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</si>
  <si>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</si>
  <si>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</si>
  <si>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</si>
  <si>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</si>
  <si>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</si>
  <si>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</si>
  <si>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</si>
  <si>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</si>
  <si>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</si>
  <si>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</si>
  <si>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</si>
  <si>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</si>
  <si>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</si>
  <si>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</si>
  <si>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</si>
  <si>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</si>
  <si>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</si>
  <si>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</si>
  <si>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</si>
  <si>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</si>
  <si>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</si>
  <si>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</si>
  <si>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</si>
  <si>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</si>
  <si>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</si>
  <si>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</si>
  <si>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</si>
  <si>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</si>
  <si>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</si>
  <si>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</si>
  <si>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</si>
  <si>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</si>
  <si>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</si>
  <si>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</si>
  <si>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</si>
  <si>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</si>
  <si>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</si>
  <si>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</si>
  <si>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</si>
  <si>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</si>
  <si>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</si>
  <si>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</si>
  <si>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</si>
  <si>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</si>
  <si>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</si>
  <si>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</si>
  <si>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</si>
  <si>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</si>
  <si>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</si>
  <si>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</si>
  <si>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</si>
  <si>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</si>
  <si>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</si>
  <si>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</si>
  <si>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</si>
  <si>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</si>
  <si>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</si>
  <si>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</si>
  <si>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</si>
  <si>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</si>
  <si>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</si>
  <si>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</si>
  <si>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</si>
  <si>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</si>
  <si>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</si>
  <si>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</si>
  <si>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</si>
  <si>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</si>
  <si>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</si>
  <si>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</si>
  <si>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</si>
  <si>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</si>
  <si>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</si>
  <si>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</si>
  <si>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</si>
  <si>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</si>
  <si>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</si>
  <si>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</si>
  <si>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</si>
  <si>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</si>
  <si>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</si>
  <si>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</si>
  <si>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</si>
  <si>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</si>
  <si>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</si>
  <si>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</si>
  <si>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</si>
  <si>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</si>
  <si>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</si>
  <si>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</si>
  <si>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</si>
  <si>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</si>
  <si>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</si>
  <si>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</si>
  <si>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</si>
  <si>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</si>
  <si>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</si>
  <si>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</si>
  <si>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</si>
  <si>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</si>
  <si>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</si>
  <si>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</si>
  <si>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</si>
  <si>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</si>
  <si>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</si>
  <si>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</si>
  <si>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</si>
  <si>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</si>
  <si>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</si>
  <si>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</si>
  <si>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</si>
  <si>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</si>
  <si>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</si>
  <si>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</si>
  <si>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</si>
  <si>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</si>
  <si>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</si>
  <si>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</si>
  <si>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</si>
  <si>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</si>
  <si>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</si>
  <si>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</si>
  <si>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</si>
  <si>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</si>
  <si>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</si>
  <si>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</si>
  <si>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</si>
  <si>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</si>
  <si>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</si>
  <si>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</si>
  <si>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</si>
  <si>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</si>
  <si>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</si>
  <si>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</si>
  <si>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</si>
  <si>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</si>
  <si>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</si>
  <si>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</si>
  <si>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</si>
  <si>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</si>
  <si>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</si>
  <si>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</si>
  <si>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</si>
  <si>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</si>
  <si>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</si>
  <si>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</si>
  <si>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</si>
  <si>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</si>
  <si>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</si>
  <si>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</si>
  <si>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</si>
  <si>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</si>
  <si>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</si>
  <si>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</si>
  <si>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</si>
  <si>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</si>
  <si>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</si>
  <si>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</si>
  <si>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</si>
  <si>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</si>
  <si>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</si>
  <si>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</si>
  <si>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</si>
  <si>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</si>
  <si>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</si>
  <si>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</si>
  <si>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</si>
  <si>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</si>
  <si>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</si>
  <si>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</si>
  <si>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</si>
  <si>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</si>
  <si>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</si>
  <si>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</si>
  <si>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</si>
  <si>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</si>
  <si>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</si>
  <si>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</si>
  <si>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</si>
  <si>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</si>
  <si>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</si>
  <si>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</si>
  <si>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</si>
  <si>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</si>
  <si>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</si>
  <si>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</si>
  <si>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</si>
  <si>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</si>
  <si>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</si>
  <si>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</si>
  <si>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</si>
  <si>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</si>
  <si>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</si>
  <si>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</si>
  <si>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</si>
  <si>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</si>
  <si>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</si>
  <si>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</si>
  <si>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</si>
  <si>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</si>
  <si>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</si>
  <si>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</si>
  <si>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</si>
  <si>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</si>
  <si>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</si>
  <si>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</si>
  <si>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</si>
  <si>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</si>
  <si>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</si>
  <si>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</si>
  <si>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</si>
  <si>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</si>
  <si>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</si>
  <si>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</si>
  <si>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</si>
  <si>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</si>
  <si>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</si>
  <si>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</si>
  <si>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</si>
  <si>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</si>
  <si>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</si>
  <si>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</si>
  <si>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</si>
  <si>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</si>
  <si>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</si>
  <si>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</si>
  <si>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</si>
  <si>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</si>
  <si>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</si>
  <si>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</si>
  <si>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</si>
  <si>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</si>
  <si>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</si>
  <si>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</si>
  <si>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</si>
  <si>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</si>
  <si>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</si>
  <si>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</si>
  <si>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</si>
  <si>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</si>
  <si>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</si>
  <si>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</si>
  <si>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</si>
  <si>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</si>
  <si>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</si>
  <si>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</si>
  <si>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</si>
  <si>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</si>
  <si>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</si>
  <si>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</si>
  <si>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</si>
  <si>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</si>
  <si>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</si>
  <si>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</si>
  <si>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</si>
  <si>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</si>
  <si>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</si>
  <si>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</si>
  <si>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</si>
  <si>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</si>
  <si>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</si>
  <si>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</si>
  <si>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</si>
  <si>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</si>
  <si>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</si>
  <si>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</si>
  <si>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</si>
  <si>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</si>
  <si>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</si>
  <si>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</si>
  <si>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</si>
  <si>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</si>
  <si>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</si>
  <si>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</si>
  <si>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</si>
  <si>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</si>
  <si>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</si>
  <si>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</si>
  <si>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</si>
  <si>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</si>
  <si>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</si>
  <si>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</si>
  <si>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</si>
  <si>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</si>
  <si>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</si>
  <si>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</si>
  <si>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</si>
  <si>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</si>
  <si>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</si>
  <si>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</si>
  <si>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</si>
  <si>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</si>
  <si>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</si>
  <si>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</si>
  <si>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</si>
  <si>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</si>
  <si>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</si>
  <si>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</si>
  <si>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</si>
  <si>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</si>
  <si>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</si>
  <si>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</si>
  <si>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</si>
  <si>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</si>
  <si>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</si>
  <si>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</si>
  <si>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</si>
  <si>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</si>
  <si>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</si>
  <si>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</si>
  <si>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</si>
  <si>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</si>
  <si>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</si>
  <si>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</si>
  <si>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</si>
  <si>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</si>
  <si>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</si>
  <si>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</si>
  <si>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</si>
  <si>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</si>
  <si>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</si>
  <si>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</si>
  <si>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</si>
  <si>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</si>
  <si>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</si>
  <si>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</si>
  <si>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</si>
  <si>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</si>
  <si>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</si>
  <si>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</si>
  <si>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</si>
  <si>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</si>
  <si>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</si>
  <si>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</si>
  <si>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</si>
  <si>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</si>
  <si>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</si>
  <si>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</si>
  <si>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</si>
  <si>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</si>
  <si>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</si>
  <si>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</si>
  <si>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</si>
  <si>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</si>
  <si>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</si>
  <si>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</si>
  <si>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</si>
  <si>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</si>
  <si>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</si>
  <si>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</si>
  <si>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</si>
  <si>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</si>
  <si>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</si>
  <si>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</si>
  <si>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</si>
  <si>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</si>
  <si>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</si>
  <si>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</si>
  <si>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</si>
  <si>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</si>
  <si>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</si>
  <si>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</si>
  <si>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</si>
  <si>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</si>
  <si>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</si>
  <si>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</si>
  <si>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</si>
  <si>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</si>
  <si>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</si>
  <si>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</si>
  <si>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</si>
  <si>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</si>
  <si>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</si>
  <si>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</si>
  <si>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</si>
  <si>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</si>
  <si>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</si>
  <si>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</si>
  <si>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</si>
  <si>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</si>
  <si>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</si>
  <si>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</si>
  <si>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</si>
  <si>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</si>
  <si>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</si>
  <si>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</si>
  <si>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</si>
  <si>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</si>
  <si>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</si>
  <si>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</si>
  <si>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</si>
  <si>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</si>
  <si>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</si>
  <si>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</si>
  <si>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</si>
  <si>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</si>
  <si>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</si>
  <si>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</si>
  <si>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</si>
  <si>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</si>
  <si>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</si>
  <si>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</si>
  <si>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</si>
  <si>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</si>
  <si>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</si>
  <si>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</si>
  <si>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</si>
  <si>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</si>
  <si>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</si>
  <si>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</si>
  <si>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</si>
  <si>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</si>
  <si>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</si>
  <si>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</si>
  <si>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</si>
  <si>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</si>
  <si>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</si>
  <si>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</si>
  <si>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</si>
  <si>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</si>
  <si>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</si>
  <si>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</si>
  <si>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</si>
  <si>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</si>
  <si>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</si>
  <si>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</si>
  <si>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</si>
  <si>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</si>
  <si>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</si>
  <si>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</si>
  <si>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</si>
  <si>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</si>
  <si>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</si>
  <si>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</si>
  <si>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</si>
  <si>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</si>
  <si>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</si>
  <si>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</si>
  <si>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</si>
  <si>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</si>
  <si>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</si>
  <si>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</si>
  <si>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</si>
  <si>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</si>
  <si>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</si>
  <si>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</si>
  <si>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</si>
  <si>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</si>
  <si>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</si>
  <si>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</si>
  <si>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</si>
  <si>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</si>
  <si>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</si>
  <si>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</si>
  <si>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</si>
  <si>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</si>
  <si>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</si>
  <si>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</si>
  <si>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</si>
  <si>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</si>
  <si>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</si>
  <si>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</si>
  <si>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</si>
  <si>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</si>
  <si>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</si>
  <si>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</si>
  <si>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</si>
  <si>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</si>
  <si>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</si>
  <si>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</si>
  <si>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</si>
  <si>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</si>
  <si>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</si>
  <si>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</si>
  <si>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</si>
  <si>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</si>
  <si>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</si>
  <si>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</si>
  <si>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</si>
  <si>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</si>
  <si>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</si>
  <si>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</si>
  <si>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</si>
  <si>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</si>
  <si>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</si>
  <si>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</si>
  <si>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</si>
  <si>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</si>
  <si>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</si>
  <si>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</si>
  <si>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</si>
  <si>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</si>
  <si>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</si>
  <si>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</si>
  <si>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</si>
  <si>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</si>
  <si>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</si>
  <si>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</si>
  <si>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</si>
  <si>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</si>
  <si>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</si>
  <si>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</si>
  <si>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</si>
  <si>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</si>
  <si>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</si>
  <si>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</si>
  <si>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</si>
  <si>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</si>
  <si>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</si>
  <si>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</si>
  <si>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</si>
  <si>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</si>
  <si>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</si>
  <si>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</si>
  <si>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</si>
  <si>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</si>
  <si>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</si>
  <si>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</si>
  <si>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</si>
  <si>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</si>
  <si>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</si>
  <si>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</si>
  <si>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</si>
  <si>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</si>
  <si>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</si>
  <si>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</si>
  <si>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</si>
  <si>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</si>
  <si>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</si>
  <si>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</si>
  <si>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</si>
  <si>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</si>
  <si>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</si>
  <si>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</si>
  <si>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</si>
  <si>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</si>
  <si>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</si>
  <si>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</si>
  <si>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</si>
  <si>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</si>
  <si>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</si>
  <si>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</si>
  <si>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</si>
  <si>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</si>
  <si>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</si>
  <si>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</si>
  <si>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</si>
  <si>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</si>
  <si>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</si>
  <si>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</si>
  <si>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</si>
  <si>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</si>
  <si>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</si>
  <si>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</si>
  <si>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</si>
  <si>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</si>
  <si>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</si>
  <si>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</si>
  <si>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</si>
  <si>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</si>
  <si>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</si>
  <si>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</si>
  <si>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</si>
  <si>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</si>
  <si>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</si>
  <si>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</si>
  <si>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</si>
  <si>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</si>
  <si>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</si>
  <si>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</si>
  <si>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</si>
  <si>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</si>
  <si>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</si>
  <si>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</si>
  <si>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</si>
  <si>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</si>
  <si>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</si>
  <si>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</si>
  <si>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</si>
  <si>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</si>
  <si>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</si>
  <si>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</si>
  <si>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</si>
  <si>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</si>
  <si>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</si>
  <si>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</si>
  <si>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</si>
  <si>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</si>
  <si>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</si>
  <si>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</si>
  <si>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</si>
  <si>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</si>
  <si>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</si>
  <si>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</si>
  <si>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</si>
  <si>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</si>
  <si>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</si>
  <si>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</si>
  <si>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</si>
  <si>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</si>
  <si>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</si>
  <si>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</si>
  <si>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</si>
  <si>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</si>
  <si>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</si>
  <si>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</si>
  <si>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</si>
  <si>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</si>
  <si>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</si>
  <si>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</si>
  <si>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</si>
  <si>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</si>
  <si>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</si>
  <si>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</si>
  <si>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</si>
  <si>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</si>
  <si>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</si>
  <si>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</si>
  <si>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</si>
  <si>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</si>
  <si>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</si>
  <si>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</si>
  <si>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</si>
  <si>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</si>
  <si>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</si>
  <si>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</si>
  <si>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</si>
  <si>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</si>
  <si>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</si>
  <si>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</si>
  <si>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</si>
  <si>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</si>
  <si>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</si>
  <si>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</si>
  <si>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</si>
  <si>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</si>
  <si>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</si>
  <si>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</si>
  <si>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</si>
  <si>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</si>
  <si>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</si>
  <si>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</si>
  <si>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</si>
  <si>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</si>
  <si>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</si>
  <si>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</si>
  <si>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</si>
  <si>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</si>
  <si>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</si>
  <si>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</si>
  <si>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</si>
  <si>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</si>
  <si>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</si>
  <si>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</si>
  <si>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</si>
  <si>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</si>
  <si>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</si>
  <si>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</si>
  <si>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</si>
  <si>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</si>
  <si>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</si>
  <si>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</si>
  <si>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</si>
  <si>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</si>
  <si>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</si>
  <si>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</si>
  <si>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</si>
  <si>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</si>
  <si>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</si>
  <si>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</si>
  <si>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</si>
  <si>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</si>
  <si>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</si>
  <si>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</si>
  <si>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</si>
  <si>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</si>
  <si>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</si>
  <si>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</si>
  <si>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</si>
  <si>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</si>
  <si>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</si>
  <si>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</si>
  <si>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</si>
  <si>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</si>
  <si>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</si>
  <si>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</si>
  <si>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</si>
  <si>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</si>
  <si>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</si>
  <si>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</si>
  <si>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</si>
  <si>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</si>
  <si>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</si>
  <si>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</si>
  <si>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</si>
  <si>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</si>
  <si>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</si>
  <si>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</si>
  <si>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</si>
  <si>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</si>
  <si>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</si>
  <si>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</si>
  <si>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</si>
  <si>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</si>
  <si>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</si>
  <si>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</si>
  <si>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</si>
  <si>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</si>
  <si>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</si>
  <si>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</si>
  <si>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</si>
  <si>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</si>
  <si>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</si>
  <si>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</si>
  <si>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</si>
  <si>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</si>
  <si>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</si>
  <si>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</si>
  <si>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</si>
  <si>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</si>
  <si>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</si>
  <si>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</si>
  <si>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</si>
  <si>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</si>
  <si>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</si>
  <si>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</si>
  <si>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</si>
  <si>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</si>
  <si>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</si>
  <si>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</si>
  <si>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</si>
  <si>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</si>
  <si>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</si>
  <si>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</si>
  <si>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</si>
  <si>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</si>
  <si>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</si>
  <si>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</si>
  <si>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</si>
  <si>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</si>
  <si>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</si>
  <si>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</si>
  <si>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</si>
  <si>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</si>
  <si>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</si>
  <si>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</si>
  <si>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</si>
  <si>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</si>
  <si>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</si>
  <si>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</si>
  <si>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</si>
  <si>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</si>
  <si>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</si>
  <si>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</si>
  <si>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</si>
  <si>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</si>
  <si>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</si>
  <si>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</si>
  <si>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</si>
  <si>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</si>
  <si>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</si>
  <si>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</si>
  <si>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</si>
  <si>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</si>
  <si>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</si>
  <si>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</si>
  <si>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</si>
  <si>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</si>
  <si>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</si>
  <si>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</si>
  <si>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</si>
  <si>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</si>
  <si>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</si>
  <si>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</si>
  <si>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</si>
  <si>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</si>
  <si>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</si>
  <si>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</si>
  <si>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</si>
  <si>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</si>
  <si>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</si>
  <si>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</si>
  <si>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</si>
  <si>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</si>
  <si>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</si>
  <si>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</si>
  <si>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</si>
  <si>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</si>
  <si>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</si>
  <si>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</si>
  <si>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</si>
  <si>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</si>
  <si>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</si>
  <si>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</si>
  <si>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</si>
  <si>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</si>
  <si>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</si>
  <si>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</si>
  <si>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</si>
  <si>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</si>
  <si>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</si>
  <si>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</si>
  <si>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</si>
  <si>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</si>
  <si>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</si>
  <si>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</si>
  <si>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</si>
  <si>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</si>
  <si>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</si>
  <si>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</si>
  <si>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</si>
  <si>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</si>
  <si>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</si>
  <si>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</si>
  <si>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</si>
  <si>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</si>
  <si>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</si>
  <si>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</si>
  <si>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</si>
  <si>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</si>
  <si>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</si>
  <si>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</si>
  <si>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</si>
  <si>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</si>
  <si>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</si>
  <si>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</si>
  <si>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</si>
  <si>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</si>
  <si>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</si>
  <si>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</si>
  <si>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</si>
  <si>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</si>
  <si>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</si>
  <si>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</si>
  <si>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</si>
  <si>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</si>
  <si>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</si>
  <si>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</si>
  <si>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</si>
  <si>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</si>
  <si>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</si>
  <si>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</si>
  <si>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</si>
  <si>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</si>
  <si>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</si>
  <si>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</si>
  <si>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</si>
  <si>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</si>
  <si>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</si>
  <si>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</si>
  <si>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</si>
  <si>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</si>
  <si>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</si>
  <si>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</si>
  <si>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</si>
  <si>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</si>
  <si>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</si>
  <si>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</si>
  <si>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</si>
  <si>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</si>
  <si>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</si>
  <si>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</si>
  <si>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</si>
  <si>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</si>
  <si>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</si>
  <si>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</si>
  <si>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</si>
  <si>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</si>
  <si>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</si>
  <si>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</si>
  <si>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</si>
  <si>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</si>
  <si>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</si>
  <si>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</si>
  <si>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</si>
  <si>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</si>
  <si>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</si>
  <si>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</si>
  <si>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</si>
  <si>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</si>
  <si>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</si>
  <si>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</si>
  <si>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</si>
  <si>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</si>
  <si>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</si>
  <si>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</si>
  <si>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</si>
  <si>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</si>
  <si>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</si>
  <si>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</si>
  <si>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</si>
  <si>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</si>
  <si>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</si>
  <si>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</si>
  <si>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</si>
  <si>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</si>
  <si>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</si>
  <si>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</si>
  <si>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</si>
  <si>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</si>
  <si>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</si>
  <si>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</si>
  <si>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</si>
  <si>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</si>
  <si>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</si>
  <si>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</si>
  <si>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</si>
  <si>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</si>
  <si>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</si>
  <si>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</si>
  <si>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</si>
  <si>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</si>
  <si>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</si>
  <si>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</si>
  <si>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</si>
  <si>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</si>
  <si>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</si>
  <si>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</si>
  <si>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</si>
  <si>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</si>
  <si>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</si>
  <si>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</si>
  <si>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</si>
  <si>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</si>
  <si>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</si>
  <si>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</si>
  <si>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</si>
  <si>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</si>
  <si>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</si>
  <si>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</si>
  <si>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</si>
  <si>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</si>
  <si>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</si>
  <si>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</si>
  <si>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</si>
  <si>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</si>
  <si>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</si>
  <si>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</si>
  <si>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</si>
  <si>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</si>
  <si>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</si>
  <si>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</si>
  <si>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</si>
  <si>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</si>
  <si>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</si>
  <si>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</si>
  <si>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</si>
  <si>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</si>
  <si>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</si>
  <si>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</si>
  <si>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</si>
  <si>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</si>
  <si>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</si>
  <si>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</si>
  <si>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</si>
  <si>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</si>
  <si>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</si>
  <si>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</si>
  <si>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</si>
  <si>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</si>
  <si>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</si>
  <si>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</si>
  <si>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</si>
  <si>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</si>
  <si>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</si>
  <si>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</si>
  <si>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</si>
  <si>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</si>
  <si>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</si>
  <si>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</si>
  <si>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</si>
  <si>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</si>
  <si>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</si>
  <si>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</si>
  <si>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</si>
  <si>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</si>
  <si>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</si>
  <si>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</si>
  <si>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</si>
  <si>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</si>
  <si>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</si>
  <si>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</si>
  <si>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</si>
  <si>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</si>
  <si>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</si>
  <si>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</si>
  <si>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</si>
  <si>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</si>
  <si>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</si>
  <si>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</si>
  <si>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</si>
  <si>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</si>
  <si>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</si>
  <si>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</si>
  <si>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</si>
  <si>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</si>
  <si>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</si>
  <si>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</si>
  <si>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</si>
  <si>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</si>
  <si>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</si>
  <si>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</si>
  <si>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</si>
  <si>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</si>
  <si>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</si>
  <si>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</si>
  <si>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</si>
  <si>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</si>
  <si>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</si>
  <si>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</si>
  <si>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</si>
  <si>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</si>
  <si>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</si>
  <si>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</si>
  <si>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</si>
  <si>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</si>
  <si>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</si>
  <si>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</si>
  <si>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</si>
  <si>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</si>
  <si>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</si>
  <si>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</si>
  <si>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</si>
  <si>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</si>
  <si>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</si>
  <si>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</si>
  <si>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</si>
  <si>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</si>
  <si>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</si>
  <si>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</si>
  <si>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</si>
  <si>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</si>
  <si>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</si>
  <si>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</si>
  <si>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</si>
  <si>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</si>
  <si>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</si>
  <si>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</si>
  <si>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</si>
  <si>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</si>
  <si>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</si>
  <si>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</si>
  <si>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</si>
  <si>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</si>
  <si>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</si>
  <si>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</si>
  <si>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</si>
  <si>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</si>
  <si>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</si>
  <si>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</si>
  <si>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</si>
  <si>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</si>
  <si>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</si>
  <si>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</si>
  <si>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</si>
  <si>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</si>
  <si>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</si>
  <si>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</si>
  <si>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</si>
  <si>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</si>
  <si>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</si>
  <si>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</si>
  <si>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</si>
  <si>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</si>
  <si>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</si>
  <si>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</si>
  <si>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</si>
  <si>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</si>
  <si>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</si>
  <si>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</si>
  <si>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</si>
  <si>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</si>
  <si>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</si>
  <si>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</si>
  <si>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</si>
  <si>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</si>
  <si>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</si>
  <si>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</si>
  <si>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</si>
  <si>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</si>
  <si>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</si>
  <si>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</si>
  <si>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</si>
  <si>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</si>
  <si>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</si>
  <si>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</si>
  <si>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</si>
  <si>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</si>
  <si>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</si>
  <si>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</si>
  <si>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</si>
  <si>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</si>
  <si>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</si>
  <si>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</si>
  <si>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</si>
  <si>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</si>
  <si>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</si>
  <si>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</si>
  <si>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</si>
  <si>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</si>
  <si>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</si>
  <si>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</si>
  <si>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</si>
  <si>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</si>
  <si>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</si>
  <si>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</si>
  <si>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</si>
  <si>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</si>
  <si>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</si>
  <si>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</si>
  <si>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</si>
  <si>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</si>
  <si>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</si>
  <si>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</si>
  <si>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</si>
  <si>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</si>
  <si>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</si>
  <si>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</si>
  <si>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</si>
  <si>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</si>
  <si>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</si>
  <si>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</si>
  <si>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</si>
  <si>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</si>
  <si>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</si>
  <si>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</si>
  <si>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</si>
  <si>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</si>
  <si>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</si>
  <si>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</si>
  <si>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</si>
  <si>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</si>
  <si>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</si>
  <si>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</si>
  <si>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</si>
  <si>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</si>
  <si>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</si>
  <si>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</si>
  <si>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</si>
  <si>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</si>
  <si>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</si>
  <si>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</si>
  <si>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</si>
  <si>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</si>
  <si>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</si>
  <si>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</si>
  <si>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</si>
  <si>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</si>
  <si>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</si>
  <si>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</si>
  <si>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</si>
  <si>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</si>
  <si>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</si>
  <si>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</si>
  <si>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</si>
  <si>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</si>
  <si>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</si>
  <si>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</si>
  <si>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</si>
  <si>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</si>
  <si>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</si>
  <si>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</si>
  <si>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</si>
  <si>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</si>
  <si>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</si>
  <si>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</si>
  <si>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</si>
  <si>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</si>
  <si>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</si>
  <si>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</si>
  <si>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</si>
  <si>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</si>
  <si>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</si>
  <si>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</si>
  <si>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</si>
  <si>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</si>
  <si>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</si>
  <si>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</si>
  <si>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</si>
  <si>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</si>
  <si>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</si>
  <si>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</si>
  <si>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</si>
  <si>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</si>
  <si>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</si>
  <si>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</si>
  <si>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</si>
  <si>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</si>
  <si>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</si>
  <si>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</si>
  <si>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</si>
  <si>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</si>
  <si>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</si>
  <si>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</si>
  <si>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</si>
  <si>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</si>
  <si>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</si>
  <si>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</si>
  <si>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</si>
  <si>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</si>
  <si>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</si>
  <si>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</si>
  <si>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</si>
  <si>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</si>
  <si>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</si>
  <si>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</si>
  <si>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</si>
  <si>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</si>
  <si>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</si>
  <si>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</si>
  <si>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</si>
  <si>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</si>
  <si>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</si>
  <si>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</si>
  <si>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</si>
  <si>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</si>
  <si>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</si>
  <si>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</si>
  <si>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</si>
  <si>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</si>
  <si>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</si>
  <si>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</si>
  <si>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</si>
  <si>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</si>
  <si>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</si>
  <si>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</si>
  <si>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</si>
  <si>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</si>
  <si>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</si>
  <si>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</si>
  <si>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</si>
  <si>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</si>
  <si>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</si>
  <si>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</si>
  <si>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</si>
  <si>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</si>
  <si>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</si>
  <si>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</si>
  <si>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</si>
  <si>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</si>
  <si>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</si>
  <si>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</si>
  <si>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</si>
  <si>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</si>
  <si>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</si>
  <si>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</si>
  <si>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</si>
  <si>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</si>
  <si>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</si>
  <si>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</si>
  <si>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</si>
  <si>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</si>
  <si>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</si>
  <si>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</si>
  <si>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</si>
  <si>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</si>
  <si>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</si>
  <si>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</si>
  <si>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</si>
  <si>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</si>
  <si>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</si>
  <si>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</si>
  <si>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</si>
  <si>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</si>
  <si>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</si>
  <si>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</si>
  <si>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</si>
  <si>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</si>
  <si>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</si>
  <si>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</si>
  <si>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</si>
  <si>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</si>
  <si>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</si>
  <si>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</si>
  <si>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</si>
  <si>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</si>
  <si>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</si>
  <si>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</si>
  <si>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</si>
  <si>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</si>
  <si>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</si>
  <si>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</si>
  <si>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</si>
  <si>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</si>
  <si>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</si>
  <si>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</si>
  <si>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</si>
  <si>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</si>
  <si>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</si>
  <si>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</si>
  <si>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</si>
  <si>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</si>
  <si>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</si>
  <si>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</si>
  <si>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</si>
  <si>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</si>
  <si>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</si>
  <si>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</si>
  <si>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</si>
  <si>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</si>
  <si>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</si>
  <si>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</si>
  <si>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</si>
  <si>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</si>
  <si>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</si>
  <si>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</si>
  <si>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</si>
  <si>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</si>
  <si>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</si>
  <si>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</si>
  <si>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</si>
  <si>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</si>
  <si>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</si>
  <si>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</si>
  <si>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</si>
  <si>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</si>
  <si>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</si>
  <si>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</si>
  <si>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</si>
  <si>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</si>
  <si>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</si>
  <si>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</si>
  <si>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</si>
  <si>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</si>
  <si>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</si>
  <si>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</si>
  <si>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</si>
  <si>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</si>
  <si>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</si>
  <si>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</si>
  <si>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</si>
  <si>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</si>
  <si>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</si>
  <si>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</si>
  <si>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</si>
  <si>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</si>
  <si>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</si>
  <si>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</si>
  <si>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</si>
  <si>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</si>
  <si>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</si>
  <si>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</si>
  <si>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</si>
  <si>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</si>
  <si>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</si>
  <si>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</si>
  <si>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</si>
  <si>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</si>
  <si>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</si>
  <si>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</si>
  <si>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</si>
  <si>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</si>
  <si>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</si>
  <si>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</si>
  <si>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</si>
  <si>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</si>
  <si>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</si>
  <si>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</si>
  <si>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</si>
  <si>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</si>
  <si>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</si>
  <si>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</si>
  <si>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</si>
  <si>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</si>
  <si>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</si>
  <si>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</si>
  <si>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</si>
  <si>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</si>
  <si>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</si>
  <si>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</si>
  <si>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</si>
  <si>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</si>
  <si>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</si>
  <si>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</si>
  <si>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</si>
  <si>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</si>
  <si>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</si>
  <si>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</si>
  <si>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</si>
  <si>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</si>
  <si>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</si>
  <si>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</si>
  <si>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</si>
  <si>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</si>
  <si>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</si>
  <si>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</si>
  <si>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</si>
  <si>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</si>
  <si>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</si>
  <si>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</si>
  <si>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</si>
  <si>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</si>
  <si>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</si>
  <si>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</si>
  <si>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</si>
  <si>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</si>
  <si>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</si>
  <si>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</si>
  <si>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</si>
  <si>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</si>
  <si>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</si>
  <si>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</si>
  <si>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</si>
  <si>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</si>
  <si>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</si>
  <si>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</si>
  <si>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</si>
  <si>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</si>
  <si>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</si>
  <si>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</si>
  <si>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</si>
  <si>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</si>
  <si>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</si>
  <si>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</si>
  <si>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</si>
  <si>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</si>
  <si>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</si>
  <si>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</si>
  <si>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</si>
  <si>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</si>
  <si>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</si>
  <si>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</si>
  <si>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</si>
  <si>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</si>
  <si>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</si>
  <si>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</si>
  <si>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</si>
  <si>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</si>
  <si>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</si>
  <si>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</si>
  <si>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</si>
  <si>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</si>
  <si>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</si>
  <si>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</si>
  <si>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</si>
  <si>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</si>
  <si>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</si>
  <si>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</si>
  <si>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</si>
  <si>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</si>
  <si>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</si>
  <si>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</si>
  <si>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</si>
  <si>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</si>
  <si>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</si>
  <si>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</si>
  <si>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</si>
  <si>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</si>
  <si>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</si>
  <si>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</si>
  <si>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</si>
  <si>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</si>
  <si>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</si>
  <si>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</si>
  <si>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</si>
  <si>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</si>
  <si>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</si>
  <si>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</si>
  <si>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</si>
  <si>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</si>
  <si>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</si>
  <si>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</si>
  <si>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</si>
  <si>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</si>
  <si>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</si>
  <si>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</si>
  <si>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</si>
  <si>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</si>
  <si>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</si>
  <si>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</si>
  <si>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</si>
  <si>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</si>
  <si>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</si>
  <si>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</si>
  <si>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</si>
  <si>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</si>
  <si>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</si>
  <si>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</si>
  <si>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</si>
  <si>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</si>
  <si>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</si>
  <si>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</si>
  <si>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</si>
  <si>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</si>
  <si>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</si>
  <si>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</si>
  <si>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</si>
  <si>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</si>
  <si>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</si>
  <si>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</si>
  <si>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</si>
  <si>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</si>
  <si>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</si>
  <si>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</si>
  <si>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</si>
  <si>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</si>
  <si>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</si>
  <si>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</si>
  <si>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</si>
  <si>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</si>
  <si>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</si>
  <si>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</si>
  <si>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</si>
  <si>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</si>
  <si>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=1000 Reg
sólo 13,2 kV</t>
  </si>
  <si>
    <t>&gt;1000 Reg y Cont &lt;1000
sólo 13,2 kV</t>
  </si>
  <si>
    <t>=1000 Cont
sólo 13,2 kV</t>
  </si>
  <si>
    <t>&gt;1000 Cont y Reg
sólo 13,2 kV</t>
  </si>
  <si>
    <t>CASO LECTURAS</t>
  </si>
  <si>
    <t>CONT. PICO</t>
  </si>
  <si>
    <t>CONT. F. PICO</t>
  </si>
  <si>
    <t>CASO 1 USUARIO GENERA</t>
  </si>
  <si>
    <t>CASO 1 USUARIO GENERA GUDI</t>
  </si>
  <si>
    <t>FL_GUDI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</si>
  <si>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</si>
  <si>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</si>
  <si>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</si>
  <si>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</si>
  <si>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</si>
  <si>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</si>
  <si>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CASO COOP  entre 85 y 100</t>
  </si>
  <si>
    <t>hernanlussiatti@gmail.com</t>
  </si>
  <si>
    <t>Gr.Estr.Reg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</si>
  <si>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"398"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</si>
  <si>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"398"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</si>
</sst>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94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0" borderId="0" xfId="0" applyFill="1"/>
    <xf numFmtId="0" fontId="16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0" borderId="39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22" fillId="0" borderId="0" xfId="0" applyFont="1" applyAlignment="1">
      <alignment wrapText="1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 applyBorder="1" applyAlignment="1">
      <alignment wrapText="1"/>
    </xf>
    <xf numFmtId="0" fontId="0" fillId="17" borderId="0" xfId="0" applyFill="1" applyBorder="1" applyAlignment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16" fillId="25" borderId="0" xfId="0" applyFont="1" applyFill="1" applyAlignment="1">
      <alignment horizontal="center" vertical="center"/>
    </xf>
    <xf numFmtId="0" fontId="0" fillId="25" borderId="0" xfId="0" applyFont="1" applyFill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0" borderId="0" xfId="1" applyFill="1" applyAlignment="1">
      <alignment horizontal="center" vertical="top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0" xfId="1" applyNumberFormat="1" applyFill="1" applyAlignment="1">
      <alignment horizontal="center" vertical="top"/>
    </xf>
    <xf numFmtId="0" fontId="4" fillId="9" borderId="3" xfId="1" applyNumberFormat="1" applyFill="1" applyBorder="1" applyAlignment="1">
      <alignment horizontal="center" vertical="top"/>
    </xf>
    <xf numFmtId="0" fontId="4" fillId="9" borderId="16" xfId="1" applyNumberFormat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11" borderId="0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/>
    </xf>
    <xf numFmtId="0" fontId="12" fillId="8" borderId="0" xfId="2" applyFont="1" applyFill="1" applyAlignment="1">
      <alignment horizontal="center" vertical="center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0" borderId="0" xfId="2" applyFont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23" fillId="0" borderId="21" xfId="2" applyFont="1" applyBorder="1"/>
    <xf numFmtId="0" fontId="23" fillId="0" borderId="26" xfId="2" applyFont="1" applyBorder="1"/>
    <xf numFmtId="0" fontId="12" fillId="0" borderId="25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0" borderId="23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9" fillId="0" borderId="0" xfId="2" applyAlignment="1">
      <alignment wrapText="1"/>
    </xf>
    <xf numFmtId="0" fontId="23" fillId="0" borderId="0" xfId="2" applyFont="1"/>
    <xf numFmtId="0" fontId="12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9" fillId="0" borderId="26" xfId="2" applyBorder="1"/>
    <xf numFmtId="0" fontId="9" fillId="0" borderId="7" xfId="2" applyBorder="1"/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13" fillId="0" borderId="5" xfId="2" applyFont="1" applyBorder="1" applyAlignment="1">
      <alignment horizontal="center" vertical="center" wrapText="1"/>
    </xf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</cellXfs>
  <cellStyles count="8">
    <cellStyle name="Normal" xfId="0" builtinId="0"/>
    <cellStyle name="Normal 2" xfId="1"/>
    <cellStyle name="Normal 2 2" xfId="4"/>
    <cellStyle name="Normal 2 3" xfId="6"/>
    <cellStyle name="Normal 3" xfId="2"/>
    <cellStyle name="Normal 4" xfId="3"/>
    <cellStyle name="Normal 5" xfId="5"/>
    <cellStyle name="Normal 6" xfId="7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a103" displayName="Tabla103" ref="B1:O228" totalsRowShown="0" headerRowDxfId="28" dataDxfId="26" headerRowBorderDxfId="27" tableBorderDxfId="25">
  <autoFilter ref="B1:O228"/>
  <tableColumns count="14">
    <tableColumn id="1" name="Tipo cta.contrato" dataDxfId="24"/>
    <tableColumn id="9" name="Desc. Tipo Cta Ctro" dataDxfId="23">
      <calculatedColumnFormula>+VLOOKUP(Tabla103[[#This Row],[Tipo cta.contrato]],Datos!$C:$D,2,FALSE)</calculatedColumnFormula>
    </tableColumn>
    <tableColumn id="3" name="Caract.determin.cta." dataDxfId="22" dataCellStyle="Normal 2"/>
    <tableColumn id="11" name="Desc. CDC" dataDxfId="21" dataCellStyle="Normal 2">
      <calculatedColumnFormula>+VLOOKUP(Tabla103[[#This Row],[Caract.determin.cta.]],Datos!$C:$D,2,FALSE)</calculatedColumnFormula>
    </tableColumn>
    <tableColumn id="2" name="Categoría de cuenta" dataDxfId="20"/>
    <tableColumn id="10" name="Desc. Cat. Cuenta" dataDxfId="19" dataCellStyle="Normal 2">
      <calculatedColumnFormula>+VLOOKUP(Tabla103[[#This Row],[Caract.determin.cta.]],Datos!$C:$D,2,FALSE)</calculatedColumnFormula>
    </tableColumn>
    <tableColumn id="4" name="Nivel de tensión" dataDxfId="18"/>
    <tableColumn id="12" name="Desc. N. Tensión" dataDxfId="17">
      <calculatedColumnFormula>+VLOOKUP(Tabla103[[#This Row],[Nivel de tensión]],Datos!$C:$D,2,FALSE)</calculatedColumnFormula>
    </tableColumn>
    <tableColumn id="5" name="Tipo de tarifa" dataDxfId="16"/>
    <tableColumn id="6" name="Operando" dataDxfId="15"/>
    <tableColumn id="7" name="Clase de tarifa" dataDxfId="14"/>
    <tableColumn id="8" name="Gr.val.concr.tarifa" dataDxfId="13"/>
    <tableColumn id="14" name="CAP" dataDxfId="12" dataCellStyle="Normal 2"/>
    <tableColumn id="13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1:C16" totalsRowShown="0">
  <autoFilter ref="A1:C16"/>
  <tableColumns count="3">
    <tableColumn id="1" name="Código Sucursal"/>
    <tableColumn id="2" name="Descripción"/>
    <tableColumn id="3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6" name="Tabla7" displayName="Tabla7" ref="E1:F5" totalsRowShown="0" headerRowDxfId="10">
  <autoFilter ref="E1:F5"/>
  <tableColumns count="2">
    <tableColumn id="1" name="Código Tarifa" dataDxfId="9"/>
    <tableColumn id="2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7" name="Tabla8" displayName="Tabla8" ref="H1:M23" totalsRowShown="0" headerRowDxfId="7" dataDxfId="6">
  <autoFilter ref="H1:M23"/>
  <tableColumns count="6">
    <tableColumn id="3" name="LINK" dataDxfId="5">
      <calculatedColumnFormula>+CONCATENATE(Tabla8[[#This Row],[Tipo Cliente]],Tabla8[[#This Row],[Gerencia]],Tabla8[[#This Row],[Sucursal]])</calculatedColumnFormula>
    </tableColumn>
    <tableColumn id="4" name="Gerencia" dataDxfId="4">
      <calculatedColumnFormula>+IF(Tabla8[[#This Row],[Tipo Cliente]]="Completo","",VLOOKUP(RIGHT(LEFT(Tabla8[[#This Row],[PORCION]],3),2),Tabla5[#All],3,FALSE()))</calculatedColumnFormula>
    </tableColumn>
    <tableColumn id="5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name="Tipo Cliente" dataDxfId="2">
      <calculatedColumnFormula>+VLOOKUP(RIGHT(Tabla8[[#This Row],[PORCION]],2),Tabla7[],2,FALSE())</calculatedColumnFormula>
    </tableColumn>
    <tableColumn id="1" name="PORCION" dataDxfId="1"/>
    <tableColumn id="2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E2:N18"/>
  <sheetViews>
    <sheetView showGridLines="0" tabSelected="1" zoomScale="85" zoomScaleNormal="85" workbookViewId="0">
      <selection activeCell="H30" sqref="H30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6" t="s">
        <v>2060</v>
      </c>
      <c r="G2" s="145" t="s">
        <v>2061</v>
      </c>
      <c r="H2" s="149"/>
      <c r="I2" s="149"/>
      <c r="J2" s="149"/>
      <c r="K2" s="149"/>
      <c r="L2" s="149"/>
      <c r="M2" s="149"/>
      <c r="N2" s="149"/>
    </row>
    <row r="5" spans="5:14" x14ac:dyDescent="0.25">
      <c r="E5" t="s">
        <v>2063</v>
      </c>
      <c r="G5" s="149" t="s">
        <v>2064</v>
      </c>
      <c r="H5" s="149"/>
      <c r="I5" s="149"/>
      <c r="J5" s="149"/>
      <c r="K5" s="149"/>
      <c r="L5" s="149"/>
      <c r="M5" s="149"/>
      <c r="N5" s="149"/>
    </row>
    <row r="6" spans="5:14" x14ac:dyDescent="0.25">
      <c r="E6" t="s">
        <v>2062</v>
      </c>
      <c r="G6" s="149" t="s">
        <v>9179</v>
      </c>
      <c r="H6" s="149"/>
      <c r="I6" s="149"/>
      <c r="J6" s="149"/>
      <c r="K6" s="149"/>
      <c r="L6" s="149"/>
      <c r="M6" s="149"/>
      <c r="N6" s="149"/>
    </row>
    <row r="11" spans="5:14" x14ac:dyDescent="0.25">
      <c r="E11" t="s">
        <v>2067</v>
      </c>
      <c r="G11" t="s">
        <v>2068</v>
      </c>
    </row>
    <row r="15" spans="5:14" x14ac:dyDescent="0.25">
      <c r="E15" s="146" t="s">
        <v>2060</v>
      </c>
      <c r="G15" s="155" t="s">
        <v>9104</v>
      </c>
      <c r="H15" s="149"/>
      <c r="I15" s="149"/>
      <c r="J15" s="149"/>
      <c r="K15" s="149"/>
      <c r="L15" s="149"/>
      <c r="M15" s="149"/>
      <c r="N15" s="149"/>
    </row>
    <row r="18" spans="5:14" x14ac:dyDescent="0.25">
      <c r="E18" t="s">
        <v>2062</v>
      </c>
      <c r="G18" s="149" t="s">
        <v>9180</v>
      </c>
      <c r="H18" s="149"/>
      <c r="I18" s="149"/>
      <c r="J18" s="149"/>
      <c r="K18" s="149"/>
      <c r="L18" s="149"/>
      <c r="M18" s="149"/>
      <c r="N18" s="14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CJ168"/>
  <sheetViews>
    <sheetView showGridLines="0" zoomScale="70" zoomScaleNormal="70" workbookViewId="0">
      <pane xSplit="4" ySplit="2" topLeftCell="X157" activePane="bottomRight" state="frozen"/>
      <selection pane="topRight" activeCell="D1" sqref="D1"/>
      <selection pane="bottomLeft" activeCell="A3" sqref="A3"/>
      <selection pane="bottomRight" activeCell="AF1" sqref="AF1:AF1048576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9177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7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9164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9170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8">
        <v>1</v>
      </c>
      <c r="B3" s="127">
        <v>200001313</v>
      </c>
      <c r="C3" s="128">
        <v>610000000002325</v>
      </c>
      <c r="D3" s="128" t="s">
        <v>379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5" t="s">
        <v>66</v>
      </c>
      <c r="J3" s="175" t="s">
        <v>315</v>
      </c>
      <c r="K3" s="175" t="s">
        <v>1963</v>
      </c>
      <c r="L3" s="175" t="s">
        <v>271</v>
      </c>
      <c r="M3" s="175" t="s">
        <v>528</v>
      </c>
      <c r="O3" s="175" t="s">
        <v>1050</v>
      </c>
      <c r="Q3" s="175" t="s">
        <v>78</v>
      </c>
      <c r="S3" s="114"/>
      <c r="T3" s="114"/>
      <c r="V3" s="114" t="s">
        <v>153</v>
      </c>
      <c r="X3" s="114">
        <v>700034</v>
      </c>
      <c r="Y3" s="159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+VLOOKUP(CONCATENATE(K3,IF(K3="Completo",VLOOKUP(D3,Gr.Estr.Reg.!$C:$D,2,FALSE),VLOOKUP(D3,Gr.Estr.Reg.!$C:$H,6))),Tabla8[[LINK]:[PORCION]],5,FALSE)</f>
        <v>GROCC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8">
        <f>+A3+1</f>
        <v>2</v>
      </c>
      <c r="B4" s="127">
        <v>200001313</v>
      </c>
      <c r="C4" s="128">
        <v>610000000002325</v>
      </c>
      <c r="D4" s="128" t="s">
        <v>379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5" t="s">
        <v>66</v>
      </c>
      <c r="J4" s="175" t="s">
        <v>315</v>
      </c>
      <c r="K4" s="175" t="s">
        <v>1963</v>
      </c>
      <c r="L4" s="175" t="s">
        <v>275</v>
      </c>
      <c r="M4" s="175" t="s">
        <v>528</v>
      </c>
      <c r="O4" s="175" t="s">
        <v>1050</v>
      </c>
      <c r="Q4" s="175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+VLOOKUP(CONCATENATE(K4,IF(K4="Completo",VLOOKUP(D4,Gr.Estr.Reg.!$C:$D,2,FALSE),VLOOKUP(D4,Gr.Estr.Reg.!$C:$H,6))),Tabla8[[LINK]:[PORCION]],5,FALSE)</f>
        <v>GROCC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8">
        <f t="shared" ref="A5:A68" si="28">+A4+1</f>
        <v>3</v>
      </c>
      <c r="B5" s="127">
        <v>200001313</v>
      </c>
      <c r="C5" s="128">
        <v>610000000002325</v>
      </c>
      <c r="D5" s="128" t="s">
        <v>379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5" t="s">
        <v>66</v>
      </c>
      <c r="J5" s="175" t="s">
        <v>315</v>
      </c>
      <c r="K5" s="175" t="s">
        <v>1963</v>
      </c>
      <c r="L5" s="175" t="s">
        <v>284</v>
      </c>
      <c r="M5" s="175" t="s">
        <v>528</v>
      </c>
      <c r="O5" s="175" t="s">
        <v>1050</v>
      </c>
      <c r="Q5" s="175" t="s">
        <v>78</v>
      </c>
      <c r="S5" s="114"/>
      <c r="T5" s="114"/>
      <c r="V5" s="114" t="s">
        <v>9148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+VLOOKUP(CONCATENATE(K5,IF(K5="Completo",VLOOKUP(D5,Gr.Estr.Reg.!$C:$D,2,FALSE),VLOOKUP(D5,Gr.Estr.Reg.!$C:$H,6))),Tabla8[[LINK]:[PORCION]],5,FALSE)</f>
        <v>GROCC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8">
        <f t="shared" si="28"/>
        <v>4</v>
      </c>
      <c r="B6" s="127">
        <v>200001313</v>
      </c>
      <c r="C6" s="128">
        <v>610000000002325</v>
      </c>
      <c r="D6" s="128" t="s">
        <v>379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5" t="s">
        <v>66</v>
      </c>
      <c r="J6" s="175" t="s">
        <v>315</v>
      </c>
      <c r="K6" s="175" t="s">
        <v>1963</v>
      </c>
      <c r="L6" s="175" t="s">
        <v>285</v>
      </c>
      <c r="M6" s="175" t="s">
        <v>528</v>
      </c>
      <c r="O6" s="175" t="s">
        <v>1050</v>
      </c>
      <c r="Q6" s="175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+VLOOKUP(CONCATENATE(K6,IF(K6="Completo",VLOOKUP(D6,Gr.Estr.Reg.!$C:$D,2,FALSE),VLOOKUP(D6,Gr.Estr.Reg.!$C:$H,6))),Tabla8[[LINK]:[PORCION]],5,FALSE)</f>
        <v>GROCC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8">
        <f t="shared" si="28"/>
        <v>5</v>
      </c>
      <c r="B7" s="127">
        <v>200001313</v>
      </c>
      <c r="C7" s="128">
        <v>610000000002325</v>
      </c>
      <c r="D7" s="128" t="s">
        <v>379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5" t="s">
        <v>66</v>
      </c>
      <c r="J7" s="175" t="s">
        <v>315</v>
      </c>
      <c r="K7" s="175" t="s">
        <v>1963</v>
      </c>
      <c r="L7" s="175" t="s">
        <v>306</v>
      </c>
      <c r="M7" s="175" t="s">
        <v>528</v>
      </c>
      <c r="O7" s="175" t="s">
        <v>1050</v>
      </c>
      <c r="Q7" s="175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+VLOOKUP(CONCATENATE(K7,IF(K7="Completo",VLOOKUP(D7,Gr.Estr.Reg.!$C:$D,2,FALSE),VLOOKUP(D7,Gr.Estr.Reg.!$C:$H,6))),Tabla8[[LINK]:[PORCION]],5,FALSE)</f>
        <v>GROCC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8">
        <f t="shared" si="28"/>
        <v>6</v>
      </c>
      <c r="B8" s="127">
        <v>200001313</v>
      </c>
      <c r="C8" s="128">
        <v>610000000002325</v>
      </c>
      <c r="D8" s="128" t="s">
        <v>379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5" t="s">
        <v>66</v>
      </c>
      <c r="J8" s="175" t="s">
        <v>315</v>
      </c>
      <c r="K8" s="175" t="s">
        <v>1963</v>
      </c>
      <c r="L8" s="175" t="s">
        <v>277</v>
      </c>
      <c r="M8" s="175" t="s">
        <v>528</v>
      </c>
      <c r="O8" s="175" t="s">
        <v>1050</v>
      </c>
      <c r="Q8" s="175" t="s">
        <v>248</v>
      </c>
      <c r="S8" s="114"/>
      <c r="T8" s="114"/>
      <c r="V8" s="114" t="s">
        <v>9148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+VLOOKUP(CONCATENATE(K8,IF(K8="Completo",VLOOKUP(D8,Gr.Estr.Reg.!$C:$D,2,FALSE),VLOOKUP(D8,Gr.Estr.Reg.!$C:$H,6))),Tabla8[[LINK]:[PORCION]],5,FALSE)</f>
        <v>GROCC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8">
        <f t="shared" si="28"/>
        <v>7</v>
      </c>
      <c r="B9" s="127">
        <v>200001313</v>
      </c>
      <c r="C9" s="128">
        <v>610000000002325</v>
      </c>
      <c r="D9" s="128" t="s">
        <v>379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5" t="s">
        <v>66</v>
      </c>
      <c r="J9" s="175" t="s">
        <v>315</v>
      </c>
      <c r="K9" s="175" t="s">
        <v>1963</v>
      </c>
      <c r="L9" s="175" t="s">
        <v>402</v>
      </c>
      <c r="M9" s="175" t="s">
        <v>528</v>
      </c>
      <c r="O9" s="175" t="s">
        <v>1050</v>
      </c>
      <c r="Q9" s="175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
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+VLOOKUP(CONCATENATE(K9,IF(K9="Completo",VLOOKUP(D9,Gr.Estr.Reg.!$C:$D,2,FALSE),VLOOKUP(D9,Gr.Estr.Reg.!$C:$H,6))),Tabla8[[LINK]:[PORCION]],5,FALSE)</f>
        <v>GROCC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8">
        <f t="shared" si="28"/>
        <v>8</v>
      </c>
      <c r="B10" s="127">
        <v>200001313</v>
      </c>
      <c r="C10" s="128">
        <v>610000000002325</v>
      </c>
      <c r="D10" s="128" t="s">
        <v>379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5" t="s">
        <v>66</v>
      </c>
      <c r="J10" s="175" t="s">
        <v>315</v>
      </c>
      <c r="K10" s="175" t="s">
        <v>1963</v>
      </c>
      <c r="L10" s="175" t="s">
        <v>271</v>
      </c>
      <c r="M10" s="175" t="s">
        <v>268</v>
      </c>
      <c r="O10" s="175" t="s">
        <v>1050</v>
      </c>
      <c r="Q10" s="175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
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+VLOOKUP(CONCATENATE(K10,IF(K10="Completo",VLOOKUP(D10,Gr.Estr.Reg.!$C:$D,2,FALSE),VLOOKUP(D10,Gr.Estr.Reg.!$C:$H,6))),Tabla8[[LINK]:[PORCION]],5,FALSE)</f>
        <v>GROCC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8">
        <f t="shared" si="28"/>
        <v>9</v>
      </c>
      <c r="B11" s="127">
        <v>200001313</v>
      </c>
      <c r="C11" s="128">
        <v>610000000002325</v>
      </c>
      <c r="D11" s="128" t="s">
        <v>379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5" t="s">
        <v>66</v>
      </c>
      <c r="J11" s="175" t="s">
        <v>315</v>
      </c>
      <c r="K11" s="175" t="s">
        <v>1963</v>
      </c>
      <c r="L11" s="175" t="s">
        <v>275</v>
      </c>
      <c r="M11" s="175" t="s">
        <v>268</v>
      </c>
      <c r="O11" s="175" t="s">
        <v>1050</v>
      </c>
      <c r="Q11" s="175" t="s">
        <v>248</v>
      </c>
      <c r="S11" s="114"/>
      <c r="T11" s="114"/>
      <c r="V11" s="114" t="s">
        <v>9148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
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+VLOOKUP(CONCATENATE(K11,IF(K11="Completo",VLOOKUP(D11,Gr.Estr.Reg.!$C:$D,2,FALSE),VLOOKUP(D11,Gr.Estr.Reg.!$C:$H,6))),Tabla8[[LINK]:[PORCION]],5,FALSE)</f>
        <v>GROCC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8">
        <f t="shared" si="28"/>
        <v>10</v>
      </c>
      <c r="B12" s="127">
        <v>200001313</v>
      </c>
      <c r="C12" s="128">
        <v>610000000002325</v>
      </c>
      <c r="D12" s="128" t="s">
        <v>379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5" t="s">
        <v>66</v>
      </c>
      <c r="J12" s="175" t="s">
        <v>315</v>
      </c>
      <c r="K12" s="175" t="s">
        <v>1963</v>
      </c>
      <c r="L12" s="175" t="s">
        <v>284</v>
      </c>
      <c r="M12" s="175" t="s">
        <v>268</v>
      </c>
      <c r="O12" s="175" t="s">
        <v>1050</v>
      </c>
      <c r="Q12" s="175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
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+VLOOKUP(CONCATENATE(K12,IF(K12="Completo",VLOOKUP(D12,Gr.Estr.Reg.!$C:$D,2,FALSE),VLOOKUP(D12,Gr.Estr.Reg.!$C:$H,6))),Tabla8[[LINK]:[PORCION]],5,FALSE)</f>
        <v>GROCC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8">
        <f t="shared" si="28"/>
        <v>11</v>
      </c>
      <c r="B13" s="127">
        <v>200001313</v>
      </c>
      <c r="C13" s="128">
        <v>610000000002325</v>
      </c>
      <c r="D13" s="128" t="s">
        <v>379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5" t="s">
        <v>66</v>
      </c>
      <c r="J13" s="175" t="s">
        <v>315</v>
      </c>
      <c r="K13" s="175" t="s">
        <v>1963</v>
      </c>
      <c r="L13" s="175" t="s">
        <v>285</v>
      </c>
      <c r="M13" s="175" t="s">
        <v>268</v>
      </c>
      <c r="O13" s="175" t="s">
        <v>1050</v>
      </c>
      <c r="Q13" s="175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+VLOOKUP(CONCATENATE(K13,IF(K13="Completo",VLOOKUP(D13,Gr.Estr.Reg.!$C:$D,2,FALSE),VLOOKUP(D13,Gr.Estr.Reg.!$C:$H,6))),Tabla8[[LINK]:[PORCION]],5,FALSE)</f>
        <v>GROCC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8">
        <f t="shared" si="28"/>
        <v>12</v>
      </c>
      <c r="B14" s="127">
        <v>200001313</v>
      </c>
      <c r="C14" s="128">
        <v>610000000002325</v>
      </c>
      <c r="D14" s="128" t="s">
        <v>379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5" t="s">
        <v>66</v>
      </c>
      <c r="J14" s="175" t="s">
        <v>315</v>
      </c>
      <c r="K14" s="175" t="s">
        <v>1963</v>
      </c>
      <c r="L14" s="175" t="s">
        <v>306</v>
      </c>
      <c r="M14" s="175" t="s">
        <v>268</v>
      </c>
      <c r="O14" s="175" t="s">
        <v>1050</v>
      </c>
      <c r="Q14" s="175" t="s">
        <v>245</v>
      </c>
      <c r="S14" s="114"/>
      <c r="T14" s="114"/>
      <c r="V14" s="114" t="s">
        <v>9148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+VLOOKUP(CONCATENATE(K14,IF(K14="Completo",VLOOKUP(D14,Gr.Estr.Reg.!$C:$D,2,FALSE),VLOOKUP(D14,Gr.Estr.Reg.!$C:$H,6))),Tabla8[[LINK]:[PORCION]],5,FALSE)</f>
        <v>GROCC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8">
        <f t="shared" si="28"/>
        <v>13</v>
      </c>
      <c r="B15" s="127">
        <v>200001313</v>
      </c>
      <c r="C15" s="128">
        <v>610000000002325</v>
      </c>
      <c r="D15" s="128" t="s">
        <v>379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5" t="s">
        <v>66</v>
      </c>
      <c r="J15" s="175" t="s">
        <v>315</v>
      </c>
      <c r="K15" s="175" t="s">
        <v>1963</v>
      </c>
      <c r="L15" s="175" t="s">
        <v>277</v>
      </c>
      <c r="M15" s="175" t="s">
        <v>268</v>
      </c>
      <c r="O15" s="175" t="s">
        <v>1050</v>
      </c>
      <c r="Q15" s="175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+VLOOKUP(CONCATENATE(K15,IF(K15="Completo",VLOOKUP(D15,Gr.Estr.Reg.!$C:$D,2,FALSE),VLOOKUP(D15,Gr.Estr.Reg.!$C:$H,6))),Tabla8[[LINK]:[PORCION]],5,FALSE)</f>
        <v>GROCC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8">
        <f t="shared" si="28"/>
        <v>14</v>
      </c>
      <c r="B16" s="127">
        <v>200001313</v>
      </c>
      <c r="C16" s="128">
        <v>610000000002325</v>
      </c>
      <c r="D16" s="128" t="s">
        <v>379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5" t="s">
        <v>66</v>
      </c>
      <c r="J16" s="175" t="s">
        <v>315</v>
      </c>
      <c r="K16" s="175" t="s">
        <v>1963</v>
      </c>
      <c r="L16" s="175" t="s">
        <v>402</v>
      </c>
      <c r="M16" s="175" t="s">
        <v>268</v>
      </c>
      <c r="O16" s="175" t="s">
        <v>1050</v>
      </c>
      <c r="Q16" s="175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+VLOOKUP(CONCATENATE(K16,IF(K16="Completo",VLOOKUP(D16,Gr.Estr.Reg.!$C:$D,2,FALSE),VLOOKUP(D16,Gr.Estr.Reg.!$C:$H,6))),Tabla8[[LINK]:[PORCION]],5,FALSE)</f>
        <v>GROCC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8">
        <f t="shared" si="28"/>
        <v>15</v>
      </c>
      <c r="B17" s="127">
        <v>200001313</v>
      </c>
      <c r="C17" s="128">
        <v>610000000002325</v>
      </c>
      <c r="D17" s="128" t="s">
        <v>379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5" t="s">
        <v>66</v>
      </c>
      <c r="J17" s="175" t="s">
        <v>315</v>
      </c>
      <c r="K17" s="175" t="s">
        <v>1963</v>
      </c>
      <c r="L17" s="175" t="s">
        <v>271</v>
      </c>
      <c r="M17" s="175" t="s">
        <v>266</v>
      </c>
      <c r="O17" s="175" t="s">
        <v>1050</v>
      </c>
      <c r="Q17" s="175" t="s">
        <v>77</v>
      </c>
      <c r="S17" s="114"/>
      <c r="T17" s="114"/>
      <c r="V17" s="114" t="s">
        <v>9148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+VLOOKUP(CONCATENATE(K17,IF(K17="Completo",VLOOKUP(D17,Gr.Estr.Reg.!$C:$D,2,FALSE),VLOOKUP(D17,Gr.Estr.Reg.!$C:$H,6))),Tabla8[[LINK]:[PORCION]],5,FALSE)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8">
        <f t="shared" si="28"/>
        <v>16</v>
      </c>
      <c r="B18" s="127">
        <v>200001313</v>
      </c>
      <c r="C18" s="128">
        <v>610000000002325</v>
      </c>
      <c r="D18" s="128" t="s">
        <v>379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5" t="s">
        <v>66</v>
      </c>
      <c r="J18" s="175" t="s">
        <v>315</v>
      </c>
      <c r="K18" s="175" t="s">
        <v>1963</v>
      </c>
      <c r="L18" s="175" t="s">
        <v>275</v>
      </c>
      <c r="M18" s="175" t="s">
        <v>266</v>
      </c>
      <c r="O18" s="175" t="s">
        <v>1050</v>
      </c>
      <c r="Q18" s="175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+VLOOKUP(CONCATENATE(K18,IF(K18="Completo",VLOOKUP(D18,Gr.Estr.Reg.!$C:$D,2,FALSE),VLOOKUP(D18,Gr.Estr.Reg.!$C:$H,6))),Tabla8[[LINK]:[PORCION]],5,FALSE)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8">
        <f t="shared" si="28"/>
        <v>17</v>
      </c>
      <c r="B19" s="127">
        <v>200001313</v>
      </c>
      <c r="C19" s="128">
        <v>610000000002325</v>
      </c>
      <c r="D19" s="128" t="s">
        <v>379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+VLOOKUP(CONCATENATE(K19,IF(K19="Completo",VLOOKUP(D19,Gr.Estr.Reg.!$C:$D,2,FALSE),VLOOKUP(D19,Gr.Estr.Reg.!$C:$H,6))),Tabla8[[LINK]:[PORCION]],5,FALSE)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8">
        <f t="shared" si="28"/>
        <v>18</v>
      </c>
      <c r="B20" s="127">
        <v>200001313</v>
      </c>
      <c r="C20" s="128">
        <v>610000000002325</v>
      </c>
      <c r="D20" s="128" t="s">
        <v>379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+VLOOKUP(CONCATENATE(K20,IF(K20="Completo",VLOOKUP(D20,Gr.Estr.Reg.!$C:$D,2,FALSE),VLOOKUP(D20,Gr.Estr.Reg.!$C:$H,6))),Tabla8[[LINK]:[PORCION]],5,FALSE)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8">
        <f t="shared" si="28"/>
        <v>19</v>
      </c>
      <c r="B21" s="127">
        <v>200001313</v>
      </c>
      <c r="C21" s="128">
        <v>610000000002325</v>
      </c>
      <c r="D21" s="128" t="s">
        <v>379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+VLOOKUP(CONCATENATE(K21,IF(K21="Completo",VLOOKUP(D21,Gr.Estr.Reg.!$C:$D,2,FALSE),VLOOKUP(D21,Gr.Estr.Reg.!$C:$H,6))),Tabla8[[LINK]:[PORCION]],5,FALSE)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8">
        <f t="shared" si="28"/>
        <v>20</v>
      </c>
      <c r="B22" s="127">
        <v>200001313</v>
      </c>
      <c r="C22" s="128">
        <v>610000000002325</v>
      </c>
      <c r="D22" s="128" t="s">
        <v>379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+VLOOKUP(CONCATENATE(K22,IF(K22="Completo",VLOOKUP(D22,Gr.Estr.Reg.!$C:$D,2,FALSE),VLOOKUP(D22,Gr.Estr.Reg.!$C:$H,6))),Tabla8[[LINK]:[PORCION]],5,FALSE)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8">
        <f t="shared" si="28"/>
        <v>21</v>
      </c>
      <c r="B23" s="127">
        <v>200001313</v>
      </c>
      <c r="C23" s="128">
        <v>610000000002325</v>
      </c>
      <c r="D23" s="128" t="s">
        <v>379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9150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
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+VLOOKUP(CONCATENATE(K23,IF(K23="Completo",VLOOKUP(D23,Gr.Estr.Reg.!$C:$D,2,FALSE),VLOOKUP(D23,Gr.Estr.Reg.!$C:$H,6))),Tabla8[[LINK]:[PORCION]],5,FALSE)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8">
        <f t="shared" si="28"/>
        <v>22</v>
      </c>
      <c r="B24" s="127">
        <v>200001313</v>
      </c>
      <c r="C24" s="128">
        <v>610000000002325</v>
      </c>
      <c r="D24" s="128" t="s">
        <v>379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6" t="s">
        <v>61</v>
      </c>
      <c r="J24" s="176" t="s">
        <v>316</v>
      </c>
      <c r="K24" s="176" t="s">
        <v>1963</v>
      </c>
      <c r="L24" s="176" t="s">
        <v>271</v>
      </c>
      <c r="M24" s="176" t="s">
        <v>528</v>
      </c>
      <c r="O24" s="176" t="s">
        <v>1050</v>
      </c>
      <c r="Q24" s="176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+VLOOKUP(CONCATENATE(K24,IF(K24="Completo",VLOOKUP(D24,Gr.Estr.Reg.!$C:$D,2,FALSE),VLOOKUP(D24,Gr.Estr.Reg.!$C:$H,6))),Tabla8[[LINK]:[PORCION]],5,FALSE)</f>
        <v>GROCC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8">
        <f t="shared" si="28"/>
        <v>23</v>
      </c>
      <c r="B25" s="127">
        <v>200001313</v>
      </c>
      <c r="C25" s="128">
        <v>610000000002325</v>
      </c>
      <c r="D25" s="128" t="s">
        <v>379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6" t="s">
        <v>61</v>
      </c>
      <c r="J25" s="176" t="s">
        <v>316</v>
      </c>
      <c r="K25" s="176" t="s">
        <v>1963</v>
      </c>
      <c r="L25" s="176" t="s">
        <v>275</v>
      </c>
      <c r="M25" s="176" t="s">
        <v>528</v>
      </c>
      <c r="O25" s="176" t="s">
        <v>1050</v>
      </c>
      <c r="Q25" s="176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+VLOOKUP(CONCATENATE(K25,IF(K25="Completo",VLOOKUP(D25,Gr.Estr.Reg.!$C:$D,2,FALSE),VLOOKUP(D25,Gr.Estr.Reg.!$C:$H,6))),Tabla8[[LINK]:[PORCION]],5,FALSE)</f>
        <v>GROCC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8">
        <f t="shared" si="28"/>
        <v>24</v>
      </c>
      <c r="B26" s="127">
        <v>200001313</v>
      </c>
      <c r="C26" s="128">
        <v>610000000002325</v>
      </c>
      <c r="D26" s="128" t="s">
        <v>379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6" t="s">
        <v>61</v>
      </c>
      <c r="J26" s="176" t="s">
        <v>316</v>
      </c>
      <c r="K26" s="176" t="s">
        <v>1963</v>
      </c>
      <c r="L26" s="176" t="s">
        <v>306</v>
      </c>
      <c r="M26" s="176" t="s">
        <v>528</v>
      </c>
      <c r="O26" s="176" t="s">
        <v>1050</v>
      </c>
      <c r="Q26" s="176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+VLOOKUP(CONCATENATE(K26,IF(K26="Completo",VLOOKUP(D26,Gr.Estr.Reg.!$C:$D,2,FALSE),VLOOKUP(D26,Gr.Estr.Reg.!$C:$H,6))),Tabla8[[LINK]:[PORCION]],5,FALSE)</f>
        <v>GROCC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8">
        <f t="shared" si="28"/>
        <v>25</v>
      </c>
      <c r="B27" s="127">
        <v>200001313</v>
      </c>
      <c r="C27" s="128">
        <v>610000000002325</v>
      </c>
      <c r="D27" s="128" t="s">
        <v>379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6" t="s">
        <v>61</v>
      </c>
      <c r="J27" s="176" t="s">
        <v>316</v>
      </c>
      <c r="K27" s="176" t="s">
        <v>1963</v>
      </c>
      <c r="L27" s="176" t="s">
        <v>277</v>
      </c>
      <c r="M27" s="176" t="s">
        <v>528</v>
      </c>
      <c r="O27" s="176" t="s">
        <v>1050</v>
      </c>
      <c r="Q27" s="176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+VLOOKUP(CONCATENATE(K27,IF(K27="Completo",VLOOKUP(D27,Gr.Estr.Reg.!$C:$D,2,FALSE),VLOOKUP(D27,Gr.Estr.Reg.!$C:$H,6))),Tabla8[[LINK]:[PORCION]],5,FALSE)</f>
        <v>GROCC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8">
        <f t="shared" si="28"/>
        <v>26</v>
      </c>
      <c r="B28" s="127">
        <v>200001313</v>
      </c>
      <c r="C28" s="128">
        <v>610000000002325</v>
      </c>
      <c r="D28" s="128" t="s">
        <v>379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6" t="s">
        <v>61</v>
      </c>
      <c r="J28" s="176" t="s">
        <v>316</v>
      </c>
      <c r="K28" s="176" t="s">
        <v>1963</v>
      </c>
      <c r="L28" s="176" t="s">
        <v>271</v>
      </c>
      <c r="M28" s="176" t="s">
        <v>268</v>
      </c>
      <c r="O28" s="176" t="s">
        <v>1050</v>
      </c>
      <c r="Q28" s="176" t="s">
        <v>248</v>
      </c>
      <c r="S28" s="114"/>
      <c r="T28" s="114"/>
      <c r="V28" s="114" t="s">
        <v>9152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+VLOOKUP(CONCATENATE(K28,IF(K28="Completo",VLOOKUP(D28,Gr.Estr.Reg.!$C:$D,2,FALSE),VLOOKUP(D28,Gr.Estr.Reg.!$C:$H,6))),Tabla8[[LINK]:[PORCION]],5,FALSE)</f>
        <v>GROCC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8">
        <f t="shared" si="28"/>
        <v>27</v>
      </c>
      <c r="B29" s="127">
        <v>200001313</v>
      </c>
      <c r="C29" s="128">
        <v>610000000002325</v>
      </c>
      <c r="D29" s="128" t="s">
        <v>379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6" t="s">
        <v>61</v>
      </c>
      <c r="J29" s="176" t="s">
        <v>316</v>
      </c>
      <c r="K29" s="176" t="s">
        <v>1963</v>
      </c>
      <c r="L29" s="176" t="s">
        <v>275</v>
      </c>
      <c r="M29" s="176" t="s">
        <v>268</v>
      </c>
      <c r="O29" s="176" t="s">
        <v>1050</v>
      </c>
      <c r="Q29" s="176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+VLOOKUP(CONCATENATE(K29,IF(K29="Completo",VLOOKUP(D29,Gr.Estr.Reg.!$C:$D,2,FALSE),VLOOKUP(D29,Gr.Estr.Reg.!$C:$H,6))),Tabla8[[LINK]:[PORCION]],5,FALSE)</f>
        <v>GROCC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8">
        <f t="shared" si="28"/>
        <v>28</v>
      </c>
      <c r="B30" s="127">
        <v>200001313</v>
      </c>
      <c r="C30" s="128">
        <v>610000000002325</v>
      </c>
      <c r="D30" s="128" t="s">
        <v>379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6" t="s">
        <v>61</v>
      </c>
      <c r="J30" s="176" t="s">
        <v>316</v>
      </c>
      <c r="K30" s="176" t="s">
        <v>1963</v>
      </c>
      <c r="L30" s="176" t="s">
        <v>306</v>
      </c>
      <c r="M30" s="176" t="s">
        <v>268</v>
      </c>
      <c r="O30" s="176" t="s">
        <v>1050</v>
      </c>
      <c r="Q30" s="176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
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+VLOOKUP(CONCATENATE(K30,IF(K30="Completo",VLOOKUP(D30,Gr.Estr.Reg.!$C:$D,2,FALSE),VLOOKUP(D30,Gr.Estr.Reg.!$C:$H,6))),Tabla8[[LINK]:[PORCION]],5,FALSE)</f>
        <v>GROCC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8">
        <f t="shared" si="28"/>
        <v>29</v>
      </c>
      <c r="B31" s="127">
        <v>200001313</v>
      </c>
      <c r="C31" s="128">
        <v>610000000002325</v>
      </c>
      <c r="D31" s="128" t="s">
        <v>379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6" t="s">
        <v>61</v>
      </c>
      <c r="J31" s="176" t="s">
        <v>316</v>
      </c>
      <c r="K31" s="176" t="s">
        <v>1963</v>
      </c>
      <c r="L31" s="176" t="s">
        <v>277</v>
      </c>
      <c r="M31" s="176" t="s">
        <v>268</v>
      </c>
      <c r="O31" s="176" t="s">
        <v>1050</v>
      </c>
      <c r="Q31" s="176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
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+VLOOKUP(CONCATENATE(K31,IF(K31="Completo",VLOOKUP(D31,Gr.Estr.Reg.!$C:$D,2,FALSE),VLOOKUP(D31,Gr.Estr.Reg.!$C:$H,6))),Tabla8[[LINK]:[PORCION]],5,FALSE)</f>
        <v>GROCC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8">
        <f t="shared" si="28"/>
        <v>30</v>
      </c>
      <c r="B32" s="127">
        <v>200001313</v>
      </c>
      <c r="C32" s="128">
        <v>610000000002325</v>
      </c>
      <c r="D32" s="128" t="s">
        <v>379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6" t="s">
        <v>61</v>
      </c>
      <c r="J32" s="176" t="s">
        <v>316</v>
      </c>
      <c r="K32" s="176" t="s">
        <v>1963</v>
      </c>
      <c r="L32" s="176" t="s">
        <v>271</v>
      </c>
      <c r="M32" s="176" t="s">
        <v>266</v>
      </c>
      <c r="O32" s="176" t="s">
        <v>1050</v>
      </c>
      <c r="Q32" s="176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
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+VLOOKUP(CONCATENATE(K32,IF(K32="Completo",VLOOKUP(D32,Gr.Estr.Reg.!$C:$D,2,FALSE),VLOOKUP(D32,Gr.Estr.Reg.!$C:$H,6))),Tabla8[[LINK]:[PORCION]],5,FALSE)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8">
        <f t="shared" si="28"/>
        <v>31</v>
      </c>
      <c r="B33" s="127">
        <v>200001313</v>
      </c>
      <c r="C33" s="128">
        <v>610000000002325</v>
      </c>
      <c r="D33" s="128" t="s">
        <v>379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6" t="s">
        <v>61</v>
      </c>
      <c r="J33" s="176" t="s">
        <v>316</v>
      </c>
      <c r="K33" s="176" t="s">
        <v>1963</v>
      </c>
      <c r="L33" s="176" t="s">
        <v>275</v>
      </c>
      <c r="M33" s="176" t="s">
        <v>266</v>
      </c>
      <c r="O33" s="176" t="s">
        <v>1050</v>
      </c>
      <c r="Q33" s="176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
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+VLOOKUP(CONCATENATE(K33,IF(K33="Completo",VLOOKUP(D33,Gr.Estr.Reg.!$C:$D,2,FALSE),VLOOKUP(D33,Gr.Estr.Reg.!$C:$H,6))),Tabla8[[LINK]:[PORCION]],5,FALSE)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8">
        <f t="shared" si="28"/>
        <v>32</v>
      </c>
      <c r="B34" s="127">
        <v>200001313</v>
      </c>
      <c r="C34" s="128">
        <v>610000000002325</v>
      </c>
      <c r="D34" s="128" t="s">
        <v>379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6" t="s">
        <v>61</v>
      </c>
      <c r="J34" s="176" t="s">
        <v>316</v>
      </c>
      <c r="K34" s="176" t="s">
        <v>1963</v>
      </c>
      <c r="L34" s="176" t="s">
        <v>306</v>
      </c>
      <c r="M34" s="176" t="s">
        <v>266</v>
      </c>
      <c r="O34" s="176" t="s">
        <v>1050</v>
      </c>
      <c r="Q34" s="176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+VLOOKUP(CONCATENATE(K34,IF(K34="Completo",VLOOKUP(D34,Gr.Estr.Reg.!$C:$D,2,FALSE),VLOOKUP(D34,Gr.Estr.Reg.!$C:$H,6))),Tabla8[[LINK]:[PORCION]],5,FALSE)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8">
        <f t="shared" si="28"/>
        <v>33</v>
      </c>
      <c r="B35" s="127">
        <v>200001313</v>
      </c>
      <c r="C35" s="128">
        <v>610000000002325</v>
      </c>
      <c r="D35" s="128" t="s">
        <v>379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6" t="s">
        <v>61</v>
      </c>
      <c r="J35" s="176" t="s">
        <v>316</v>
      </c>
      <c r="K35" s="176" t="s">
        <v>1963</v>
      </c>
      <c r="L35" s="176" t="s">
        <v>277</v>
      </c>
      <c r="M35" s="176" t="s">
        <v>266</v>
      </c>
      <c r="O35" s="176" t="s">
        <v>1050</v>
      </c>
      <c r="Q35" s="176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+VLOOKUP(CONCATENATE(K35,IF(K35="Completo",VLOOKUP(D35,Gr.Estr.Reg.!$C:$D,2,FALSE),VLOOKUP(D35,Gr.Estr.Reg.!$C:$H,6))),Tabla8[[LINK]:[PORCION]],5,FALSE)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8">
        <f t="shared" si="28"/>
        <v>34</v>
      </c>
      <c r="B36" s="127">
        <v>200001313</v>
      </c>
      <c r="C36" s="128">
        <v>610000000002325</v>
      </c>
      <c r="D36" s="128" t="s">
        <v>379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6" t="s">
        <v>62</v>
      </c>
      <c r="J36" s="176" t="s">
        <v>316</v>
      </c>
      <c r="K36" s="176" t="s">
        <v>1963</v>
      </c>
      <c r="L36" s="176" t="s">
        <v>271</v>
      </c>
      <c r="M36" s="176" t="s">
        <v>528</v>
      </c>
      <c r="O36" s="176" t="s">
        <v>1050</v>
      </c>
      <c r="Q36" s="176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+VLOOKUP(CONCATENATE(K36,IF(K36="Completo",VLOOKUP(D36,Gr.Estr.Reg.!$C:$D,2,FALSE),VLOOKUP(D36,Gr.Estr.Reg.!$C:$H,6))),Tabla8[[LINK]:[PORCION]],5,FALSE)</f>
        <v>GROCC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8">
        <f t="shared" si="28"/>
        <v>35</v>
      </c>
      <c r="B37" s="127">
        <v>200001313</v>
      </c>
      <c r="C37" s="128">
        <v>610000000002325</v>
      </c>
      <c r="D37" s="128" t="s">
        <v>379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6" t="s">
        <v>62</v>
      </c>
      <c r="J37" s="176" t="s">
        <v>316</v>
      </c>
      <c r="K37" s="176" t="s">
        <v>1963</v>
      </c>
      <c r="L37" s="176" t="s">
        <v>275</v>
      </c>
      <c r="M37" s="176" t="s">
        <v>528</v>
      </c>
      <c r="O37" s="176" t="s">
        <v>1050</v>
      </c>
      <c r="Q37" s="176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+VLOOKUP(CONCATENATE(K37,IF(K37="Completo",VLOOKUP(D37,Gr.Estr.Reg.!$C:$D,2,FALSE),VLOOKUP(D37,Gr.Estr.Reg.!$C:$H,6))),Tabla8[[LINK]:[PORCION]],5,FALSE)</f>
        <v>GROCC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8">
        <f t="shared" si="28"/>
        <v>36</v>
      </c>
      <c r="B38" s="127">
        <v>200001313</v>
      </c>
      <c r="C38" s="128">
        <v>610000000002325</v>
      </c>
      <c r="D38" s="128" t="s">
        <v>379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6" t="s">
        <v>62</v>
      </c>
      <c r="J38" s="176" t="s">
        <v>316</v>
      </c>
      <c r="K38" s="176" t="s">
        <v>1963</v>
      </c>
      <c r="L38" s="176" t="s">
        <v>306</v>
      </c>
      <c r="M38" s="176" t="s">
        <v>528</v>
      </c>
      <c r="O38" s="176" t="s">
        <v>1050</v>
      </c>
      <c r="Q38" s="176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+VLOOKUP(CONCATENATE(K38,IF(K38="Completo",VLOOKUP(D38,Gr.Estr.Reg.!$C:$D,2,FALSE),VLOOKUP(D38,Gr.Estr.Reg.!$C:$H,6))),Tabla8[[LINK]:[PORCION]],5,FALSE)</f>
        <v>GROCC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8">
        <f t="shared" si="28"/>
        <v>37</v>
      </c>
      <c r="B39" s="127">
        <v>200001313</v>
      </c>
      <c r="C39" s="128">
        <v>610000000002325</v>
      </c>
      <c r="D39" s="128" t="s">
        <v>379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6" t="s">
        <v>62</v>
      </c>
      <c r="J39" s="176" t="s">
        <v>316</v>
      </c>
      <c r="K39" s="176" t="s">
        <v>1963</v>
      </c>
      <c r="L39" s="176" t="s">
        <v>277</v>
      </c>
      <c r="M39" s="176" t="s">
        <v>528</v>
      </c>
      <c r="O39" s="176" t="s">
        <v>1050</v>
      </c>
      <c r="Q39" s="176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+VLOOKUP(CONCATENATE(K39,IF(K39="Completo",VLOOKUP(D39,Gr.Estr.Reg.!$C:$D,2,FALSE),VLOOKUP(D39,Gr.Estr.Reg.!$C:$H,6))),Tabla8[[LINK]:[PORCION]],5,FALSE)</f>
        <v>GROCC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8">
        <f t="shared" si="28"/>
        <v>38</v>
      </c>
      <c r="B40" s="127">
        <v>200001313</v>
      </c>
      <c r="C40" s="128">
        <v>610000000002325</v>
      </c>
      <c r="D40" s="128" t="s">
        <v>379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9153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
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+VLOOKUP(CONCATENATE(K40,IF(K40="Completo",VLOOKUP(D40,Gr.Estr.Reg.!$C:$D,2,FALSE),VLOOKUP(D40,Gr.Estr.Reg.!$C:$H,6))),Tabla8[[LINK]:[PORCION]],5,FALSE)</f>
        <v>GROCC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8">
        <f t="shared" si="28"/>
        <v>39</v>
      </c>
      <c r="B41" s="127">
        <v>200001313</v>
      </c>
      <c r="C41" s="128">
        <v>610000000002325</v>
      </c>
      <c r="D41" s="128" t="s">
        <v>379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
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+VLOOKUP(CONCATENATE(K41,IF(K41="Completo",VLOOKUP(D41,Gr.Estr.Reg.!$C:$D,2,FALSE),VLOOKUP(D41,Gr.Estr.Reg.!$C:$H,6))),Tabla8[[LINK]:[PORCION]],5,FALSE)</f>
        <v>GROCC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8">
        <f t="shared" si="28"/>
        <v>40</v>
      </c>
      <c r="B42" s="127">
        <v>200001313</v>
      </c>
      <c r="C42" s="128">
        <v>610000000002325</v>
      </c>
      <c r="D42" s="128" t="s">
        <v>379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
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+VLOOKUP(CONCATENATE(K42,IF(K42="Completo",VLOOKUP(D42,Gr.Estr.Reg.!$C:$D,2,FALSE),VLOOKUP(D42,Gr.Estr.Reg.!$C:$H,6))),Tabla8[[LINK]:[PORCION]],5,FALSE)</f>
        <v>GROCC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8">
        <f t="shared" si="28"/>
        <v>41</v>
      </c>
      <c r="B43" s="127">
        <v>200001313</v>
      </c>
      <c r="C43" s="128">
        <v>610000000002325</v>
      </c>
      <c r="D43" s="128" t="s">
        <v>379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
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+VLOOKUP(CONCATENATE(K43,IF(K43="Completo",VLOOKUP(D43,Gr.Estr.Reg.!$C:$D,2,FALSE),VLOOKUP(D43,Gr.Estr.Reg.!$C:$H,6))),Tabla8[[LINK]:[PORCION]],5,FALSE)</f>
        <v>GROCC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8">
        <f t="shared" si="28"/>
        <v>42</v>
      </c>
      <c r="B44" s="127">
        <v>200001313</v>
      </c>
      <c r="C44" s="128">
        <v>610000000002325</v>
      </c>
      <c r="D44" s="128" t="s">
        <v>379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
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+VLOOKUP(CONCATENATE(K44,IF(K44="Completo",VLOOKUP(D44,Gr.Estr.Reg.!$C:$D,2,FALSE),VLOOKUP(D44,Gr.Estr.Reg.!$C:$H,6))),Tabla8[[LINK]:[PORCION]],5,FALSE)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8">
        <f t="shared" si="28"/>
        <v>43</v>
      </c>
      <c r="B45" s="127">
        <v>200001313</v>
      </c>
      <c r="C45" s="128">
        <v>610000000002325</v>
      </c>
      <c r="D45" s="128" t="s">
        <v>379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
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+VLOOKUP(CONCATENATE(K45,IF(K45="Completo",VLOOKUP(D45,Gr.Estr.Reg.!$C:$D,2,FALSE),VLOOKUP(D45,Gr.Estr.Reg.!$C:$H,6))),Tabla8[[LINK]:[PORCION]],5,FALSE)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8">
        <f t="shared" si="28"/>
        <v>44</v>
      </c>
      <c r="B46" s="127">
        <v>200001313</v>
      </c>
      <c r="C46" s="128">
        <v>610000000002325</v>
      </c>
      <c r="D46" s="128" t="s">
        <v>379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
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+VLOOKUP(CONCATENATE(K46,IF(K46="Completo",VLOOKUP(D46,Gr.Estr.Reg.!$C:$D,2,FALSE),VLOOKUP(D46,Gr.Estr.Reg.!$C:$H,6))),Tabla8[[LINK]:[PORCION]],5,FALSE)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8">
        <f t="shared" si="28"/>
        <v>45</v>
      </c>
      <c r="B47" s="127">
        <v>200001313</v>
      </c>
      <c r="C47" s="128">
        <v>610000000002325</v>
      </c>
      <c r="D47" s="128" t="s">
        <v>379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
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+VLOOKUP(CONCATENATE(K47,IF(K47="Completo",VLOOKUP(D47,Gr.Estr.Reg.!$C:$D,2,FALSE),VLOOKUP(D47,Gr.Estr.Reg.!$C:$H,6))),Tabla8[[LINK]:[PORCION]],5,FALSE)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8">
        <f t="shared" si="28"/>
        <v>46</v>
      </c>
      <c r="B48" s="127">
        <v>200001313</v>
      </c>
      <c r="C48" s="128">
        <v>610000000002325</v>
      </c>
      <c r="D48" s="128" t="s">
        <v>379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+VLOOKUP(CONCATENATE(K48,IF(K48="Completo",VLOOKUP(D48,Gr.Estr.Reg.!$C:$D,2,FALSE),VLOOKUP(D48,Gr.Estr.Reg.!$C:$H,6))),Tabla8[[LINK]:[PORCION]],5,FALSE)</f>
        <v>GROCC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8">
        <f t="shared" si="28"/>
        <v>47</v>
      </c>
      <c r="B49" s="127">
        <v>200001313</v>
      </c>
      <c r="C49" s="128">
        <v>610000000002325</v>
      </c>
      <c r="D49" s="128" t="s">
        <v>379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
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+VLOOKUP(CONCATENATE(K49,IF(K49="Completo",VLOOKUP(D49,Gr.Estr.Reg.!$C:$D,2,FALSE),VLOOKUP(D49,Gr.Estr.Reg.!$C:$H,6))),Tabla8[[LINK]:[PORCION]],5,FALSE)</f>
        <v>GROCC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8">
        <f t="shared" si="28"/>
        <v>48</v>
      </c>
      <c r="B50" s="127">
        <v>200001313</v>
      </c>
      <c r="C50" s="128">
        <v>610000000002325</v>
      </c>
      <c r="D50" s="128" t="s">
        <v>379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+VLOOKUP(CONCATENATE(K50,IF(K50="Completo",VLOOKUP(D50,Gr.Estr.Reg.!$C:$D,2,FALSE),VLOOKUP(D50,Gr.Estr.Reg.!$C:$H,6))),Tabla8[[LINK]:[PORCION]],5,FALSE)</f>
        <v>GROCC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8">
        <f t="shared" si="28"/>
        <v>49</v>
      </c>
      <c r="B51" s="127">
        <v>200001313</v>
      </c>
      <c r="C51" s="128">
        <v>610000000002325</v>
      </c>
      <c r="D51" s="128" t="s">
        <v>379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
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+VLOOKUP(CONCATENATE(K51,IF(K51="Completo",VLOOKUP(D51,Gr.Estr.Reg.!$C:$D,2,FALSE),VLOOKUP(D51,Gr.Estr.Reg.!$C:$H,6))),Tabla8[[LINK]:[PORCION]],5,FALSE)</f>
        <v>GROCC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8">
        <f t="shared" si="28"/>
        <v>50</v>
      </c>
      <c r="B52" s="127">
        <v>200001313</v>
      </c>
      <c r="C52" s="128">
        <v>610000000002325</v>
      </c>
      <c r="D52" s="128" t="s">
        <v>379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
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+VLOOKUP(CONCATENATE(K52,IF(K52="Completo",VLOOKUP(D52,Gr.Estr.Reg.!$C:$D,2,FALSE),VLOOKUP(D52,Gr.Estr.Reg.!$C:$H,6))),Tabla8[[LINK]:[PORCION]],5,FALSE)</f>
        <v>GROCC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8">
        <f t="shared" si="28"/>
        <v>51</v>
      </c>
      <c r="B53" s="127">
        <v>200001313</v>
      </c>
      <c r="C53" s="128">
        <v>610000000002325</v>
      </c>
      <c r="D53" s="128" t="s">
        <v>379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+VLOOKUP(CONCATENATE(K53,IF(K53="Completo",VLOOKUP(D53,Gr.Estr.Reg.!$C:$D,2,FALSE),VLOOKUP(D53,Gr.Estr.Reg.!$C:$H,6))),Tabla8[[LINK]:[PORCION]],5,FALSE)</f>
        <v>GROCC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8">
        <f t="shared" si="28"/>
        <v>52</v>
      </c>
      <c r="B54" s="127">
        <v>200001313</v>
      </c>
      <c r="C54" s="128">
        <v>610000000002325</v>
      </c>
      <c r="D54" s="128" t="s">
        <v>379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
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+VLOOKUP(CONCATENATE(K54,IF(K54="Completo",VLOOKUP(D54,Gr.Estr.Reg.!$C:$D,2,FALSE),VLOOKUP(D54,Gr.Estr.Reg.!$C:$H,6))),Tabla8[[LINK]:[PORCION]],5,FALSE)</f>
        <v>GROCC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8">
        <f t="shared" si="28"/>
        <v>53</v>
      </c>
      <c r="B55" s="127">
        <v>200001313</v>
      </c>
      <c r="C55" s="128">
        <v>610000000002325</v>
      </c>
      <c r="D55" s="128" t="s">
        <v>379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+VLOOKUP(CONCATENATE(K55,IF(K55="Completo",VLOOKUP(D55,Gr.Estr.Reg.!$C:$D,2,FALSE),VLOOKUP(D55,Gr.Estr.Reg.!$C:$H,6))),Tabla8[[LINK]:[PORCION]],5,FALSE)</f>
        <v>GROCC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8">
        <f t="shared" si="28"/>
        <v>54</v>
      </c>
      <c r="B56" s="127">
        <v>200001313</v>
      </c>
      <c r="C56" s="128">
        <v>610000000002325</v>
      </c>
      <c r="D56" s="128" t="s">
        <v>379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
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+VLOOKUP(CONCATENATE(K56,IF(K56="Completo",VLOOKUP(D56,Gr.Estr.Reg.!$C:$D,2,FALSE),VLOOKUP(D56,Gr.Estr.Reg.!$C:$H,6))),Tabla8[[LINK]:[PORCION]],5,FALSE)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8">
        <f t="shared" si="28"/>
        <v>55</v>
      </c>
      <c r="B57" s="127">
        <v>200001313</v>
      </c>
      <c r="C57" s="128">
        <v>610000000002325</v>
      </c>
      <c r="D57" s="128" t="s">
        <v>379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
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+VLOOKUP(CONCATENATE(K57,IF(K57="Completo",VLOOKUP(D57,Gr.Estr.Reg.!$C:$D,2,FALSE),VLOOKUP(D57,Gr.Estr.Reg.!$C:$H,6))),Tabla8[[LINK]:[PORCION]],5,FALSE)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8">
        <f t="shared" si="28"/>
        <v>56</v>
      </c>
      <c r="B58" s="127">
        <v>200001313</v>
      </c>
      <c r="C58" s="128">
        <v>610000000002325</v>
      </c>
      <c r="D58" s="128" t="s">
        <v>379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
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+VLOOKUP(CONCATENATE(K58,IF(K58="Completo",VLOOKUP(D58,Gr.Estr.Reg.!$C:$D,2,FALSE),VLOOKUP(D58,Gr.Estr.Reg.!$C:$H,6))),Tabla8[[LINK]:[PORCION]],5,FALSE)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8">
        <f t="shared" si="28"/>
        <v>57</v>
      </c>
      <c r="B59" s="127">
        <v>200001313</v>
      </c>
      <c r="C59" s="128">
        <v>610000000002325</v>
      </c>
      <c r="D59" s="128" t="s">
        <v>379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9154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+VLOOKUP(CONCATENATE(K59,IF(K59="Completo",VLOOKUP(D59,Gr.Estr.Reg.!$C:$D,2,FALSE),VLOOKUP(D59,Gr.Estr.Reg.!$C:$H,6))),Tabla8[[LINK]:[PORCION]],5,FALSE)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8">
        <f t="shared" si="28"/>
        <v>58</v>
      </c>
      <c r="B60" s="127">
        <v>200001313</v>
      </c>
      <c r="C60" s="128">
        <v>610000000002325</v>
      </c>
      <c r="D60" s="128" t="s">
        <v>379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+VLOOKUP(CONCATENATE(K60,IF(K60="Completo",VLOOKUP(D60,Gr.Estr.Reg.!$C:$D,2,FALSE),VLOOKUP(D60,Gr.Estr.Reg.!$C:$H,6))),Tabla8[[LINK]:[PORCION]],5,FALSE)</f>
        <v>GROCC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8">
        <f t="shared" si="28"/>
        <v>59</v>
      </c>
      <c r="B61" s="127">
        <v>200001313</v>
      </c>
      <c r="C61" s="128">
        <v>610000000002325</v>
      </c>
      <c r="D61" s="128" t="s">
        <v>379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+VLOOKUP(CONCATENATE(K61,IF(K61="Completo",VLOOKUP(D61,Gr.Estr.Reg.!$C:$D,2,FALSE),VLOOKUP(D61,Gr.Estr.Reg.!$C:$H,6))),Tabla8[[LINK]:[PORCION]],5,FALSE)</f>
        <v>GROCC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8">
        <f t="shared" si="28"/>
        <v>60</v>
      </c>
      <c r="B62" s="127">
        <v>200001313</v>
      </c>
      <c r="C62" s="128">
        <v>610000000002325</v>
      </c>
      <c r="D62" s="128" t="s">
        <v>379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+VLOOKUP(CONCATENATE(K62,IF(K62="Completo",VLOOKUP(D62,Gr.Estr.Reg.!$C:$D,2,FALSE),VLOOKUP(D62,Gr.Estr.Reg.!$C:$H,6))),Tabla8[[LINK]:[PORCION]],5,FALSE)</f>
        <v>GROCC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8">
        <f t="shared" si="28"/>
        <v>61</v>
      </c>
      <c r="B63" s="127">
        <v>200001313</v>
      </c>
      <c r="C63" s="128">
        <v>610000000002325</v>
      </c>
      <c r="D63" s="128" t="s">
        <v>379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
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+VLOOKUP(CONCATENATE(K63,IF(K63="Completo",VLOOKUP(D63,Gr.Estr.Reg.!$C:$D,2,FALSE),VLOOKUP(D63,Gr.Estr.Reg.!$C:$H,6))),Tabla8[[LINK]:[PORCION]],5,FALSE)</f>
        <v>GROCC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8">
        <f t="shared" si="28"/>
        <v>62</v>
      </c>
      <c r="B64" s="127">
        <v>200001313</v>
      </c>
      <c r="C64" s="128">
        <v>610000000002325</v>
      </c>
      <c r="D64" s="128" t="s">
        <v>379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
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+VLOOKUP(CONCATENATE(K64,IF(K64="Completo",VLOOKUP(D64,Gr.Estr.Reg.!$C:$D,2,FALSE),VLOOKUP(D64,Gr.Estr.Reg.!$C:$H,6))),Tabla8[[LINK]:[PORCION]],5,FALSE)</f>
        <v>GROCC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8">
        <f t="shared" si="28"/>
        <v>63</v>
      </c>
      <c r="B65" s="127">
        <v>200001313</v>
      </c>
      <c r="C65" s="128">
        <v>610000000002325</v>
      </c>
      <c r="D65" s="128" t="s">
        <v>379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+VLOOKUP(CONCATENATE(K65,IF(K65="Completo",VLOOKUP(D65,Gr.Estr.Reg.!$C:$D,2,FALSE),VLOOKUP(D65,Gr.Estr.Reg.!$C:$H,6))),Tabla8[[LINK]:[PORCION]],5,FALSE)</f>
        <v>GROCC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8">
        <f t="shared" si="28"/>
        <v>64</v>
      </c>
      <c r="B66" s="127">
        <v>200001313</v>
      </c>
      <c r="C66" s="128">
        <v>610000000002325</v>
      </c>
      <c r="D66" s="128" t="s">
        <v>379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+VLOOKUP(CONCATENATE(K66,IF(K66="Completo",VLOOKUP(D66,Gr.Estr.Reg.!$C:$D,2,FALSE),VLOOKUP(D66,Gr.Estr.Reg.!$C:$H,6))),Tabla8[[LINK]:[PORCION]],5,FALSE)</f>
        <v>GROCC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8">
        <f t="shared" si="28"/>
        <v>65</v>
      </c>
      <c r="B67" s="127">
        <v>200001313</v>
      </c>
      <c r="C67" s="128">
        <v>610000000002325</v>
      </c>
      <c r="D67" s="128" t="s">
        <v>379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
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+VLOOKUP(CONCATENATE(K67,IF(K67="Completo",VLOOKUP(D67,Gr.Estr.Reg.!$C:$D,2,FALSE),VLOOKUP(D67,Gr.Estr.Reg.!$C:$H,6))),Tabla8[[LINK]:[PORCION]],5,FALSE)</f>
        <v>GROCC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8">
        <f t="shared" si="28"/>
        <v>66</v>
      </c>
      <c r="B68" s="127">
        <v>200001313</v>
      </c>
      <c r="C68" s="128">
        <v>610000000002325</v>
      </c>
      <c r="D68" s="128" t="s">
        <v>379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
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+VLOOKUP(CONCATENATE(K68,IF(K68="Completo",VLOOKUP(D68,Gr.Estr.Reg.!$C:$D,2,FALSE),VLOOKUP(D68,Gr.Estr.Reg.!$C:$H,6))),Tabla8[[LINK]:[PORCION]],5,FALSE)</f>
        <v>GROCC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8">
        <f t="shared" ref="A69:A132" si="84">+A68+1</f>
        <v>67</v>
      </c>
      <c r="B69" s="127">
        <v>200001313</v>
      </c>
      <c r="C69" s="128">
        <v>610000000002325</v>
      </c>
      <c r="D69" s="128" t="s">
        <v>379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
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+VLOOKUP(CONCATENATE(K69,IF(K69="Completo",VLOOKUP(D69,Gr.Estr.Reg.!$C:$D,2,FALSE),VLOOKUP(D69,Gr.Estr.Reg.!$C:$H,6))),Tabla8[[LINK]:[PORCION]],5,FALSE)</f>
        <v>GROCC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8">
        <f t="shared" si="84"/>
        <v>68</v>
      </c>
      <c r="B70" s="127">
        <v>200001313</v>
      </c>
      <c r="C70" s="128">
        <v>610000000002325</v>
      </c>
      <c r="D70" s="128" t="s">
        <v>379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
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+VLOOKUP(CONCATENATE(K70,IF(K70="Completo",VLOOKUP(D70,Gr.Estr.Reg.!$C:$D,2,FALSE),VLOOKUP(D70,Gr.Estr.Reg.!$C:$H,6))),Tabla8[[LINK]:[PORCION]],5,FALSE)</f>
        <v>GROCC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8">
        <f t="shared" si="84"/>
        <v>69</v>
      </c>
      <c r="B71" s="127">
        <v>200001313</v>
      </c>
      <c r="C71" s="128">
        <v>610000000002325</v>
      </c>
      <c r="D71" s="128" t="s">
        <v>379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
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+VLOOKUP(CONCATENATE(K71,IF(K71="Completo",VLOOKUP(D71,Gr.Estr.Reg.!$C:$D,2,FALSE),VLOOKUP(D71,Gr.Estr.Reg.!$C:$H,6))),Tabla8[[LINK]:[PORCION]],5,FALSE)</f>
        <v>GROCC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8">
        <f t="shared" si="84"/>
        <v>70</v>
      </c>
      <c r="B72" s="127">
        <v>200001313</v>
      </c>
      <c r="C72" s="128">
        <v>610000000002325</v>
      </c>
      <c r="D72" s="128" t="s">
        <v>379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
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+VLOOKUP(CONCATENATE(K72,IF(K72="Completo",VLOOKUP(D72,Gr.Estr.Reg.!$C:$D,2,FALSE),VLOOKUP(D72,Gr.Estr.Reg.!$C:$H,6))),Tabla8[[LINK]:[PORCION]],5,FALSE)</f>
        <v>GROCC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8">
        <f t="shared" si="84"/>
        <v>71</v>
      </c>
      <c r="B73" s="127">
        <v>200001313</v>
      </c>
      <c r="C73" s="128">
        <v>610000000002325</v>
      </c>
      <c r="D73" s="128" t="s">
        <v>379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
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+VLOOKUP(CONCATENATE(K73,IF(K73="Completo",VLOOKUP(D73,Gr.Estr.Reg.!$C:$D,2,FALSE),VLOOKUP(D73,Gr.Estr.Reg.!$C:$H,6))),Tabla8[[LINK]:[PORCION]],5,FALSE)</f>
        <v>GROCC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8">
        <f t="shared" si="84"/>
        <v>72</v>
      </c>
      <c r="B74" s="127">
        <v>200001313</v>
      </c>
      <c r="C74" s="128">
        <v>610000000002325</v>
      </c>
      <c r="D74" s="128" t="s">
        <v>379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
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+VLOOKUP(CONCATENATE(K74,IF(K74="Completo",VLOOKUP(D74,Gr.Estr.Reg.!$C:$D,2,FALSE),VLOOKUP(D74,Gr.Estr.Reg.!$C:$H,6))),Tabla8[[LINK]:[PORCION]],5,FALSE)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8">
        <f t="shared" si="84"/>
        <v>73</v>
      </c>
      <c r="B75" s="127">
        <v>200001313</v>
      </c>
      <c r="C75" s="128">
        <v>610000000002325</v>
      </c>
      <c r="D75" s="128" t="s">
        <v>379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9154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+VLOOKUP(CONCATENATE(K75,IF(K75="Completo",VLOOKUP(D75,Gr.Estr.Reg.!$C:$D,2,FALSE),VLOOKUP(D75,Gr.Estr.Reg.!$C:$H,6))),Tabla8[[LINK]:[PORCION]],5,FALSE)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8">
        <f t="shared" si="84"/>
        <v>74</v>
      </c>
      <c r="B76" s="127">
        <v>200001313</v>
      </c>
      <c r="C76" s="128">
        <v>610000000002325</v>
      </c>
      <c r="D76" s="128" t="s">
        <v>379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
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+VLOOKUP(CONCATENATE(K76,IF(K76="Completo",VLOOKUP(D76,Gr.Estr.Reg.!$C:$D,2,FALSE),VLOOKUP(D76,Gr.Estr.Reg.!$C:$H,6))),Tabla8[[LINK]:[PORCION]],5,FALSE)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8">
        <f t="shared" si="84"/>
        <v>75</v>
      </c>
      <c r="B77" s="127">
        <v>200001313</v>
      </c>
      <c r="C77" s="128">
        <v>610000000002325</v>
      </c>
      <c r="D77" s="128" t="s">
        <v>379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
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+VLOOKUP(CONCATENATE(K77,IF(K77="Completo",VLOOKUP(D77,Gr.Estr.Reg.!$C:$D,2,FALSE),VLOOKUP(D77,Gr.Estr.Reg.!$C:$H,6))),Tabla8[[LINK]:[PORCION]],5,FALSE)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8">
        <f t="shared" si="84"/>
        <v>76</v>
      </c>
      <c r="B78" s="127">
        <v>200001313</v>
      </c>
      <c r="C78" s="128">
        <v>610000000002325</v>
      </c>
      <c r="D78" s="128" t="s">
        <v>379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
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+VLOOKUP(CONCATENATE(K78,IF(K78="Completo",VLOOKUP(D78,Gr.Estr.Reg.!$C:$D,2,FALSE),VLOOKUP(D78,Gr.Estr.Reg.!$C:$H,6))),Tabla8[[LINK]:[PORCION]],5,FALSE)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8">
        <f t="shared" si="84"/>
        <v>77</v>
      </c>
      <c r="B79" s="127">
        <v>200001313</v>
      </c>
      <c r="C79" s="128">
        <v>610000000002325</v>
      </c>
      <c r="D79" s="128" t="s">
        <v>379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+VLOOKUP(CONCATENATE(K79,IF(K79="Completo",VLOOKUP(D79,Gr.Estr.Reg.!$C:$D,2,FALSE),VLOOKUP(D79,Gr.Estr.Reg.!$C:$H,6))),Tabla8[[LINK]:[PORCION]],5,FALSE)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8">
        <f t="shared" si="84"/>
        <v>78</v>
      </c>
      <c r="B80" s="127">
        <v>200001313</v>
      </c>
      <c r="C80" s="128">
        <v>610000000002325</v>
      </c>
      <c r="D80" s="128" t="s">
        <v>379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
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+VLOOKUP(CONCATENATE(K80,IF(K80="Completo",VLOOKUP(D80,Gr.Estr.Reg.!$C:$D,2,FALSE),VLOOKUP(D80,Gr.Estr.Reg.!$C:$H,6))),Tabla8[[LINK]:[PORCION]],5,FALSE)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8">
        <f t="shared" si="84"/>
        <v>79</v>
      </c>
      <c r="B81" s="127">
        <v>200001313</v>
      </c>
      <c r="C81" s="128">
        <v>610000000002325</v>
      </c>
      <c r="D81" s="128" t="s">
        <v>379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
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+VLOOKUP(CONCATENATE(K81,IF(K81="Completo",VLOOKUP(D81,Gr.Estr.Reg.!$C:$D,2,FALSE),VLOOKUP(D81,Gr.Estr.Reg.!$C:$H,6))),Tabla8[[LINK]:[PORCION]],5,FALSE)</f>
        <v>GROCC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8">
        <f t="shared" si="84"/>
        <v>80</v>
      </c>
      <c r="B82" s="127">
        <v>200001313</v>
      </c>
      <c r="C82" s="128">
        <v>610000000002325</v>
      </c>
      <c r="D82" s="128" t="s">
        <v>379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
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+VLOOKUP(CONCATENATE(K82,IF(K82="Completo",VLOOKUP(D82,Gr.Estr.Reg.!$C:$D,2,FALSE),VLOOKUP(D82,Gr.Estr.Reg.!$C:$H,6))),Tabla8[[LINK]:[PORCION]],5,FALSE)</f>
        <v>GROCC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8">
        <f t="shared" si="84"/>
        <v>81</v>
      </c>
      <c r="B83" s="127">
        <v>200001313</v>
      </c>
      <c r="C83" s="128">
        <v>610000000002325</v>
      </c>
      <c r="D83" s="128" t="s">
        <v>379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+VLOOKUP(CONCATENATE(K83,IF(K83="Completo",VLOOKUP(D83,Gr.Estr.Reg.!$C:$D,2,FALSE),VLOOKUP(D83,Gr.Estr.Reg.!$C:$H,6))),Tabla8[[LINK]:[PORCION]],5,FALSE)</f>
        <v>GROCC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8">
        <f t="shared" si="84"/>
        <v>82</v>
      </c>
      <c r="B84" s="127">
        <v>200001313</v>
      </c>
      <c r="C84" s="128">
        <v>610000000002325</v>
      </c>
      <c r="D84" s="128" t="s">
        <v>379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+VLOOKUP(CONCATENATE(K84,IF(K84="Completo",VLOOKUP(D84,Gr.Estr.Reg.!$C:$D,2,FALSE),VLOOKUP(D84,Gr.Estr.Reg.!$C:$H,6))),Tabla8[[LINK]:[PORCION]],5,FALSE)</f>
        <v>GROCC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8">
        <f t="shared" si="84"/>
        <v>83</v>
      </c>
      <c r="B85" s="127">
        <v>200001313</v>
      </c>
      <c r="C85" s="128">
        <v>610000000002325</v>
      </c>
      <c r="D85" s="128" t="s">
        <v>379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+VLOOKUP(CONCATENATE(K85,IF(K85="Completo",VLOOKUP(D85,Gr.Estr.Reg.!$C:$D,2,FALSE),VLOOKUP(D85,Gr.Estr.Reg.!$C:$H,6))),Tabla8[[LINK]:[PORCION]],5,FALSE)</f>
        <v>GROCC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8">
        <f t="shared" si="84"/>
        <v>84</v>
      </c>
      <c r="B86" s="127">
        <v>200001313</v>
      </c>
      <c r="C86" s="128">
        <v>610000000002325</v>
      </c>
      <c r="D86" s="128" t="s">
        <v>379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+VLOOKUP(CONCATENATE(K86,IF(K86="Completo",VLOOKUP(D86,Gr.Estr.Reg.!$C:$D,2,FALSE),VLOOKUP(D86,Gr.Estr.Reg.!$C:$H,6))),Tabla8[[LINK]:[PORCION]],5,FALSE)</f>
        <v>GROCC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8">
        <f t="shared" si="84"/>
        <v>85</v>
      </c>
      <c r="B87" s="127">
        <v>200001313</v>
      </c>
      <c r="C87" s="128">
        <v>610000000002325</v>
      </c>
      <c r="D87" s="128" t="s">
        <v>379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+VLOOKUP(CONCATENATE(K87,IF(K87="Completo",VLOOKUP(D87,Gr.Estr.Reg.!$C:$D,2,FALSE),VLOOKUP(D87,Gr.Estr.Reg.!$C:$H,6))),Tabla8[[LINK]:[PORCION]],5,FALSE)</f>
        <v>GROCC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8">
        <f t="shared" si="84"/>
        <v>86</v>
      </c>
      <c r="B88" s="127">
        <v>200001313</v>
      </c>
      <c r="C88" s="128">
        <v>610000000002325</v>
      </c>
      <c r="D88" s="128" t="s">
        <v>379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
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+VLOOKUP(CONCATENATE(K88,IF(K88="Completo",VLOOKUP(D88,Gr.Estr.Reg.!$C:$D,2,FALSE),VLOOKUP(D88,Gr.Estr.Reg.!$C:$H,6))),Tabla8[[LINK]:[PORCION]],5,FALSE)</f>
        <v>GROCC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8">
        <f t="shared" si="84"/>
        <v>87</v>
      </c>
      <c r="B89" s="127">
        <v>200001313</v>
      </c>
      <c r="C89" s="128">
        <v>610000000002325</v>
      </c>
      <c r="D89" s="128" t="s">
        <v>379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+VLOOKUP(CONCATENATE(K89,IF(K89="Completo",VLOOKUP(D89,Gr.Estr.Reg.!$C:$D,2,FALSE),VLOOKUP(D89,Gr.Estr.Reg.!$C:$H,6))),Tabla8[[LINK]:[PORCION]],5,FALSE)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8">
        <f t="shared" si="84"/>
        <v>88</v>
      </c>
      <c r="B90" s="127">
        <v>200001313</v>
      </c>
      <c r="C90" s="128">
        <v>610000000002325</v>
      </c>
      <c r="D90" s="128" t="s">
        <v>379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
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+VLOOKUP(CONCATENATE(K90,IF(K90="Completo",VLOOKUP(D90,Gr.Estr.Reg.!$C:$D,2,FALSE),VLOOKUP(D90,Gr.Estr.Reg.!$C:$H,6))),Tabla8[[LINK]:[PORCION]],5,FALSE)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8">
        <f t="shared" si="84"/>
        <v>89</v>
      </c>
      <c r="B91" s="127">
        <v>200001313</v>
      </c>
      <c r="C91" s="128">
        <v>610000000002325</v>
      </c>
      <c r="D91" s="128" t="s">
        <v>379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
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+VLOOKUP(CONCATENATE(K91,IF(K91="Completo",VLOOKUP(D91,Gr.Estr.Reg.!$C:$D,2,FALSE),VLOOKUP(D91,Gr.Estr.Reg.!$C:$H,6))),Tabla8[[LINK]:[PORCION]],5,FALSE)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8">
        <f t="shared" si="84"/>
        <v>90</v>
      </c>
      <c r="B92" s="127">
        <v>200001313</v>
      </c>
      <c r="C92" s="128">
        <v>610000000002325</v>
      </c>
      <c r="D92" s="128" t="s">
        <v>379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+VLOOKUP(CONCATENATE(K92,IF(K92="Completo",VLOOKUP(D92,Gr.Estr.Reg.!$C:$D,2,FALSE),VLOOKUP(D92,Gr.Estr.Reg.!$C:$H,6))),Tabla8[[LINK]:[PORCION]],5,FALSE)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8">
        <f t="shared" si="84"/>
        <v>91</v>
      </c>
      <c r="B93" s="127">
        <v>200001313</v>
      </c>
      <c r="C93" s="128">
        <v>610000000002325</v>
      </c>
      <c r="D93" s="128" t="s">
        <v>379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9153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+VLOOKUP(CONCATENATE(K93,IF(K93="Completo",VLOOKUP(D93,Gr.Estr.Reg.!$C:$D,2,FALSE),VLOOKUP(D93,Gr.Estr.Reg.!$C:$H,6))),Tabla8[[LINK]:[PORCION]],5,FALSE)</f>
        <v>GROCC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8">
        <f t="shared" si="84"/>
        <v>92</v>
      </c>
      <c r="B94" s="127">
        <v>200001313</v>
      </c>
      <c r="C94" s="128">
        <v>610000000002325</v>
      </c>
      <c r="D94" s="128" t="s">
        <v>379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
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+VLOOKUP(CONCATENATE(K94,IF(K94="Completo",VLOOKUP(D94,Gr.Estr.Reg.!$C:$D,2,FALSE),VLOOKUP(D94,Gr.Estr.Reg.!$C:$H,6))),Tabla8[[LINK]:[PORCION]],5,FALSE)</f>
        <v>GROCC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8">
        <f t="shared" si="84"/>
        <v>93</v>
      </c>
      <c r="B95" s="127">
        <v>200001313</v>
      </c>
      <c r="C95" s="128">
        <v>610000000002325</v>
      </c>
      <c r="D95" s="128" t="s">
        <v>379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
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+VLOOKUP(CONCATENATE(K95,IF(K95="Completo",VLOOKUP(D95,Gr.Estr.Reg.!$C:$D,2,FALSE),VLOOKUP(D95,Gr.Estr.Reg.!$C:$H,6))),Tabla8[[LINK]:[PORCION]],5,FALSE)</f>
        <v>GROCC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8">
        <f t="shared" si="84"/>
        <v>94</v>
      </c>
      <c r="B96" s="127">
        <v>200001313</v>
      </c>
      <c r="C96" s="128">
        <v>610000000002325</v>
      </c>
      <c r="D96" s="128" t="s">
        <v>379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+VLOOKUP(CONCATENATE(K96,IF(K96="Completo",VLOOKUP(D96,Gr.Estr.Reg.!$C:$D,2,FALSE),VLOOKUP(D96,Gr.Estr.Reg.!$C:$H,6))),Tabla8[[LINK]:[PORCION]],5,FALSE)</f>
        <v>GROCC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8">
        <f t="shared" si="84"/>
        <v>95</v>
      </c>
      <c r="B97" s="127">
        <v>200001313</v>
      </c>
      <c r="C97" s="128">
        <v>610000000002325</v>
      </c>
      <c r="D97" s="128" t="s">
        <v>379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
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+VLOOKUP(CONCATENATE(K97,IF(K97="Completo",VLOOKUP(D97,Gr.Estr.Reg.!$C:$D,2,FALSE),VLOOKUP(D97,Gr.Estr.Reg.!$C:$H,6))),Tabla8[[LINK]:[PORCION]],5,FALSE)</f>
        <v>GROCC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8">
        <f t="shared" si="84"/>
        <v>96</v>
      </c>
      <c r="B98" s="127">
        <v>200001313</v>
      </c>
      <c r="C98" s="128">
        <v>610000000002325</v>
      </c>
      <c r="D98" s="128" t="s">
        <v>379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+VLOOKUP(CONCATENATE(K98,IF(K98="Completo",VLOOKUP(D98,Gr.Estr.Reg.!$C:$D,2,FALSE),VLOOKUP(D98,Gr.Estr.Reg.!$C:$H,6))),Tabla8[[LINK]:[PORCION]],5,FALSE)</f>
        <v>GROCC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8">
        <f t="shared" si="84"/>
        <v>97</v>
      </c>
      <c r="B99" s="127">
        <v>200001313</v>
      </c>
      <c r="C99" s="128">
        <v>610000000002325</v>
      </c>
      <c r="D99" s="128" t="s">
        <v>379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
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+VLOOKUP(CONCATENATE(K99,IF(K99="Completo",VLOOKUP(D99,Gr.Estr.Reg.!$C:$D,2,FALSE),VLOOKUP(D99,Gr.Estr.Reg.!$C:$H,6))),Tabla8[[LINK]:[PORCION]],5,FALSE)</f>
        <v>GROCC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8">
        <f t="shared" si="84"/>
        <v>98</v>
      </c>
      <c r="B100" s="127">
        <v>200001313</v>
      </c>
      <c r="C100" s="128">
        <v>610000000002325</v>
      </c>
      <c r="D100" s="128" t="s">
        <v>379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
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+VLOOKUP(CONCATENATE(K100,IF(K100="Completo",VLOOKUP(D100,Gr.Estr.Reg.!$C:$D,2,FALSE),VLOOKUP(D100,Gr.Estr.Reg.!$C:$H,6))),Tabla8[[LINK]:[PORCION]],5,FALSE)</f>
        <v>GROCC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8">
        <f t="shared" si="84"/>
        <v>99</v>
      </c>
      <c r="B101" s="127">
        <v>200001313</v>
      </c>
      <c r="C101" s="128">
        <v>610000000002325</v>
      </c>
      <c r="D101" s="128" t="s">
        <v>379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
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+VLOOKUP(CONCATENATE(K101,IF(K101="Completo",VLOOKUP(D101,Gr.Estr.Reg.!$C:$D,2,FALSE),VLOOKUP(D101,Gr.Estr.Reg.!$C:$H,6))),Tabla8[[LINK]:[PORCION]],5,FALSE)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8">
        <f t="shared" si="84"/>
        <v>100</v>
      </c>
      <c r="B102" s="127">
        <v>200001313</v>
      </c>
      <c r="C102" s="128">
        <v>610000000002325</v>
      </c>
      <c r="D102" s="128" t="s">
        <v>379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
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+VLOOKUP(CONCATENATE(K102,IF(K102="Completo",VLOOKUP(D102,Gr.Estr.Reg.!$C:$D,2,FALSE),VLOOKUP(D102,Gr.Estr.Reg.!$C:$H,6))),Tabla8[[LINK]:[PORCION]],5,FALSE)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8">
        <f t="shared" si="84"/>
        <v>101</v>
      </c>
      <c r="B103" s="127">
        <v>200001313</v>
      </c>
      <c r="C103" s="128">
        <v>610000000002325</v>
      </c>
      <c r="D103" s="128" t="s">
        <v>379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+VLOOKUP(CONCATENATE(K103,IF(K103="Completo",VLOOKUP(D103,Gr.Estr.Reg.!$C:$D,2,FALSE),VLOOKUP(D103,Gr.Estr.Reg.!$C:$H,6))),Tabla8[[LINK]:[PORCION]],5,FALSE)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8">
        <f t="shared" si="84"/>
        <v>102</v>
      </c>
      <c r="B104" s="127">
        <v>200001313</v>
      </c>
      <c r="C104" s="128">
        <v>610000000002325</v>
      </c>
      <c r="D104" s="128" t="s">
        <v>379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
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+VLOOKUP(CONCATENATE(K104,IF(K104="Completo",VLOOKUP(D104,Gr.Estr.Reg.!$C:$D,2,FALSE),VLOOKUP(D104,Gr.Estr.Reg.!$C:$H,6))),Tabla8[[LINK]:[PORCION]],5,FALSE)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8">
        <f t="shared" si="84"/>
        <v>103</v>
      </c>
      <c r="B105" s="127">
        <v>200001313</v>
      </c>
      <c r="C105" s="128">
        <v>610000000002325</v>
      </c>
      <c r="D105" s="128" t="s">
        <v>379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
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+VLOOKUP(CONCATENATE(K105,IF(K105="Completo",VLOOKUP(D105,Gr.Estr.Reg.!$C:$D,2,FALSE),VLOOKUP(D105,Gr.Estr.Reg.!$C:$H,6))),Tabla8[[LINK]:[PORCION]],5,FALSE)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8">
        <f t="shared" si="84"/>
        <v>104</v>
      </c>
      <c r="B106" s="127">
        <v>200001313</v>
      </c>
      <c r="C106" s="128">
        <v>610000000002325</v>
      </c>
      <c r="D106" s="128" t="s">
        <v>379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+VLOOKUP(CONCATENATE(K106,IF(K106="Completo",VLOOKUP(D106,Gr.Estr.Reg.!$C:$D,2,FALSE),VLOOKUP(D106,Gr.Estr.Reg.!$C:$H,6))),Tabla8[[LINK]:[PORCION]],5,FALSE)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8">
        <f t="shared" si="84"/>
        <v>105</v>
      </c>
      <c r="B107" s="127">
        <v>200001313</v>
      </c>
      <c r="C107" s="128">
        <v>610000000002325</v>
      </c>
      <c r="D107" s="128" t="s">
        <v>379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
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+VLOOKUP(CONCATENATE(K107,IF(K107="Completo",VLOOKUP(D107,Gr.Estr.Reg.!$C:$D,2,FALSE),VLOOKUP(D107,Gr.Estr.Reg.!$C:$H,6))),Tabla8[[LINK]:[PORCION]],5,FALSE)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8">
        <f t="shared" si="84"/>
        <v>106</v>
      </c>
      <c r="B108" s="127">
        <v>200001313</v>
      </c>
      <c r="C108" s="128">
        <v>610000000002325</v>
      </c>
      <c r="D108" s="128" t="s">
        <v>379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+VLOOKUP(CONCATENATE(K108,IF(K108="Completo",VLOOKUP(D108,Gr.Estr.Reg.!$C:$D,2,FALSE),VLOOKUP(D108,Gr.Estr.Reg.!$C:$H,6))),Tabla8[[LINK]:[PORCION]],5,FALSE)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8">
        <f t="shared" si="84"/>
        <v>107</v>
      </c>
      <c r="B109" s="127">
        <v>200001313</v>
      </c>
      <c r="C109" s="128">
        <v>610000000002325</v>
      </c>
      <c r="D109" s="128" t="s">
        <v>379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
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+VLOOKUP(CONCATENATE(K109,IF(K109="Completo",VLOOKUP(D109,Gr.Estr.Reg.!$C:$D,2,FALSE),VLOOKUP(D109,Gr.Estr.Reg.!$C:$H,6))),Tabla8[[LINK]:[PORCION]],5,FALSE)</f>
        <v>GROCC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8">
        <f t="shared" si="84"/>
        <v>108</v>
      </c>
      <c r="B110" s="127">
        <v>200001313</v>
      </c>
      <c r="C110" s="128">
        <v>610000000002325</v>
      </c>
      <c r="D110" s="128" t="s">
        <v>379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
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+VLOOKUP(CONCATENATE(K110,IF(K110="Completo",VLOOKUP(D110,Gr.Estr.Reg.!$C:$D,2,FALSE),VLOOKUP(D110,Gr.Estr.Reg.!$C:$H,6))),Tabla8[[LINK]:[PORCION]],5,FALSE)</f>
        <v>GROCC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8">
        <f t="shared" si="84"/>
        <v>109</v>
      </c>
      <c r="B111" s="127">
        <v>200001313</v>
      </c>
      <c r="C111" s="128">
        <v>610000000002325</v>
      </c>
      <c r="D111" s="128" t="s">
        <v>379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+VLOOKUP(CONCATENATE(K111,IF(K111="Completo",VLOOKUP(D111,Gr.Estr.Reg.!$C:$D,2,FALSE),VLOOKUP(D111,Gr.Estr.Reg.!$C:$H,6))),Tabla8[[LINK]:[PORCION]],5,FALSE)</f>
        <v>GROCC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8">
        <f t="shared" si="84"/>
        <v>110</v>
      </c>
      <c r="B112" s="127">
        <v>200001313</v>
      </c>
      <c r="C112" s="128">
        <v>610000000002325</v>
      </c>
      <c r="D112" s="128" t="s">
        <v>379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+VLOOKUP(CONCATENATE(K112,IF(K112="Completo",VLOOKUP(D112,Gr.Estr.Reg.!$C:$D,2,FALSE),VLOOKUP(D112,Gr.Estr.Reg.!$C:$H,6))),Tabla8[[LINK]:[PORCION]],5,FALSE)</f>
        <v>GROCC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8">
        <f t="shared" si="84"/>
        <v>111</v>
      </c>
      <c r="B113" s="127">
        <v>200001313</v>
      </c>
      <c r="C113" s="128">
        <v>610000000002325</v>
      </c>
      <c r="D113" s="128" t="s">
        <v>379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+VLOOKUP(CONCATENATE(K113,IF(K113="Completo",VLOOKUP(D113,Gr.Estr.Reg.!$C:$D,2,FALSE),VLOOKUP(D113,Gr.Estr.Reg.!$C:$H,6))),Tabla8[[LINK]:[PORCION]],5,FALSE)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8">
        <f t="shared" si="84"/>
        <v>112</v>
      </c>
      <c r="B114" s="127">
        <v>200001313</v>
      </c>
      <c r="C114" s="128">
        <v>610000000002325</v>
      </c>
      <c r="D114" s="128" t="s">
        <v>379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9153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
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+VLOOKUP(CONCATENATE(K114,IF(K114="Completo",VLOOKUP(D114,Gr.Estr.Reg.!$C:$D,2,FALSE),VLOOKUP(D114,Gr.Estr.Reg.!$C:$H,6))),Tabla8[[LINK]:[PORCION]],5,FALSE)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8">
        <f t="shared" si="84"/>
        <v>113</v>
      </c>
      <c r="B115" s="127">
        <v>200001313</v>
      </c>
      <c r="C115" s="128">
        <v>610000000002325</v>
      </c>
      <c r="D115" s="128" t="s">
        <v>379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
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+VLOOKUP(CONCATENATE(K115,IF(K115="Completo",VLOOKUP(D115,Gr.Estr.Reg.!$C:$D,2,FALSE),VLOOKUP(D115,Gr.Estr.Reg.!$C:$H,6))),Tabla8[[LINK]:[PORCION]],5,FALSE)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8">
        <f t="shared" si="84"/>
        <v>114</v>
      </c>
      <c r="B116" s="127">
        <v>200001313</v>
      </c>
      <c r="C116" s="128">
        <v>610000000002325</v>
      </c>
      <c r="D116" s="128" t="s">
        <v>379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
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+VLOOKUP(CONCATENATE(K116,IF(K116="Completo",VLOOKUP(D116,Gr.Estr.Reg.!$C:$D,2,FALSE),VLOOKUP(D116,Gr.Estr.Reg.!$C:$H,6))),Tabla8[[LINK]:[PORCION]],5,FALSE)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8">
        <f>+A116+1</f>
        <v>115</v>
      </c>
      <c r="B117" s="127">
        <v>200001313</v>
      </c>
      <c r="C117" s="128">
        <v>610000000002325</v>
      </c>
      <c r="D117" s="128" t="s">
        <v>379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7" t="s">
        <v>138</v>
      </c>
      <c r="J117" s="177" t="s">
        <v>315</v>
      </c>
      <c r="K117" s="177" t="s">
        <v>1931</v>
      </c>
      <c r="L117" s="177" t="s">
        <v>271</v>
      </c>
      <c r="M117" s="177" t="s">
        <v>528</v>
      </c>
      <c r="O117" s="177" t="s">
        <v>1050</v>
      </c>
      <c r="Q117" s="177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+VLOOKUP(CONCATENATE(K117,IF(K117="Completo",VLOOKUP(D117,Gr.Estr.Reg.!$C:$D,2,FALSE),VLOOKUP(D117,Gr.Estr.Reg.!$C:$H,6))),Tabla8[[LINK]:[PORCION]],5,FALSE)</f>
        <v>GROGA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8">
        <f t="shared" si="84"/>
        <v>116</v>
      </c>
      <c r="B118" s="127">
        <v>200001313</v>
      </c>
      <c r="C118" s="128">
        <v>610000000002325</v>
      </c>
      <c r="D118" s="128" t="s">
        <v>379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7" t="s">
        <v>138</v>
      </c>
      <c r="J118" s="177" t="s">
        <v>315</v>
      </c>
      <c r="K118" s="177" t="s">
        <v>1931</v>
      </c>
      <c r="L118" s="177" t="s">
        <v>275</v>
      </c>
      <c r="M118" s="177" t="s">
        <v>528</v>
      </c>
      <c r="O118" s="177" t="s">
        <v>1050</v>
      </c>
      <c r="Q118" s="177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+VLOOKUP(CONCATENATE(K118,IF(K118="Completo",VLOOKUP(D118,Gr.Estr.Reg.!$C:$D,2,FALSE),VLOOKUP(D118,Gr.Estr.Reg.!$C:$H,6))),Tabla8[[LINK]:[PORCION]],5,FALSE)</f>
        <v>GROGA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8">
        <f t="shared" si="84"/>
        <v>117</v>
      </c>
      <c r="B119" s="127">
        <v>200001313</v>
      </c>
      <c r="C119" s="128">
        <v>610000000002325</v>
      </c>
      <c r="D119" s="128" t="s">
        <v>379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7" t="s">
        <v>138</v>
      </c>
      <c r="J119" s="177" t="s">
        <v>315</v>
      </c>
      <c r="K119" s="177" t="s">
        <v>1931</v>
      </c>
      <c r="L119" s="177" t="s">
        <v>284</v>
      </c>
      <c r="M119" s="177" t="s">
        <v>528</v>
      </c>
      <c r="O119" s="177" t="s">
        <v>1050</v>
      </c>
      <c r="Q119" s="177" t="s">
        <v>78</v>
      </c>
      <c r="S119" s="114"/>
      <c r="T119" s="114"/>
      <c r="V119" s="114" t="s">
        <v>9149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+VLOOKUP(CONCATENATE(K119,IF(K119="Completo",VLOOKUP(D119,Gr.Estr.Reg.!$C:$D,2,FALSE),VLOOKUP(D119,Gr.Estr.Reg.!$C:$H,6))),Tabla8[[LINK]:[PORCION]],5,FALSE)</f>
        <v>GROGA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8">
        <f t="shared" si="84"/>
        <v>118</v>
      </c>
      <c r="B120" s="127">
        <v>200001313</v>
      </c>
      <c r="C120" s="128">
        <v>610000000002325</v>
      </c>
      <c r="D120" s="128" t="s">
        <v>379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7" t="s">
        <v>138</v>
      </c>
      <c r="J120" s="177" t="s">
        <v>315</v>
      </c>
      <c r="K120" s="177" t="s">
        <v>1931</v>
      </c>
      <c r="L120" s="177" t="s">
        <v>306</v>
      </c>
      <c r="M120" s="177" t="s">
        <v>528</v>
      </c>
      <c r="O120" s="177" t="s">
        <v>1050</v>
      </c>
      <c r="Q120" s="177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+VLOOKUP(CONCATENATE(K120,IF(K120="Completo",VLOOKUP(D120,Gr.Estr.Reg.!$C:$D,2,FALSE),VLOOKUP(D120,Gr.Estr.Reg.!$C:$H,6))),Tabla8[[LINK]:[PORCION]],5,FALSE)</f>
        <v>GROGA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8">
        <f t="shared" si="84"/>
        <v>119</v>
      </c>
      <c r="B121" s="127">
        <v>200001313</v>
      </c>
      <c r="C121" s="128">
        <v>610000000002325</v>
      </c>
      <c r="D121" s="128" t="s">
        <v>379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7" t="s">
        <v>138</v>
      </c>
      <c r="J121" s="177" t="s">
        <v>315</v>
      </c>
      <c r="K121" s="177" t="s">
        <v>1931</v>
      </c>
      <c r="L121" s="177" t="s">
        <v>277</v>
      </c>
      <c r="M121" s="177" t="s">
        <v>528</v>
      </c>
      <c r="O121" s="177" t="s">
        <v>1050</v>
      </c>
      <c r="Q121" s="177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+VLOOKUP(CONCATENATE(K121,IF(K121="Completo",VLOOKUP(D121,Gr.Estr.Reg.!$C:$D,2,FALSE),VLOOKUP(D121,Gr.Estr.Reg.!$C:$H,6))),Tabla8[[LINK]:[PORCION]],5,FALSE)</f>
        <v>GROGA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8">
        <f t="shared" si="84"/>
        <v>120</v>
      </c>
      <c r="B122" s="127">
        <v>200001313</v>
      </c>
      <c r="C122" s="128">
        <v>610000000002325</v>
      </c>
      <c r="D122" s="128" t="s">
        <v>379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7" t="s">
        <v>138</v>
      </c>
      <c r="J122" s="177" t="s">
        <v>315</v>
      </c>
      <c r="K122" s="177" t="s">
        <v>1931</v>
      </c>
      <c r="L122" s="177" t="s">
        <v>271</v>
      </c>
      <c r="M122" s="177" t="s">
        <v>268</v>
      </c>
      <c r="O122" s="177" t="s">
        <v>1050</v>
      </c>
      <c r="Q122" s="177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+VLOOKUP(CONCATENATE(K122,IF(K122="Completo",VLOOKUP(D122,Gr.Estr.Reg.!$C:$D,2,FALSE),VLOOKUP(D122,Gr.Estr.Reg.!$C:$H,6))),Tabla8[[LINK]:[PORCION]],5,FALSE)</f>
        <v>GROGA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8">
        <f t="shared" si="84"/>
        <v>121</v>
      </c>
      <c r="B123" s="127">
        <v>200001313</v>
      </c>
      <c r="C123" s="128">
        <v>610000000002325</v>
      </c>
      <c r="D123" s="128" t="s">
        <v>379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7" t="s">
        <v>138</v>
      </c>
      <c r="J123" s="177" t="s">
        <v>315</v>
      </c>
      <c r="K123" s="177" t="s">
        <v>1931</v>
      </c>
      <c r="L123" s="177" t="s">
        <v>275</v>
      </c>
      <c r="M123" s="177" t="s">
        <v>268</v>
      </c>
      <c r="O123" s="177" t="s">
        <v>1050</v>
      </c>
      <c r="Q123" s="177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
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+VLOOKUP(CONCATENATE(K123,IF(K123="Completo",VLOOKUP(D123,Gr.Estr.Reg.!$C:$D,2,FALSE),VLOOKUP(D123,Gr.Estr.Reg.!$C:$H,6))),Tabla8[[LINK]:[PORCION]],5,FALSE)</f>
        <v>GROGA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8">
        <f t="shared" si="84"/>
        <v>122</v>
      </c>
      <c r="B124" s="127">
        <v>200001313</v>
      </c>
      <c r="C124" s="128">
        <v>610000000002325</v>
      </c>
      <c r="D124" s="128" t="s">
        <v>379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7" t="s">
        <v>138</v>
      </c>
      <c r="J124" s="177" t="s">
        <v>315</v>
      </c>
      <c r="K124" s="177" t="s">
        <v>1931</v>
      </c>
      <c r="L124" s="177" t="s">
        <v>284</v>
      </c>
      <c r="M124" s="177" t="s">
        <v>268</v>
      </c>
      <c r="O124" s="177" t="s">
        <v>1050</v>
      </c>
      <c r="Q124" s="177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
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+VLOOKUP(CONCATENATE(K124,IF(K124="Completo",VLOOKUP(D124,Gr.Estr.Reg.!$C:$D,2,FALSE),VLOOKUP(D124,Gr.Estr.Reg.!$C:$H,6))),Tabla8[[LINK]:[PORCION]],5,FALSE)</f>
        <v>GROGA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8">
        <f t="shared" si="84"/>
        <v>123</v>
      </c>
      <c r="B125" s="127">
        <v>200001313</v>
      </c>
      <c r="C125" s="128">
        <v>610000000002325</v>
      </c>
      <c r="D125" s="128" t="s">
        <v>379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7" t="s">
        <v>138</v>
      </c>
      <c r="J125" s="177" t="s">
        <v>315</v>
      </c>
      <c r="K125" s="177" t="s">
        <v>1931</v>
      </c>
      <c r="L125" s="177" t="s">
        <v>306</v>
      </c>
      <c r="M125" s="177" t="s">
        <v>268</v>
      </c>
      <c r="O125" s="177" t="s">
        <v>1050</v>
      </c>
      <c r="Q125" s="177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
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+VLOOKUP(CONCATENATE(K125,IF(K125="Completo",VLOOKUP(D125,Gr.Estr.Reg.!$C:$D,2,FALSE),VLOOKUP(D125,Gr.Estr.Reg.!$C:$H,6))),Tabla8[[LINK]:[PORCION]],5,FALSE)</f>
        <v>GROGA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8">
        <f t="shared" si="84"/>
        <v>124</v>
      </c>
      <c r="B126" s="127">
        <v>200001313</v>
      </c>
      <c r="C126" s="128">
        <v>610000000002325</v>
      </c>
      <c r="D126" s="128" t="s">
        <v>379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7" t="s">
        <v>138</v>
      </c>
      <c r="J126" s="177" t="s">
        <v>315</v>
      </c>
      <c r="K126" s="177" t="s">
        <v>1931</v>
      </c>
      <c r="L126" s="177" t="s">
        <v>277</v>
      </c>
      <c r="M126" s="177" t="s">
        <v>268</v>
      </c>
      <c r="O126" s="177" t="s">
        <v>1050</v>
      </c>
      <c r="Q126" s="177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
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+VLOOKUP(CONCATENATE(K126,IF(K126="Completo",VLOOKUP(D126,Gr.Estr.Reg.!$C:$D,2,FALSE),VLOOKUP(D126,Gr.Estr.Reg.!$C:$H,6))),Tabla8[[LINK]:[PORCION]],5,FALSE)</f>
        <v>GROGA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8">
        <f t="shared" si="84"/>
        <v>125</v>
      </c>
      <c r="B127" s="127">
        <v>200001313</v>
      </c>
      <c r="C127" s="128">
        <v>610000000002325</v>
      </c>
      <c r="D127" s="128" t="s">
        <v>379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7" t="s">
        <v>138</v>
      </c>
      <c r="J127" s="177" t="s">
        <v>315</v>
      </c>
      <c r="K127" s="177" t="s">
        <v>1931</v>
      </c>
      <c r="L127" s="177" t="s">
        <v>271</v>
      </c>
      <c r="M127" s="177" t="s">
        <v>266</v>
      </c>
      <c r="O127" s="177" t="s">
        <v>1050</v>
      </c>
      <c r="Q127" s="177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+VLOOKUP(CONCATENATE(K127,IF(K127="Completo",VLOOKUP(D127,Gr.Estr.Reg.!$C:$D,2,FALSE),VLOOKUP(D127,Gr.Estr.Reg.!$C:$H,6))),Tabla8[[LINK]:[PORCION]],5,FALSE)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8">
        <f t="shared" si="84"/>
        <v>126</v>
      </c>
      <c r="B128" s="127">
        <v>200001313</v>
      </c>
      <c r="C128" s="128">
        <v>610000000002325</v>
      </c>
      <c r="D128" s="128" t="s">
        <v>379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7" t="s">
        <v>138</v>
      </c>
      <c r="J128" s="177" t="s">
        <v>315</v>
      </c>
      <c r="K128" s="177" t="s">
        <v>1931</v>
      </c>
      <c r="L128" s="177" t="s">
        <v>275</v>
      </c>
      <c r="M128" s="177" t="s">
        <v>266</v>
      </c>
      <c r="O128" s="177" t="s">
        <v>1050</v>
      </c>
      <c r="Q128" s="177" t="s">
        <v>245</v>
      </c>
      <c r="S128" s="114"/>
      <c r="T128" s="114"/>
      <c r="V128" s="114" t="s">
        <v>9149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+VLOOKUP(CONCATENATE(K128,IF(K128="Completo",VLOOKUP(D128,Gr.Estr.Reg.!$C:$D,2,FALSE),VLOOKUP(D128,Gr.Estr.Reg.!$C:$H,6))),Tabla8[[LINK]:[PORCION]],5,FALSE)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8">
        <f t="shared" si="84"/>
        <v>127</v>
      </c>
      <c r="B129" s="127">
        <v>200001313</v>
      </c>
      <c r="C129" s="128">
        <v>610000000002325</v>
      </c>
      <c r="D129" s="128" t="s">
        <v>379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7" t="s">
        <v>138</v>
      </c>
      <c r="J129" s="177" t="s">
        <v>315</v>
      </c>
      <c r="K129" s="177" t="s">
        <v>1931</v>
      </c>
      <c r="L129" s="177" t="s">
        <v>284</v>
      </c>
      <c r="M129" s="177" t="s">
        <v>266</v>
      </c>
      <c r="O129" s="177" t="s">
        <v>1050</v>
      </c>
      <c r="Q129" s="177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+VLOOKUP(CONCATENATE(K129,IF(K129="Completo",VLOOKUP(D129,Gr.Estr.Reg.!$C:$D,2,FALSE),VLOOKUP(D129,Gr.Estr.Reg.!$C:$H,6))),Tabla8[[LINK]:[PORCION]],5,FALSE)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8">
        <f t="shared" si="84"/>
        <v>128</v>
      </c>
      <c r="B130" s="127">
        <v>200001313</v>
      </c>
      <c r="C130" s="128">
        <v>610000000002325</v>
      </c>
      <c r="D130" s="128" t="s">
        <v>379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7" t="s">
        <v>138</v>
      </c>
      <c r="J130" s="177" t="s">
        <v>315</v>
      </c>
      <c r="K130" s="177" t="s">
        <v>1931</v>
      </c>
      <c r="L130" s="177" t="s">
        <v>306</v>
      </c>
      <c r="M130" s="177" t="s">
        <v>266</v>
      </c>
      <c r="O130" s="177" t="s">
        <v>1050</v>
      </c>
      <c r="Q130" s="177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+VLOOKUP(CONCATENATE(K130,IF(K130="Completo",VLOOKUP(D130,Gr.Estr.Reg.!$C:$D,2,FALSE),VLOOKUP(D130,Gr.Estr.Reg.!$C:$H,6))),Tabla8[[LINK]:[PORCION]],5,FALSE)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8">
        <f t="shared" si="84"/>
        <v>129</v>
      </c>
      <c r="B131" s="127">
        <v>200001313</v>
      </c>
      <c r="C131" s="128">
        <v>610000000002325</v>
      </c>
      <c r="D131" s="128" t="s">
        <v>379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7" t="s">
        <v>138</v>
      </c>
      <c r="J131" s="177" t="s">
        <v>315</v>
      </c>
      <c r="K131" s="177" t="s">
        <v>1931</v>
      </c>
      <c r="L131" s="177" t="s">
        <v>277</v>
      </c>
      <c r="M131" s="177" t="s">
        <v>266</v>
      </c>
      <c r="O131" s="177" t="s">
        <v>1050</v>
      </c>
      <c r="Q131" s="177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+VLOOKUP(CONCATENATE(K131,IF(K131="Completo",VLOOKUP(D131,Gr.Estr.Reg.!$C:$D,2,FALSE),VLOOKUP(D131,Gr.Estr.Reg.!$C:$H,6))),Tabla8[[LINK]:[PORCION]],5,FALSE)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8">
        <f t="shared" si="84"/>
        <v>130</v>
      </c>
      <c r="B132" s="127">
        <v>200001313</v>
      </c>
      <c r="C132" s="128">
        <v>610000000002325</v>
      </c>
      <c r="D132" s="128" t="s">
        <v>379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8" t="s">
        <v>140</v>
      </c>
      <c r="J132" s="178" t="s">
        <v>316</v>
      </c>
      <c r="K132" s="178" t="s">
        <v>1928</v>
      </c>
      <c r="L132" s="178" t="s">
        <v>271</v>
      </c>
      <c r="M132" s="178" t="s">
        <v>528</v>
      </c>
      <c r="O132" s="178" t="s">
        <v>1050</v>
      </c>
      <c r="Q132" s="178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+VLOOKUP(CONCATENATE(K132,IF(K132="Completo",VLOOKUP(D132,Gr.Estr.Reg.!$C:$D,2,FALSE),VLOOKUP(D132,Gr.Estr.Reg.!$C:$H,6))),Tabla8[[LINK]:[PORCION]],5,FALSE)</f>
        <v>GROGE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8">
        <f t="shared" ref="A133:A158" si="113">+A132+1</f>
        <v>131</v>
      </c>
      <c r="B133" s="127">
        <v>200001313</v>
      </c>
      <c r="C133" s="128">
        <v>610000000002325</v>
      </c>
      <c r="D133" s="128" t="s">
        <v>379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8" t="s">
        <v>140</v>
      </c>
      <c r="J133" s="178" t="s">
        <v>316</v>
      </c>
      <c r="K133" s="178" t="s">
        <v>1928</v>
      </c>
      <c r="L133" s="178" t="s">
        <v>275</v>
      </c>
      <c r="M133" s="178" t="s">
        <v>528</v>
      </c>
      <c r="O133" s="178" t="s">
        <v>1050</v>
      </c>
      <c r="Q133" s="178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+VLOOKUP(CONCATENATE(K133,IF(K133="Completo",VLOOKUP(D133,Gr.Estr.Reg.!$C:$D,2,FALSE),VLOOKUP(D133,Gr.Estr.Reg.!$C:$H,6))),Tabla8[[LINK]:[PORCION]],5,FALSE)</f>
        <v>GROGE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8">
        <f t="shared" si="113"/>
        <v>132</v>
      </c>
      <c r="B134" s="127">
        <v>200001313</v>
      </c>
      <c r="C134" s="128">
        <v>610000000002325</v>
      </c>
      <c r="D134" s="128" t="s">
        <v>379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8" t="s">
        <v>140</v>
      </c>
      <c r="J134" s="178" t="s">
        <v>316</v>
      </c>
      <c r="K134" s="178" t="s">
        <v>1928</v>
      </c>
      <c r="L134" s="178" t="s">
        <v>284</v>
      </c>
      <c r="M134" s="178" t="s">
        <v>528</v>
      </c>
      <c r="O134" s="178" t="s">
        <v>1050</v>
      </c>
      <c r="Q134" s="178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+VLOOKUP(CONCATENATE(K134,IF(K134="Completo",VLOOKUP(D134,Gr.Estr.Reg.!$C:$D,2,FALSE),VLOOKUP(D134,Gr.Estr.Reg.!$C:$H,6))),Tabla8[[LINK]:[PORCION]],5,FALSE)</f>
        <v>GROGE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8">
        <f t="shared" si="113"/>
        <v>133</v>
      </c>
      <c r="B135" s="127">
        <v>200001313</v>
      </c>
      <c r="C135" s="128">
        <v>610000000002325</v>
      </c>
      <c r="D135" s="128" t="s">
        <v>379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8" t="s">
        <v>140</v>
      </c>
      <c r="J135" s="178" t="s">
        <v>316</v>
      </c>
      <c r="K135" s="178" t="s">
        <v>1928</v>
      </c>
      <c r="L135" s="178" t="s">
        <v>306</v>
      </c>
      <c r="M135" s="178" t="s">
        <v>528</v>
      </c>
      <c r="O135" s="178" t="s">
        <v>1050</v>
      </c>
      <c r="Q135" s="178" t="s">
        <v>78</v>
      </c>
      <c r="S135" s="114"/>
      <c r="T135" s="114"/>
      <c r="V135" s="114" t="s">
        <v>9155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+VLOOKUP(CONCATENATE(K135,IF(K135="Completo",VLOOKUP(D135,Gr.Estr.Reg.!$C:$D,2,FALSE),VLOOKUP(D135,Gr.Estr.Reg.!$C:$H,6))),Tabla8[[LINK]:[PORCION]],5,FALSE)</f>
        <v>GROGE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8">
        <f t="shared" si="113"/>
        <v>134</v>
      </c>
      <c r="B136" s="127">
        <v>200001313</v>
      </c>
      <c r="C136" s="128">
        <v>610000000002325</v>
      </c>
      <c r="D136" s="128" t="s">
        <v>379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8" t="s">
        <v>140</v>
      </c>
      <c r="J136" s="178" t="s">
        <v>316</v>
      </c>
      <c r="K136" s="178" t="s">
        <v>1928</v>
      </c>
      <c r="L136" s="178" t="s">
        <v>277</v>
      </c>
      <c r="M136" s="178" t="s">
        <v>528</v>
      </c>
      <c r="O136" s="178" t="s">
        <v>1050</v>
      </c>
      <c r="Q136" s="178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+VLOOKUP(CONCATENATE(K136,IF(K136="Completo",VLOOKUP(D136,Gr.Estr.Reg.!$C:$D,2,FALSE),VLOOKUP(D136,Gr.Estr.Reg.!$C:$H,6))),Tabla8[[LINK]:[PORCION]],5,FALSE)</f>
        <v>GROGE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8">
        <f t="shared" si="113"/>
        <v>135</v>
      </c>
      <c r="B137" s="127">
        <v>200001313</v>
      </c>
      <c r="C137" s="128">
        <v>610000000002325</v>
      </c>
      <c r="D137" s="128" t="s">
        <v>379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8" t="s">
        <v>140</v>
      </c>
      <c r="J137" s="178" t="s">
        <v>316</v>
      </c>
      <c r="K137" s="178" t="s">
        <v>1928</v>
      </c>
      <c r="L137" s="178" t="s">
        <v>271</v>
      </c>
      <c r="M137" s="178" t="s">
        <v>268</v>
      </c>
      <c r="O137" s="178" t="s">
        <v>1050</v>
      </c>
      <c r="Q137" s="178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+VLOOKUP(CONCATENATE(K137,IF(K137="Completo",VLOOKUP(D137,Gr.Estr.Reg.!$C:$D,2,FALSE),VLOOKUP(D137,Gr.Estr.Reg.!$C:$H,6))),Tabla8[[LINK]:[PORCION]],5,FALSE)</f>
        <v>GROGE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8">
        <f t="shared" si="113"/>
        <v>136</v>
      </c>
      <c r="B138" s="127">
        <v>200001313</v>
      </c>
      <c r="C138" s="128">
        <v>610000000002325</v>
      </c>
      <c r="D138" s="128" t="s">
        <v>379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8" t="s">
        <v>140</v>
      </c>
      <c r="J138" s="178" t="s">
        <v>316</v>
      </c>
      <c r="K138" s="178" t="s">
        <v>1928</v>
      </c>
      <c r="L138" s="178" t="s">
        <v>275</v>
      </c>
      <c r="M138" s="178" t="s">
        <v>268</v>
      </c>
      <c r="O138" s="178" t="s">
        <v>1050</v>
      </c>
      <c r="Q138" s="178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
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+VLOOKUP(CONCATENATE(K138,IF(K138="Completo",VLOOKUP(D138,Gr.Estr.Reg.!$C:$D,2,FALSE),VLOOKUP(D138,Gr.Estr.Reg.!$C:$H,6))),Tabla8[[LINK]:[PORCION]],5,FALSE)</f>
        <v>GROGE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8">
        <f t="shared" si="113"/>
        <v>137</v>
      </c>
      <c r="B139" s="127">
        <v>200001313</v>
      </c>
      <c r="C139" s="128">
        <v>610000000002325</v>
      </c>
      <c r="D139" s="128" t="s">
        <v>379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8" t="s">
        <v>140</v>
      </c>
      <c r="J139" s="178" t="s">
        <v>316</v>
      </c>
      <c r="K139" s="178" t="s">
        <v>1928</v>
      </c>
      <c r="L139" s="178" t="s">
        <v>284</v>
      </c>
      <c r="M139" s="178" t="s">
        <v>268</v>
      </c>
      <c r="O139" s="178" t="s">
        <v>1050</v>
      </c>
      <c r="Q139" s="178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
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+VLOOKUP(CONCATENATE(K139,IF(K139="Completo",VLOOKUP(D139,Gr.Estr.Reg.!$C:$D,2,FALSE),VLOOKUP(D139,Gr.Estr.Reg.!$C:$H,6))),Tabla8[[LINK]:[PORCION]],5,FALSE)</f>
        <v>GROGE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8">
        <f t="shared" si="113"/>
        <v>138</v>
      </c>
      <c r="B140" s="127">
        <v>200001313</v>
      </c>
      <c r="C140" s="128">
        <v>610000000002325</v>
      </c>
      <c r="D140" s="128" t="s">
        <v>379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8" t="s">
        <v>140</v>
      </c>
      <c r="J140" s="178" t="s">
        <v>316</v>
      </c>
      <c r="K140" s="178" t="s">
        <v>1928</v>
      </c>
      <c r="L140" s="178" t="s">
        <v>306</v>
      </c>
      <c r="M140" s="178" t="s">
        <v>268</v>
      </c>
      <c r="O140" s="178" t="s">
        <v>1050</v>
      </c>
      <c r="Q140" s="178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
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+VLOOKUP(CONCATENATE(K140,IF(K140="Completo",VLOOKUP(D140,Gr.Estr.Reg.!$C:$D,2,FALSE),VLOOKUP(D140,Gr.Estr.Reg.!$C:$H,6))),Tabla8[[LINK]:[PORCION]],5,FALSE)</f>
        <v>GROGE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8">
        <f t="shared" si="113"/>
        <v>139</v>
      </c>
      <c r="B141" s="127">
        <v>200001313</v>
      </c>
      <c r="C141" s="128">
        <v>610000000002325</v>
      </c>
      <c r="D141" s="128" t="s">
        <v>379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8" t="s">
        <v>140</v>
      </c>
      <c r="J141" s="178" t="s">
        <v>316</v>
      </c>
      <c r="K141" s="178" t="s">
        <v>1928</v>
      </c>
      <c r="L141" s="178" t="s">
        <v>277</v>
      </c>
      <c r="M141" s="178" t="s">
        <v>268</v>
      </c>
      <c r="O141" s="178" t="s">
        <v>1050</v>
      </c>
      <c r="Q141" s="178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
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+VLOOKUP(CONCATENATE(K141,IF(K141="Completo",VLOOKUP(D141,Gr.Estr.Reg.!$C:$D,2,FALSE),VLOOKUP(D141,Gr.Estr.Reg.!$C:$H,6))),Tabla8[[LINK]:[PORCION]],5,FALSE)</f>
        <v>GROGE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8">
        <f t="shared" si="113"/>
        <v>140</v>
      </c>
      <c r="B142" s="127">
        <v>200001313</v>
      </c>
      <c r="C142" s="128">
        <v>610000000002325</v>
      </c>
      <c r="D142" s="128" t="s">
        <v>379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8" t="s">
        <v>140</v>
      </c>
      <c r="J142" s="178" t="s">
        <v>316</v>
      </c>
      <c r="K142" s="178" t="s">
        <v>1928</v>
      </c>
      <c r="L142" s="178" t="s">
        <v>271</v>
      </c>
      <c r="M142" s="178" t="s">
        <v>266</v>
      </c>
      <c r="O142" s="178" t="s">
        <v>1050</v>
      </c>
      <c r="Q142" s="178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+VLOOKUP(CONCATENATE(K142,IF(K142="Completo",VLOOKUP(D142,Gr.Estr.Reg.!$C:$D,2,FALSE),VLOOKUP(D142,Gr.Estr.Reg.!$C:$H,6))),Tabla8[[LINK]:[PORCION]],5,FALSE)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8">
        <f t="shared" si="113"/>
        <v>141</v>
      </c>
      <c r="B143" s="127">
        <v>200001313</v>
      </c>
      <c r="C143" s="128">
        <v>610000000002325</v>
      </c>
      <c r="D143" s="128" t="s">
        <v>379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8" t="s">
        <v>140</v>
      </c>
      <c r="J143" s="178" t="s">
        <v>316</v>
      </c>
      <c r="K143" s="178" t="s">
        <v>1928</v>
      </c>
      <c r="L143" s="178" t="s">
        <v>275</v>
      </c>
      <c r="M143" s="178" t="s">
        <v>266</v>
      </c>
      <c r="O143" s="178" t="s">
        <v>1050</v>
      </c>
      <c r="Q143" s="178" t="s">
        <v>245</v>
      </c>
      <c r="S143" s="114"/>
      <c r="T143" s="114"/>
      <c r="V143" s="114" t="s">
        <v>9155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+VLOOKUP(CONCATENATE(K143,IF(K143="Completo",VLOOKUP(D143,Gr.Estr.Reg.!$C:$D,2,FALSE),VLOOKUP(D143,Gr.Estr.Reg.!$C:$H,6))),Tabla8[[LINK]:[PORCION]],5,FALSE)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8">
        <f t="shared" si="113"/>
        <v>142</v>
      </c>
      <c r="B144" s="127">
        <v>200001313</v>
      </c>
      <c r="C144" s="128">
        <v>610000000002325</v>
      </c>
      <c r="D144" s="128" t="s">
        <v>379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8" t="s">
        <v>140</v>
      </c>
      <c r="J144" s="178" t="s">
        <v>316</v>
      </c>
      <c r="K144" s="178" t="s">
        <v>1928</v>
      </c>
      <c r="L144" s="178" t="s">
        <v>284</v>
      </c>
      <c r="M144" s="178" t="s">
        <v>266</v>
      </c>
      <c r="O144" s="178" t="s">
        <v>1050</v>
      </c>
      <c r="Q144" s="178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+VLOOKUP(CONCATENATE(K144,IF(K144="Completo",VLOOKUP(D144,Gr.Estr.Reg.!$C:$D,2,FALSE),VLOOKUP(D144,Gr.Estr.Reg.!$C:$H,6))),Tabla8[[LINK]:[PORCION]],5,FALSE)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8">
        <f t="shared" si="113"/>
        <v>143</v>
      </c>
      <c r="B145" s="127">
        <v>200001313</v>
      </c>
      <c r="C145" s="128">
        <v>610000000002325</v>
      </c>
      <c r="D145" s="128" t="s">
        <v>379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8" t="s">
        <v>140</v>
      </c>
      <c r="J145" s="178" t="s">
        <v>316</v>
      </c>
      <c r="K145" s="178" t="s">
        <v>1928</v>
      </c>
      <c r="L145" s="178" t="s">
        <v>306</v>
      </c>
      <c r="M145" s="178" t="s">
        <v>266</v>
      </c>
      <c r="O145" s="178" t="s">
        <v>1050</v>
      </c>
      <c r="Q145" s="178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+VLOOKUP(CONCATENATE(K145,IF(K145="Completo",VLOOKUP(D145,Gr.Estr.Reg.!$C:$D,2,FALSE),VLOOKUP(D145,Gr.Estr.Reg.!$C:$H,6))),Tabla8[[LINK]:[PORCION]],5,FALSE)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8">
        <f t="shared" si="113"/>
        <v>144</v>
      </c>
      <c r="B146" s="127">
        <v>200001313</v>
      </c>
      <c r="C146" s="128">
        <v>610000000002325</v>
      </c>
      <c r="D146" s="128" t="s">
        <v>379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8" t="s">
        <v>140</v>
      </c>
      <c r="J146" s="178" t="s">
        <v>316</v>
      </c>
      <c r="K146" s="178" t="s">
        <v>1928</v>
      </c>
      <c r="L146" s="178" t="s">
        <v>277</v>
      </c>
      <c r="M146" s="178" t="s">
        <v>266</v>
      </c>
      <c r="O146" s="178" t="s">
        <v>1050</v>
      </c>
      <c r="Q146" s="178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+VLOOKUP(CONCATENATE(K146,IF(K146="Completo",VLOOKUP(D146,Gr.Estr.Reg.!$C:$D,2,FALSE),VLOOKUP(D146,Gr.Estr.Reg.!$C:$H,6))),Tabla8[[LINK]:[PORCION]],5,FALSE)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8">
        <f>+A146+1</f>
        <v>145</v>
      </c>
      <c r="B147" s="127">
        <v>200001313</v>
      </c>
      <c r="C147" s="128">
        <v>610000000002325</v>
      </c>
      <c r="D147" s="128" t="s">
        <v>379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+VLOOKUP(CONCATENATE(K147,IF(K147="Completo",VLOOKUP(D147,Gr.Estr.Reg.!$C:$D,2,FALSE),VLOOKUP(D147,Gr.Estr.Reg.!$C:$H,6))),Tabla8[[LINK]:[PORCION]],5,FALSE)</f>
        <v>GROCO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8">
        <f t="shared" si="113"/>
        <v>146</v>
      </c>
      <c r="B148" s="127">
        <v>200001313</v>
      </c>
      <c r="C148" s="128">
        <v>610000000002325</v>
      </c>
      <c r="D148" s="128" t="s">
        <v>379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+VLOOKUP(CONCATENATE(K148,IF(K148="Completo",VLOOKUP(D148,Gr.Estr.Reg.!$C:$D,2,FALSE),VLOOKUP(D148,Gr.Estr.Reg.!$C:$H,6))),Tabla8[[LINK]:[PORCION]],5,FALSE)</f>
        <v>GROCO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8">
        <f t="shared" si="113"/>
        <v>147</v>
      </c>
      <c r="B149" s="127">
        <v>200001313</v>
      </c>
      <c r="C149" s="128">
        <v>610000000002325</v>
      </c>
      <c r="D149" s="128" t="s">
        <v>379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+VLOOKUP(CONCATENATE(K149,IF(K149="Completo",VLOOKUP(D149,Gr.Estr.Reg.!$C:$D,2,FALSE),VLOOKUP(D149,Gr.Estr.Reg.!$C:$H,6))),Tabla8[[LINK]:[PORCION]],5,FALSE)</f>
        <v>GROCO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8">
        <f t="shared" si="113"/>
        <v>148</v>
      </c>
      <c r="B150" s="127">
        <v>200001313</v>
      </c>
      <c r="C150" s="128">
        <v>610000000002325</v>
      </c>
      <c r="D150" s="128" t="s">
        <v>379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9175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+VLOOKUP(CONCATENATE(K150,IF(K150="Completo",VLOOKUP(D150,Gr.Estr.Reg.!$C:$D,2,FALSE),VLOOKUP(D150,Gr.Estr.Reg.!$C:$H,6))),Tabla8[[LINK]:[PORCION]],5,FALSE)</f>
        <v>GROCO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8">
        <f t="shared" si="113"/>
        <v>149</v>
      </c>
      <c r="B151" s="127">
        <v>200001313</v>
      </c>
      <c r="C151" s="128">
        <v>610000000002325</v>
      </c>
      <c r="D151" s="128" t="s">
        <v>379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+VLOOKUP(CONCATENATE(K151,IF(K151="Completo",VLOOKUP(D151,Gr.Estr.Reg.!$C:$D,2,FALSE),VLOOKUP(D151,Gr.Estr.Reg.!$C:$H,6))),Tabla8[[LINK]:[PORCION]],5,FALSE)</f>
        <v>GROCO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8">
        <f t="shared" si="113"/>
        <v>150</v>
      </c>
      <c r="B152" s="127">
        <v>200001313</v>
      </c>
      <c r="C152" s="128">
        <v>610000000002325</v>
      </c>
      <c r="D152" s="128" t="s">
        <v>379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+VLOOKUP(CONCATENATE(K152,IF(K152="Completo",VLOOKUP(D152,Gr.Estr.Reg.!$C:$D,2,FALSE),VLOOKUP(D152,Gr.Estr.Reg.!$C:$H,6))),Tabla8[[LINK]:[PORCION]],5,FALSE)</f>
        <v>GROCO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8">
        <f t="shared" si="113"/>
        <v>151</v>
      </c>
      <c r="B153" s="127">
        <v>200001313</v>
      </c>
      <c r="C153" s="128">
        <v>610000000002325</v>
      </c>
      <c r="D153" s="128" t="s">
        <v>379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+VLOOKUP(CONCATENATE(K153,IF(K153="Completo",VLOOKUP(D153,Gr.Estr.Reg.!$C:$D,2,FALSE),VLOOKUP(D153,Gr.Estr.Reg.!$C:$H,6))),Tabla8[[LINK]:[PORCION]],5,FALSE)</f>
        <v>GROCO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8">
        <f t="shared" si="113"/>
        <v>152</v>
      </c>
      <c r="B154" s="127">
        <v>200001313</v>
      </c>
      <c r="C154" s="128">
        <v>610000000002325</v>
      </c>
      <c r="D154" s="128" t="s">
        <v>379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9175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+VLOOKUP(CONCATENATE(K154,IF(K154="Completo",VLOOKUP(D154,Gr.Estr.Reg.!$C:$D,2,FALSE),VLOOKUP(D154,Gr.Estr.Reg.!$C:$H,6))),Tabla8[[LINK]:[PORCION]],5,FALSE)</f>
        <v>GROCO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8">
        <f t="shared" si="113"/>
        <v>153</v>
      </c>
      <c r="B155" s="127">
        <v>200001313</v>
      </c>
      <c r="C155" s="128">
        <v>610000000002325</v>
      </c>
      <c r="D155" s="128" t="s">
        <v>379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+VLOOKUP(CONCATENATE(K155,IF(K155="Completo",VLOOKUP(D155,Gr.Estr.Reg.!$C:$D,2,FALSE),VLOOKUP(D155,Gr.Estr.Reg.!$C:$H,6))),Tabla8[[LINK]:[PORCION]],5,FALSE)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8">
        <f t="shared" si="113"/>
        <v>154</v>
      </c>
      <c r="B156" s="127">
        <v>200001313</v>
      </c>
      <c r="C156" s="128">
        <v>610000000002325</v>
      </c>
      <c r="D156" s="128" t="s">
        <v>379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+VLOOKUP(CONCATENATE(K156,IF(K156="Completo",VLOOKUP(D156,Gr.Estr.Reg.!$C:$D,2,FALSE),VLOOKUP(D156,Gr.Estr.Reg.!$C:$H,6))),Tabla8[[LINK]:[PORCION]],5,FALSE)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8">
        <f t="shared" si="113"/>
        <v>155</v>
      </c>
      <c r="B157" s="127">
        <v>200001313</v>
      </c>
      <c r="C157" s="128">
        <v>610000000002325</v>
      </c>
      <c r="D157" s="128" t="s">
        <v>379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+VLOOKUP(CONCATENATE(K157,IF(K157="Completo",VLOOKUP(D157,Gr.Estr.Reg.!$C:$D,2,FALSE),VLOOKUP(D157,Gr.Estr.Reg.!$C:$H,6))),Tabla8[[LINK]:[PORCION]],5,FALSE)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8">
        <f t="shared" si="113"/>
        <v>156</v>
      </c>
      <c r="B158" s="127">
        <v>200001313</v>
      </c>
      <c r="C158" s="128">
        <v>610000000002325</v>
      </c>
      <c r="D158" s="128" t="s">
        <v>379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9175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+VLOOKUP(CONCATENATE(K158,IF(K158="Completo",VLOOKUP(D158,Gr.Estr.Reg.!$C:$D,2,FALSE),VLOOKUP(D158,Gr.Estr.Reg.!$C:$H,6))),Tabla8[[LINK]:[PORCION]],5,FALSE)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8">
        <f>+A158+1</f>
        <v>157</v>
      </c>
      <c r="B159" s="127">
        <v>200001313</v>
      </c>
      <c r="C159" s="128">
        <v>610000000002325</v>
      </c>
      <c r="D159" s="128" t="s">
        <v>379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201" t="s">
        <v>66</v>
      </c>
      <c r="J159" s="201" t="s">
        <v>315</v>
      </c>
      <c r="K159" s="201" t="s">
        <v>1963</v>
      </c>
      <c r="L159" s="201" t="s">
        <v>271</v>
      </c>
      <c r="M159" s="201" t="s">
        <v>528</v>
      </c>
      <c r="O159" s="201" t="s">
        <v>1050</v>
      </c>
      <c r="Q159" s="201" t="s">
        <v>248</v>
      </c>
      <c r="S159" s="201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+VLOOKUP(CONCATENATE(K159,IF(K159="Completo",VLOOKUP(D159,Gr.Estr.Reg.!$C:$D,2,FALSE),VLOOKUP(D159,Gr.Estr.Reg.!$C:$H,6))),Tabla8[[LINK]:[PORCION]],5,FALSE)</f>
        <v>GROCC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8">
        <f>+A159+1</f>
        <v>158</v>
      </c>
      <c r="B160" s="127">
        <v>200001313</v>
      </c>
      <c r="C160" s="128">
        <v>610000000002325</v>
      </c>
      <c r="D160" s="128" t="s">
        <v>379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201" t="s">
        <v>66</v>
      </c>
      <c r="J160" s="201" t="s">
        <v>315</v>
      </c>
      <c r="K160" s="201" t="s">
        <v>1963</v>
      </c>
      <c r="L160" s="201" t="s">
        <v>275</v>
      </c>
      <c r="M160" s="201" t="s">
        <v>528</v>
      </c>
      <c r="O160" s="201" t="s">
        <v>1050</v>
      </c>
      <c r="Q160" s="201" t="s">
        <v>78</v>
      </c>
      <c r="S160" s="201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+VLOOKUP(CONCATENATE(K160,IF(K160="Completo",VLOOKUP(D160,Gr.Estr.Reg.!$C:$D,2,FALSE),VLOOKUP(D160,Gr.Estr.Reg.!$C:$H,6))),Tabla8[[LINK]:[PORCION]],5,FALSE)</f>
        <v>GROCC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8">
        <f t="shared" ref="A161:A163" si="164">+A160+1</f>
        <v>159</v>
      </c>
      <c r="B161" s="127">
        <v>200001313</v>
      </c>
      <c r="C161" s="128">
        <v>610000000002325</v>
      </c>
      <c r="D161" s="128" t="s">
        <v>379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201" t="s">
        <v>66</v>
      </c>
      <c r="J161" s="201" t="s">
        <v>315</v>
      </c>
      <c r="K161" s="201" t="s">
        <v>1963</v>
      </c>
      <c r="L161" s="201" t="s">
        <v>284</v>
      </c>
      <c r="M161" s="201" t="s">
        <v>528</v>
      </c>
      <c r="O161" s="201" t="s">
        <v>1050</v>
      </c>
      <c r="Q161" s="201" t="s">
        <v>78</v>
      </c>
      <c r="S161" s="201" t="s">
        <v>240</v>
      </c>
      <c r="T161" s="114">
        <v>10000</v>
      </c>
      <c r="V161" s="114" t="s">
        <v>9148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+VLOOKUP(CONCATENATE(K161,IF(K161="Completo",VLOOKUP(D161,Gr.Estr.Reg.!$C:$D,2,FALSE),VLOOKUP(D161,Gr.Estr.Reg.!$C:$H,6))),Tabla8[[LINK]:[PORCION]],5,FALSE)</f>
        <v>GROCC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8">
        <f t="shared" si="164"/>
        <v>160</v>
      </c>
      <c r="B162" s="127">
        <v>200001313</v>
      </c>
      <c r="C162" s="128">
        <v>610000000002325</v>
      </c>
      <c r="D162" s="128" t="s">
        <v>379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201" t="s">
        <v>66</v>
      </c>
      <c r="J162" s="201" t="s">
        <v>315</v>
      </c>
      <c r="K162" s="201" t="s">
        <v>1963</v>
      </c>
      <c r="L162" s="201" t="s">
        <v>285</v>
      </c>
      <c r="M162" s="201" t="s">
        <v>528</v>
      </c>
      <c r="O162" s="201" t="s">
        <v>1050</v>
      </c>
      <c r="Q162" s="201" t="s">
        <v>78</v>
      </c>
      <c r="S162" s="201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+VLOOKUP(CONCATENATE(K162,IF(K162="Completo",VLOOKUP(D162,Gr.Estr.Reg.!$C:$D,2,FALSE),VLOOKUP(D162,Gr.Estr.Reg.!$C:$H,6))),Tabla8[[LINK]:[PORCION]],5,FALSE)</f>
        <v>GROCC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8">
        <f t="shared" si="164"/>
        <v>161</v>
      </c>
      <c r="B163" s="127">
        <v>200001313</v>
      </c>
      <c r="C163" s="128">
        <v>610000000002325</v>
      </c>
      <c r="D163" s="128" t="s">
        <v>379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201" t="s">
        <v>66</v>
      </c>
      <c r="J163" s="201" t="s">
        <v>315</v>
      </c>
      <c r="K163" s="201" t="s">
        <v>1963</v>
      </c>
      <c r="L163" s="201" t="s">
        <v>306</v>
      </c>
      <c r="M163" s="201" t="s">
        <v>528</v>
      </c>
      <c r="O163" s="201" t="s">
        <v>1050</v>
      </c>
      <c r="Q163" s="201" t="s">
        <v>77</v>
      </c>
      <c r="S163" s="201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+VLOOKUP(CONCATENATE(K163,IF(K163="Completo",VLOOKUP(D163,Gr.Estr.Reg.!$C:$D,2,FALSE),VLOOKUP(D163,Gr.Estr.Reg.!$C:$H,6))),Tabla8[[LINK]:[PORCION]],5,FALSE)</f>
        <v>GROCC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8">
        <f>+A163+1</f>
        <v>162</v>
      </c>
      <c r="B164" s="127">
        <v>200001313</v>
      </c>
      <c r="C164" s="128">
        <v>610000000002325</v>
      </c>
      <c r="D164" s="128" t="s">
        <v>379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200" t="s">
        <v>66</v>
      </c>
      <c r="J164" s="200" t="s">
        <v>316</v>
      </c>
      <c r="K164" s="200" t="s">
        <v>1963</v>
      </c>
      <c r="L164" s="200" t="s">
        <v>271</v>
      </c>
      <c r="M164" s="200" t="s">
        <v>266</v>
      </c>
      <c r="O164" s="200" t="s">
        <v>1050</v>
      </c>
      <c r="Q164" s="200" t="s">
        <v>248</v>
      </c>
      <c r="S164" s="200" t="s">
        <v>232</v>
      </c>
      <c r="T164" s="114"/>
      <c r="V164" s="114" t="s">
        <v>9149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+VLOOKUP(CONCATENATE(K164,IF(K164="Completo",VLOOKUP(D164,Gr.Estr.Reg.!$C:$D,2,FALSE),VLOOKUP(D164,Gr.Estr.Reg.!$C:$H,6))),Tabla8[[LINK]:[PORCION]],5,FALSE)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8">
        <f t="shared" ref="A165:A168" si="192">+A164+1</f>
        <v>163</v>
      </c>
      <c r="B165" s="127">
        <v>200001313</v>
      </c>
      <c r="C165" s="128">
        <v>610000000002325</v>
      </c>
      <c r="D165" s="128" t="s">
        <v>379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200" t="s">
        <v>74</v>
      </c>
      <c r="J165" s="200" t="s">
        <v>316</v>
      </c>
      <c r="K165" s="200" t="s">
        <v>1963</v>
      </c>
      <c r="L165" s="200" t="s">
        <v>275</v>
      </c>
      <c r="M165" s="200" t="s">
        <v>266</v>
      </c>
      <c r="O165" s="200" t="s">
        <v>1050</v>
      </c>
      <c r="Q165" s="200" t="s">
        <v>78</v>
      </c>
      <c r="S165" s="200" t="s">
        <v>239</v>
      </c>
      <c r="T165" s="114">
        <v>10000</v>
      </c>
      <c r="V165" s="114" t="s">
        <v>9151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+VLOOKUP(CONCATENATE(K165,IF(K165="Completo",VLOOKUP(D165,Gr.Estr.Reg.!$C:$D,2,FALSE),VLOOKUP(D165,Gr.Estr.Reg.!$C:$H,6))),Tabla8[[LINK]:[PORCION]],5,FALSE)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8">
        <f t="shared" si="192"/>
        <v>164</v>
      </c>
      <c r="B166" s="127">
        <v>200001313</v>
      </c>
      <c r="C166" s="128">
        <v>610000000002325</v>
      </c>
      <c r="D166" s="128" t="s">
        <v>379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200" t="s">
        <v>62</v>
      </c>
      <c r="J166" s="200" t="s">
        <v>316</v>
      </c>
      <c r="K166" s="200" t="s">
        <v>1963</v>
      </c>
      <c r="L166" s="200" t="s">
        <v>275</v>
      </c>
      <c r="M166" s="200" t="s">
        <v>266</v>
      </c>
      <c r="O166" s="200" t="s">
        <v>1050</v>
      </c>
      <c r="Q166" s="200" t="s">
        <v>78</v>
      </c>
      <c r="S166" s="200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+VLOOKUP(CONCATENATE(K166,IF(K166="Completo",VLOOKUP(D166,Gr.Estr.Reg.!$C:$D,2,FALSE),VLOOKUP(D166,Gr.Estr.Reg.!$C:$H,6))),Tabla8[[LINK]:[PORCION]],5,FALSE)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8">
        <f t="shared" si="192"/>
        <v>165</v>
      </c>
      <c r="B167" s="127">
        <v>200001313</v>
      </c>
      <c r="C167" s="128">
        <v>610000000002325</v>
      </c>
      <c r="D167" s="128" t="s">
        <v>379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200" t="s">
        <v>72</v>
      </c>
      <c r="J167" s="200" t="s">
        <v>316</v>
      </c>
      <c r="K167" s="200" t="s">
        <v>1963</v>
      </c>
      <c r="L167" s="200" t="s">
        <v>306</v>
      </c>
      <c r="M167" s="200" t="s">
        <v>266</v>
      </c>
      <c r="O167" s="200" t="s">
        <v>1050</v>
      </c>
      <c r="Q167" s="200" t="s">
        <v>78</v>
      </c>
      <c r="S167" s="200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+VLOOKUP(CONCATENATE(K167,IF(K167="Completo",VLOOKUP(D167,Gr.Estr.Reg.!$C:$D,2,FALSE),VLOOKUP(D167,Gr.Estr.Reg.!$C:$H,6))),Tabla8[[LINK]:[PORCION]],5,FALSE)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8">
        <f t="shared" si="192"/>
        <v>166</v>
      </c>
      <c r="B168" s="127">
        <v>200001313</v>
      </c>
      <c r="C168" s="128">
        <v>610000000002325</v>
      </c>
      <c r="D168" s="128" t="s">
        <v>379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200" t="s">
        <v>61</v>
      </c>
      <c r="J168" s="200" t="s">
        <v>316</v>
      </c>
      <c r="K168" s="200" t="s">
        <v>1963</v>
      </c>
      <c r="L168" s="200" t="s">
        <v>306</v>
      </c>
      <c r="M168" s="200" t="s">
        <v>266</v>
      </c>
      <c r="O168" s="200" t="s">
        <v>1050</v>
      </c>
      <c r="Q168" s="200" t="s">
        <v>77</v>
      </c>
      <c r="S168" s="200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+VLOOKUP(CONCATENATE(K168,IF(K168="Completo",VLOOKUP(D168,Gr.Estr.Reg.!$C:$D,2,FALSE),VLOOKUP(D168,Gr.Estr.Reg.!$C:$H,6))),Tabla8[[LINK]:[PORCION]],5,FALSE)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>
      <formula1>T.Cta.Cto</formula1>
    </dataValidation>
    <dataValidation type="list" allowBlank="1" showInputMessage="1" showErrorMessage="1" sqref="M3:M168">
      <formula1>CONDADOS</formula1>
    </dataValidation>
    <dataValidation type="list" allowBlank="1" showInputMessage="1" showErrorMessage="1" sqref="O3:O168">
      <formula1>CIIU</formula1>
    </dataValidation>
    <dataValidation type="list" allowBlank="1" showInputMessage="1" showErrorMessage="1" sqref="I3:I168">
      <formula1>INDIRECT(CONCATENATE(AH3,".CDC"))</formula1>
    </dataValidation>
    <dataValidation type="list" allowBlank="1" showInputMessage="1" showErrorMessage="1" sqref="Q3:Q168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>
      <formula1>IF(AH3="DP","",IF(AO3&lt;&gt;"G1",INDIRECT(CONCATENATE("PJ.PROSU")),INDIRECT(CONCATENATE(AH3,".PROSU"))))</formula1>
    </dataValidation>
    <dataValidation type="list" allowBlank="1" showInputMessage="1" showErrorMessage="1" sqref="L3:L168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>
      <formula1>INDIRECT(IF(AH3="DP","DP.BENEFICIOS",CONCATENATE(AH3,".",AJ3,".BENEFICIOS")))</formula1>
    </dataValidation>
    <dataValidation type="list" allowBlank="1" showInputMessage="1" showErrorMessage="1" sqref="AA3:AA168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61" customFormat="1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62" t="s">
        <v>9083</v>
      </c>
      <c r="H1" s="162" t="s">
        <v>9084</v>
      </c>
      <c r="I1" s="162" t="s">
        <v>9085</v>
      </c>
      <c r="J1" s="48" t="s">
        <v>9086</v>
      </c>
      <c r="K1" s="48" t="s">
        <v>9087</v>
      </c>
      <c r="L1" s="48" t="s">
        <v>9088</v>
      </c>
      <c r="M1" s="162" t="s">
        <v>9089</v>
      </c>
      <c r="N1" s="162" t="s">
        <v>9090</v>
      </c>
      <c r="O1" s="162" t="s">
        <v>9091</v>
      </c>
      <c r="P1" s="48" t="s">
        <v>9107</v>
      </c>
      <c r="Q1" s="48" t="s">
        <v>9108</v>
      </c>
      <c r="R1" s="48" t="s">
        <v>9109</v>
      </c>
      <c r="S1" s="162" t="s">
        <v>9110</v>
      </c>
      <c r="T1" s="162" t="s">
        <v>9111</v>
      </c>
      <c r="U1" s="162" t="s">
        <v>9112</v>
      </c>
      <c r="V1" s="48" t="s">
        <v>9113</v>
      </c>
      <c r="W1" s="48" t="s">
        <v>9114</v>
      </c>
      <c r="X1" s="48" t="s">
        <v>9115</v>
      </c>
      <c r="Y1" s="162" t="s">
        <v>9101</v>
      </c>
      <c r="Z1" s="48" t="s">
        <v>9102</v>
      </c>
      <c r="AA1" s="48" t="s">
        <v>9103</v>
      </c>
      <c r="AC1" s="147" t="s">
        <v>9164</v>
      </c>
    </row>
    <row r="2" spans="1:37" x14ac:dyDescent="0.25">
      <c r="A2" s="148">
        <f>+'CARGA DE DATOS'!A3</f>
        <v>1</v>
      </c>
      <c r="B2" s="48" t="str">
        <f>+IF(RESULTADOS!H2="","",RESULTADOS!H2)</f>
        <v/>
      </c>
      <c r="C2" s="48" t="str">
        <f>+IF(RESULTADOS!D2="","",RESULTADOS!D2)</f>
        <v/>
      </c>
      <c r="D2" s="160" t="str">
        <f>+IF('CARGA DE DATOS'!K3="Cooperativa","COOP",IF(Salida!AT3="true","PROSU","GD"))</f>
        <v>GD</v>
      </c>
      <c r="E2" s="160" t="s">
        <v>9147</v>
      </c>
      <c r="F2" s="160" t="str">
        <f>+IF(OR(D2="COOP",'CARGA DE DATOS'!K3="GUMA"),"15.02.2022",IF('CARGA DE DATOS'!K3="GUME","05.02.2022","10.02.2022"))</f>
        <v>10.02.2022</v>
      </c>
      <c r="G2" s="163">
        <f>+IF(VLOOKUP(G$1,Lecturas!$N$1:$AA$20,$AC2,FALSE)=0,"",VLOOKUP(G$1,Lecturas!$N$1:$AA$20,$AC2,FALSE))</f>
        <v>150</v>
      </c>
      <c r="H2" s="163">
        <f>+IF(VLOOKUP(H$1,Lecturas!$N$1:$AA$20,$AC2,FALSE)=0,"",VLOOKUP(H$1,Lecturas!$N$1:$AA$20,$AC2,FALSE))</f>
        <v>150</v>
      </c>
      <c r="I2" s="163">
        <f>+IF(VLOOKUP(I$1,Lecturas!$N$1:$AA$20,$AC2,FALSE)=0,"",VLOOKUP(I$1,Lecturas!$N$1:$AA$20,$AC2,FALSE))</f>
        <v>150</v>
      </c>
      <c r="J2" s="156" t="str">
        <f>+IF(VLOOKUP(J$1,Lecturas!$N$1:$AA$20,$AC2,FALSE)=0,"",VLOOKUP(J$1,Lecturas!$N$1:$AA$20,$AC2,FALSE))</f>
        <v/>
      </c>
      <c r="K2" s="156" t="str">
        <f>+IF(VLOOKUP(K$1,Lecturas!$N$1:$AA$20,$AC2,FALSE)=0,"",VLOOKUP(K$1,Lecturas!$N$1:$AA$20,$AC2,FALSE))</f>
        <v/>
      </c>
      <c r="L2" s="156" t="str">
        <f>+IF(VLOOKUP(L$1,Lecturas!$N$1:$AA$20,$AC2,FALSE)=0,"",VLOOKUP(L$1,Lecturas!$N$1:$AA$20,$AC2,FALSE))</f>
        <v/>
      </c>
      <c r="M2" s="163">
        <f>+IF(VLOOKUP(M$1,Lecturas!$N$1:$AA$20,$AC2,FALSE)=0,"",VLOOKUP(M$1,Lecturas!$N$1:$AA$20,$AC2,FALSE))</f>
        <v>2500</v>
      </c>
      <c r="N2" s="163">
        <f>+IF(VLOOKUP(N$1,Lecturas!$N$1:$AA$20,$AC2,FALSE)=0,"",VLOOKUP(N$1,Lecturas!$N$1:$AA$20,$AC2,FALSE))</f>
        <v>2000</v>
      </c>
      <c r="O2" s="163">
        <f>+IF(VLOOKUP(O$1,Lecturas!$N$1:$AA$20,$AC2,FALSE)=0,"",VLOOKUP(O$1,Lecturas!$N$1:$AA$20,$AC2,FALSE))</f>
        <v>3000</v>
      </c>
      <c r="P2" s="156" t="str">
        <f>+IF(VLOOKUP(P$1,Lecturas!$N$1:$AA$20,$AC2,FALSE)=0,"",VLOOKUP(P$1,Lecturas!$N$1:$AA$20,$AC2,FALSE))</f>
        <v/>
      </c>
      <c r="Q2" s="156" t="str">
        <f>+IF(VLOOKUP(Q$1,Lecturas!$N$1:$AA$20,$AC2,FALSE)=0,"",VLOOKUP(Q$1,Lecturas!$N$1:$AA$20,$AC2,FALSE))</f>
        <v/>
      </c>
      <c r="R2" s="156" t="str">
        <f>+IF(VLOOKUP(R$1,Lecturas!$N$1:$AA$20,$AC2,FALSE)=0,"",VLOOKUP(R$1,Lecturas!$N$1:$AA$20,$AC2,FALSE))</f>
        <v/>
      </c>
      <c r="S2" s="163" t="str">
        <f>+IF(VLOOKUP(S$1,Lecturas!$N$1:$AA$20,$AC2,FALSE)=0,"",VLOOKUP(S$1,Lecturas!$N$1:$AA$20,$AC2,FALSE))</f>
        <v/>
      </c>
      <c r="T2" s="163" t="str">
        <f>+IF(VLOOKUP(T$1,Lecturas!$N$1:$AA$20,$AC2,FALSE)=0,"",VLOOKUP(T$1,Lecturas!$N$1:$AA$20,$AC2,FALSE))</f>
        <v/>
      </c>
      <c r="U2" s="163" t="str">
        <f>+IF(VLOOKUP(U$1,Lecturas!$N$1:$AA$20,$AC2,FALSE)=0,"",VLOOKUP(U$1,Lecturas!$N$1:$AA$20,$AC2,FALSE))</f>
        <v/>
      </c>
      <c r="V2" s="156" t="str">
        <f>+IF(VLOOKUP(V$1,Lecturas!$N$1:$AA$20,$AC2,FALSE)=0,"",VLOOKUP(V$1,Lecturas!$N$1:$AA$20,$AC2,FALSE))</f>
        <v/>
      </c>
      <c r="W2" s="156" t="str">
        <f>+IF(VLOOKUP(W$1,Lecturas!$N$1:$AA$20,$AC2,FALSE)=0,"",VLOOKUP(W$1,Lecturas!$N$1:$AA$20,$AC2,FALSE))</f>
        <v/>
      </c>
      <c r="X2" s="156" t="str">
        <f>+IF(VLOOKUP(X$1,Lecturas!$N$1:$AA$20,$AC2,FALSE)=0,"",VLOOKUP(X$1,Lecturas!$N$1:$AA$20,$AC2,FALSE))</f>
        <v/>
      </c>
      <c r="Y2" s="163">
        <f>+IF(VLOOKUP(Y$1,Lecturas!$N$1:$AA$20,$AC2,FALSE)=0,"",VLOOKUP(Y$1,Lecturas!$N$1:$AA$20,$AC2,FALSE))</f>
        <v>5000</v>
      </c>
      <c r="Z2" s="48"/>
      <c r="AA2" s="48"/>
      <c r="AB2" s="48"/>
      <c r="AC2" s="148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8">
        <f>+'CARGA DE DATOS'!A4</f>
        <v>2</v>
      </c>
      <c r="B3" s="48" t="str">
        <f>+IF(RESULTADOS!H3="","",RESULTADOS!H3)</f>
        <v/>
      </c>
      <c r="C3" s="48" t="str">
        <f>+IF(RESULTADOS!D3="","",RESULTADOS!D3)</f>
        <v/>
      </c>
      <c r="D3" s="160" t="str">
        <f>+IF('CARGA DE DATOS'!K4="Cooperativa","COOP",IF(Salida!AT4="true","PROSU","GD"))</f>
        <v>GD</v>
      </c>
      <c r="E3" s="160" t="s">
        <v>9147</v>
      </c>
      <c r="F3" s="160" t="str">
        <f>+IF(OR(D3="COOP",'CARGA DE DATOS'!K4="GUMA"),"15.02.2022",IF('CARGA DE DATOS'!K4="GUME","05.02.2022","10.02.2022"))</f>
        <v>10.02.2022</v>
      </c>
      <c r="G3" s="163">
        <f>+IF(VLOOKUP(G$1,Lecturas!$N$1:$AA$20,$AC3,FALSE)=0,"",VLOOKUP(G$1,Lecturas!$N$1:$AA$20,$AC3,FALSE))</f>
        <v>150</v>
      </c>
      <c r="H3" s="163">
        <f>+IF(VLOOKUP(H$1,Lecturas!$N$1:$AA$20,$AC3,FALSE)=0,"",VLOOKUP(H$1,Lecturas!$N$1:$AA$20,$AC3,FALSE))</f>
        <v>300</v>
      </c>
      <c r="I3" s="163">
        <f>+IF(VLOOKUP(I$1,Lecturas!$N$1:$AA$20,$AC3,FALSE)=0,"",VLOOKUP(I$1,Lecturas!$N$1:$AA$20,$AC3,FALSE))</f>
        <v>150</v>
      </c>
      <c r="J3" s="156" t="str">
        <f>+IF(VLOOKUP(J$1,Lecturas!$N$1:$AA$20,$AC3,FALSE)=0,"",VLOOKUP(J$1,Lecturas!$N$1:$AA$20,$AC3,FALSE))</f>
        <v/>
      </c>
      <c r="K3" s="156" t="str">
        <f>+IF(VLOOKUP(K$1,Lecturas!$N$1:$AA$20,$AC3,FALSE)=0,"",VLOOKUP(K$1,Lecturas!$N$1:$AA$20,$AC3,FALSE))</f>
        <v/>
      </c>
      <c r="L3" s="156" t="str">
        <f>+IF(VLOOKUP(L$1,Lecturas!$N$1:$AA$20,$AC3,FALSE)=0,"",VLOOKUP(L$1,Lecturas!$N$1:$AA$20,$AC3,FALSE))</f>
        <v/>
      </c>
      <c r="M3" s="163">
        <f>+IF(VLOOKUP(M$1,Lecturas!$N$1:$AA$20,$AC3,FALSE)=0,"",VLOOKUP(M$1,Lecturas!$N$1:$AA$20,$AC3,FALSE))</f>
        <v>2500</v>
      </c>
      <c r="N3" s="163">
        <f>+IF(VLOOKUP(N$1,Lecturas!$N$1:$AA$20,$AC3,FALSE)=0,"",VLOOKUP(N$1,Lecturas!$N$1:$AA$20,$AC3,FALSE))</f>
        <v>2000</v>
      </c>
      <c r="O3" s="163">
        <f>+IF(VLOOKUP(O$1,Lecturas!$N$1:$AA$20,$AC3,FALSE)=0,"",VLOOKUP(O$1,Lecturas!$N$1:$AA$20,$AC3,FALSE))</f>
        <v>3000</v>
      </c>
      <c r="P3" s="156" t="str">
        <f>+IF(VLOOKUP(P$1,Lecturas!$N$1:$AA$20,$AC3,FALSE)=0,"",VLOOKUP(P$1,Lecturas!$N$1:$AA$20,$AC3,FALSE))</f>
        <v/>
      </c>
      <c r="Q3" s="156" t="str">
        <f>+IF(VLOOKUP(Q$1,Lecturas!$N$1:$AA$20,$AC3,FALSE)=0,"",VLOOKUP(Q$1,Lecturas!$N$1:$AA$20,$AC3,FALSE))</f>
        <v/>
      </c>
      <c r="R3" s="156" t="str">
        <f>+IF(VLOOKUP(R$1,Lecturas!$N$1:$AA$20,$AC3,FALSE)=0,"",VLOOKUP(R$1,Lecturas!$N$1:$AA$20,$AC3,FALSE))</f>
        <v/>
      </c>
      <c r="S3" s="163" t="str">
        <f>+IF(VLOOKUP(S$1,Lecturas!$N$1:$AA$20,$AC3,FALSE)=0,"",VLOOKUP(S$1,Lecturas!$N$1:$AA$20,$AC3,FALSE))</f>
        <v/>
      </c>
      <c r="T3" s="163" t="str">
        <f>+IF(VLOOKUP(T$1,Lecturas!$N$1:$AA$20,$AC3,FALSE)=0,"",VLOOKUP(T$1,Lecturas!$N$1:$AA$20,$AC3,FALSE))</f>
        <v/>
      </c>
      <c r="U3" s="163" t="str">
        <f>+IF(VLOOKUP(U$1,Lecturas!$N$1:$AA$20,$AC3,FALSE)=0,"",VLOOKUP(U$1,Lecturas!$N$1:$AA$20,$AC3,FALSE))</f>
        <v/>
      </c>
      <c r="V3" s="156" t="str">
        <f>+IF(VLOOKUP(V$1,Lecturas!$N$1:$AA$20,$AC3,FALSE)=0,"",VLOOKUP(V$1,Lecturas!$N$1:$AA$20,$AC3,FALSE))</f>
        <v/>
      </c>
      <c r="W3" s="156" t="str">
        <f>+IF(VLOOKUP(W$1,Lecturas!$N$1:$AA$20,$AC3,FALSE)=0,"",VLOOKUP(W$1,Lecturas!$N$1:$AA$20,$AC3,FALSE))</f>
        <v/>
      </c>
      <c r="X3" s="156" t="str">
        <f>+IF(VLOOKUP(X$1,Lecturas!$N$1:$AA$20,$AC3,FALSE)=0,"",VLOOKUP(X$1,Lecturas!$N$1:$AA$20,$AC3,FALSE))</f>
        <v/>
      </c>
      <c r="Y3" s="163">
        <f>+IF(VLOOKUP(Y$1,Lecturas!$N$1:$AA$20,$AC3,FALSE)=0,"",VLOOKUP(Y$1,Lecturas!$N$1:$AA$20,$AC3,FALSE))</f>
        <v>5000</v>
      </c>
      <c r="Z3" s="48"/>
      <c r="AA3" s="48"/>
      <c r="AB3" s="48"/>
      <c r="AC3" s="148">
        <f>+'CARGA DE DATOS'!AF4</f>
        <v>3</v>
      </c>
    </row>
    <row r="4" spans="1:37" x14ac:dyDescent="0.25">
      <c r="A4" s="148">
        <f>+'CARGA DE DATOS'!A5</f>
        <v>3</v>
      </c>
      <c r="B4" s="48" t="str">
        <f>+IF(RESULTADOS!H4="","",RESULTADOS!H4)</f>
        <v/>
      </c>
      <c r="C4" s="48" t="str">
        <f>+IF(RESULTADOS!D4="","",RESULTADOS!D4)</f>
        <v/>
      </c>
      <c r="D4" s="160" t="str">
        <f>+IF('CARGA DE DATOS'!K5="Cooperativa","COOP",IF(Salida!AT5="true","PROSU","GD"))</f>
        <v>GD</v>
      </c>
      <c r="E4" s="160" t="s">
        <v>9147</v>
      </c>
      <c r="F4" s="160" t="str">
        <f>+IF(OR(D4="COOP",'CARGA DE DATOS'!K5="GUMA"),"15.02.2022",IF('CARGA DE DATOS'!K5="GUME","05.02.2022","10.02.2022"))</f>
        <v>10.02.2022</v>
      </c>
      <c r="G4" s="163">
        <f>+IF(VLOOKUP(G$1,Lecturas!$N$1:$AA$20,$AC4,FALSE)=0,"",VLOOKUP(G$1,Lecturas!$N$1:$AA$20,$AC4,FALSE))</f>
        <v>150</v>
      </c>
      <c r="H4" s="163">
        <f>+IF(VLOOKUP(H$1,Lecturas!$N$1:$AA$20,$AC4,FALSE)=0,"",VLOOKUP(H$1,Lecturas!$N$1:$AA$20,$AC4,FALSE))</f>
        <v>150</v>
      </c>
      <c r="I4" s="163">
        <f>+IF(VLOOKUP(I$1,Lecturas!$N$1:$AA$20,$AC4,FALSE)=0,"",VLOOKUP(I$1,Lecturas!$N$1:$AA$20,$AC4,FALSE))</f>
        <v>150</v>
      </c>
      <c r="J4" s="156" t="str">
        <f>+IF(VLOOKUP(J$1,Lecturas!$N$1:$AA$20,$AC4,FALSE)=0,"",VLOOKUP(J$1,Lecturas!$N$1:$AA$20,$AC4,FALSE))</f>
        <v/>
      </c>
      <c r="K4" s="156" t="str">
        <f>+IF(VLOOKUP(K$1,Lecturas!$N$1:$AA$20,$AC4,FALSE)=0,"",VLOOKUP(K$1,Lecturas!$N$1:$AA$20,$AC4,FALSE))</f>
        <v/>
      </c>
      <c r="L4" s="156" t="str">
        <f>+IF(VLOOKUP(L$1,Lecturas!$N$1:$AA$20,$AC4,FALSE)=0,"",VLOOKUP(L$1,Lecturas!$N$1:$AA$20,$AC4,FALSE))</f>
        <v/>
      </c>
      <c r="M4" s="163">
        <f>+IF(VLOOKUP(M$1,Lecturas!$N$1:$AA$20,$AC4,FALSE)=0,"",VLOOKUP(M$1,Lecturas!$N$1:$AA$20,$AC4,FALSE))</f>
        <v>2500</v>
      </c>
      <c r="N4" s="163">
        <f>+IF(VLOOKUP(N$1,Lecturas!$N$1:$AA$20,$AC4,FALSE)=0,"",VLOOKUP(N$1,Lecturas!$N$1:$AA$20,$AC4,FALSE))</f>
        <v>2000</v>
      </c>
      <c r="O4" s="163">
        <f>+IF(VLOOKUP(O$1,Lecturas!$N$1:$AA$20,$AC4,FALSE)=0,"",VLOOKUP(O$1,Lecturas!$N$1:$AA$20,$AC4,FALSE))</f>
        <v>3000</v>
      </c>
      <c r="P4" s="156" t="str">
        <f>+IF(VLOOKUP(P$1,Lecturas!$N$1:$AA$20,$AC4,FALSE)=0,"",VLOOKUP(P$1,Lecturas!$N$1:$AA$20,$AC4,FALSE))</f>
        <v/>
      </c>
      <c r="Q4" s="156" t="str">
        <f>+IF(VLOOKUP(Q$1,Lecturas!$N$1:$AA$20,$AC4,FALSE)=0,"",VLOOKUP(Q$1,Lecturas!$N$1:$AA$20,$AC4,FALSE))</f>
        <v/>
      </c>
      <c r="R4" s="156" t="str">
        <f>+IF(VLOOKUP(R$1,Lecturas!$N$1:$AA$20,$AC4,FALSE)=0,"",VLOOKUP(R$1,Lecturas!$N$1:$AA$20,$AC4,FALSE))</f>
        <v/>
      </c>
      <c r="S4" s="163" t="str">
        <f>+IF(VLOOKUP(S$1,Lecturas!$N$1:$AA$20,$AC4,FALSE)=0,"",VLOOKUP(S$1,Lecturas!$N$1:$AA$20,$AC4,FALSE))</f>
        <v/>
      </c>
      <c r="T4" s="163" t="str">
        <f>+IF(VLOOKUP(T$1,Lecturas!$N$1:$AA$20,$AC4,FALSE)=0,"",VLOOKUP(T$1,Lecturas!$N$1:$AA$20,$AC4,FALSE))</f>
        <v/>
      </c>
      <c r="U4" s="163" t="str">
        <f>+IF(VLOOKUP(U$1,Lecturas!$N$1:$AA$20,$AC4,FALSE)=0,"",VLOOKUP(U$1,Lecturas!$N$1:$AA$20,$AC4,FALSE))</f>
        <v/>
      </c>
      <c r="V4" s="156" t="str">
        <f>+IF(VLOOKUP(V$1,Lecturas!$N$1:$AA$20,$AC4,FALSE)=0,"",VLOOKUP(V$1,Lecturas!$N$1:$AA$20,$AC4,FALSE))</f>
        <v/>
      </c>
      <c r="W4" s="156" t="str">
        <f>+IF(VLOOKUP(W$1,Lecturas!$N$1:$AA$20,$AC4,FALSE)=0,"",VLOOKUP(W$1,Lecturas!$N$1:$AA$20,$AC4,FALSE))</f>
        <v/>
      </c>
      <c r="X4" s="156" t="str">
        <f>+IF(VLOOKUP(X$1,Lecturas!$N$1:$AA$20,$AC4,FALSE)=0,"",VLOOKUP(X$1,Lecturas!$N$1:$AA$20,$AC4,FALSE))</f>
        <v/>
      </c>
      <c r="Y4" s="163">
        <f>+IF(VLOOKUP(Y$1,Lecturas!$N$1:$AA$20,$AC4,FALSE)=0,"",VLOOKUP(Y$1,Lecturas!$N$1:$AA$20,$AC4,FALSE))</f>
        <v>15000</v>
      </c>
      <c r="Z4" s="48"/>
      <c r="AA4" s="48"/>
      <c r="AB4" s="48"/>
      <c r="AC4" s="148">
        <f>+'CARGA DE DATOS'!AF5</f>
        <v>4</v>
      </c>
    </row>
    <row r="5" spans="1:37" x14ac:dyDescent="0.25">
      <c r="A5" s="148">
        <f>+'CARGA DE DATOS'!A6</f>
        <v>4</v>
      </c>
      <c r="B5" s="48" t="str">
        <f>+IF(RESULTADOS!H5="","",RESULTADOS!H5)</f>
        <v/>
      </c>
      <c r="C5" s="48" t="str">
        <f>+IF(RESULTADOS!D5="","",RESULTADOS!D5)</f>
        <v/>
      </c>
      <c r="D5" s="160" t="str">
        <f>+IF('CARGA DE DATOS'!K6="Cooperativa","COOP",IF(Salida!AT6="true","PROSU","GD"))</f>
        <v>GD</v>
      </c>
      <c r="E5" s="160" t="s">
        <v>9147</v>
      </c>
      <c r="F5" s="160" t="str">
        <f>+IF(OR(D5="COOP",'CARGA DE DATOS'!K6="GUMA"),"15.02.2022",IF('CARGA DE DATOS'!K6="GUME","05.02.2022","10.02.2022"))</f>
        <v>10.02.2022</v>
      </c>
      <c r="G5" s="163">
        <f>+IF(VLOOKUP(G$1,Lecturas!$N$1:$AA$20,$AC5,FALSE)=0,"",VLOOKUP(G$1,Lecturas!$N$1:$AA$20,$AC5,FALSE))</f>
        <v>150</v>
      </c>
      <c r="H5" s="163">
        <f>+IF(VLOOKUP(H$1,Lecturas!$N$1:$AA$20,$AC5,FALSE)=0,"",VLOOKUP(H$1,Lecturas!$N$1:$AA$20,$AC5,FALSE))</f>
        <v>300</v>
      </c>
      <c r="I5" s="163">
        <f>+IF(VLOOKUP(I$1,Lecturas!$N$1:$AA$20,$AC5,FALSE)=0,"",VLOOKUP(I$1,Lecturas!$N$1:$AA$20,$AC5,FALSE))</f>
        <v>350</v>
      </c>
      <c r="J5" s="156" t="str">
        <f>+IF(VLOOKUP(J$1,Lecturas!$N$1:$AA$20,$AC5,FALSE)=0,"",VLOOKUP(J$1,Lecturas!$N$1:$AA$20,$AC5,FALSE))</f>
        <v/>
      </c>
      <c r="K5" s="156" t="str">
        <f>+IF(VLOOKUP(K$1,Lecturas!$N$1:$AA$20,$AC5,FALSE)=0,"",VLOOKUP(K$1,Lecturas!$N$1:$AA$20,$AC5,FALSE))</f>
        <v/>
      </c>
      <c r="L5" s="156" t="str">
        <f>+IF(VLOOKUP(L$1,Lecturas!$N$1:$AA$20,$AC5,FALSE)=0,"",VLOOKUP(L$1,Lecturas!$N$1:$AA$20,$AC5,FALSE))</f>
        <v/>
      </c>
      <c r="M5" s="163">
        <f>+IF(VLOOKUP(M$1,Lecturas!$N$1:$AA$20,$AC5,FALSE)=0,"",VLOOKUP(M$1,Lecturas!$N$1:$AA$20,$AC5,FALSE))</f>
        <v>2500</v>
      </c>
      <c r="N5" s="163">
        <f>+IF(VLOOKUP(N$1,Lecturas!$N$1:$AA$20,$AC5,FALSE)=0,"",VLOOKUP(N$1,Lecturas!$N$1:$AA$20,$AC5,FALSE))</f>
        <v>2000</v>
      </c>
      <c r="O5" s="163">
        <f>+IF(VLOOKUP(O$1,Lecturas!$N$1:$AA$20,$AC5,FALSE)=0,"",VLOOKUP(O$1,Lecturas!$N$1:$AA$20,$AC5,FALSE))</f>
        <v>3000</v>
      </c>
      <c r="P5" s="156" t="str">
        <f>+IF(VLOOKUP(P$1,Lecturas!$N$1:$AA$20,$AC5,FALSE)=0,"",VLOOKUP(P$1,Lecturas!$N$1:$AA$20,$AC5,FALSE))</f>
        <v/>
      </c>
      <c r="Q5" s="156" t="str">
        <f>+IF(VLOOKUP(Q$1,Lecturas!$N$1:$AA$20,$AC5,FALSE)=0,"",VLOOKUP(Q$1,Lecturas!$N$1:$AA$20,$AC5,FALSE))</f>
        <v/>
      </c>
      <c r="R5" s="156" t="str">
        <f>+IF(VLOOKUP(R$1,Lecturas!$N$1:$AA$20,$AC5,FALSE)=0,"",VLOOKUP(R$1,Lecturas!$N$1:$AA$20,$AC5,FALSE))</f>
        <v/>
      </c>
      <c r="S5" s="163" t="str">
        <f>+IF(VLOOKUP(S$1,Lecturas!$N$1:$AA$20,$AC5,FALSE)=0,"",VLOOKUP(S$1,Lecturas!$N$1:$AA$20,$AC5,FALSE))</f>
        <v/>
      </c>
      <c r="T5" s="163" t="str">
        <f>+IF(VLOOKUP(T$1,Lecturas!$N$1:$AA$20,$AC5,FALSE)=0,"",VLOOKUP(T$1,Lecturas!$N$1:$AA$20,$AC5,FALSE))</f>
        <v/>
      </c>
      <c r="U5" s="163" t="str">
        <f>+IF(VLOOKUP(U$1,Lecturas!$N$1:$AA$20,$AC5,FALSE)=0,"",VLOOKUP(U$1,Lecturas!$N$1:$AA$20,$AC5,FALSE))</f>
        <v/>
      </c>
      <c r="V5" s="156" t="str">
        <f>+IF(VLOOKUP(V$1,Lecturas!$N$1:$AA$20,$AC5,FALSE)=0,"",VLOOKUP(V$1,Lecturas!$N$1:$AA$20,$AC5,FALSE))</f>
        <v/>
      </c>
      <c r="W5" s="156" t="str">
        <f>+IF(VLOOKUP(W$1,Lecturas!$N$1:$AA$20,$AC5,FALSE)=0,"",VLOOKUP(W$1,Lecturas!$N$1:$AA$20,$AC5,FALSE))</f>
        <v/>
      </c>
      <c r="X5" s="156" t="str">
        <f>+IF(VLOOKUP(X$1,Lecturas!$N$1:$AA$20,$AC5,FALSE)=0,"",VLOOKUP(X$1,Lecturas!$N$1:$AA$20,$AC5,FALSE))</f>
        <v/>
      </c>
      <c r="Y5" s="163">
        <f>+IF(VLOOKUP(Y$1,Lecturas!$N$1:$AA$20,$AC5,FALSE)=0,"",VLOOKUP(Y$1,Lecturas!$N$1:$AA$20,$AC5,FALSE))</f>
        <v>2460</v>
      </c>
      <c r="Z5" s="48"/>
      <c r="AA5" s="48"/>
      <c r="AB5" s="48"/>
      <c r="AC5" s="148">
        <f>+'CARGA DE DATOS'!AF6</f>
        <v>5</v>
      </c>
    </row>
    <row r="6" spans="1:37" x14ac:dyDescent="0.25">
      <c r="A6" s="148">
        <f>+'CARGA DE DATOS'!A7</f>
        <v>5</v>
      </c>
      <c r="B6" s="48" t="str">
        <f>+IF(RESULTADOS!H6="","",RESULTADOS!H6)</f>
        <v/>
      </c>
      <c r="C6" s="48" t="str">
        <f>+IF(RESULTADOS!D6="","",RESULTADOS!D6)</f>
        <v/>
      </c>
      <c r="D6" s="160" t="str">
        <f>+IF('CARGA DE DATOS'!K7="Cooperativa","COOP",IF(Salida!AT7="true","PROSU","GD"))</f>
        <v>GD</v>
      </c>
      <c r="E6" s="160" t="s">
        <v>9147</v>
      </c>
      <c r="F6" s="160" t="str">
        <f>+IF(OR(D6="COOP",'CARGA DE DATOS'!K7="GUMA"),"15.02.2022",IF('CARGA DE DATOS'!K7="GUME","05.02.2022","10.02.2022"))</f>
        <v>10.02.2022</v>
      </c>
      <c r="G6" s="163">
        <f>+IF(VLOOKUP(G$1,Lecturas!$N$1:$AA$20,$AC6,FALSE)=0,"",VLOOKUP(G$1,Lecturas!$N$1:$AA$20,$AC6,FALSE))</f>
        <v>150</v>
      </c>
      <c r="H6" s="163">
        <f>+IF(VLOOKUP(H$1,Lecturas!$N$1:$AA$20,$AC6,FALSE)=0,"",VLOOKUP(H$1,Lecturas!$N$1:$AA$20,$AC6,FALSE))</f>
        <v>150</v>
      </c>
      <c r="I6" s="163">
        <f>+IF(VLOOKUP(I$1,Lecturas!$N$1:$AA$20,$AC6,FALSE)=0,"",VLOOKUP(I$1,Lecturas!$N$1:$AA$20,$AC6,FALSE))</f>
        <v>150</v>
      </c>
      <c r="J6" s="156" t="str">
        <f>+IF(VLOOKUP(J$1,Lecturas!$N$1:$AA$20,$AC6,FALSE)=0,"",VLOOKUP(J$1,Lecturas!$N$1:$AA$20,$AC6,FALSE))</f>
        <v/>
      </c>
      <c r="K6" s="156" t="str">
        <f>+IF(VLOOKUP(K$1,Lecturas!$N$1:$AA$20,$AC6,FALSE)=0,"",VLOOKUP(K$1,Lecturas!$N$1:$AA$20,$AC6,FALSE))</f>
        <v/>
      </c>
      <c r="L6" s="156" t="str">
        <f>+IF(VLOOKUP(L$1,Lecturas!$N$1:$AA$20,$AC6,FALSE)=0,"",VLOOKUP(L$1,Lecturas!$N$1:$AA$20,$AC6,FALSE))</f>
        <v/>
      </c>
      <c r="M6" s="163">
        <f>+IF(VLOOKUP(M$1,Lecturas!$N$1:$AA$20,$AC6,FALSE)=0,"",VLOOKUP(M$1,Lecturas!$N$1:$AA$20,$AC6,FALSE))</f>
        <v>2500</v>
      </c>
      <c r="N6" s="163">
        <f>+IF(VLOOKUP(N$1,Lecturas!$N$1:$AA$20,$AC6,FALSE)=0,"",VLOOKUP(N$1,Lecturas!$N$1:$AA$20,$AC6,FALSE))</f>
        <v>2000</v>
      </c>
      <c r="O6" s="163">
        <f>+IF(VLOOKUP(O$1,Lecturas!$N$1:$AA$20,$AC6,FALSE)=0,"",VLOOKUP(O$1,Lecturas!$N$1:$AA$20,$AC6,FALSE))</f>
        <v>3000</v>
      </c>
      <c r="P6" s="156" t="str">
        <f>+IF(VLOOKUP(P$1,Lecturas!$N$1:$AA$20,$AC6,FALSE)=0,"",VLOOKUP(P$1,Lecturas!$N$1:$AA$20,$AC6,FALSE))</f>
        <v/>
      </c>
      <c r="Q6" s="156" t="str">
        <f>+IF(VLOOKUP(Q$1,Lecturas!$N$1:$AA$20,$AC6,FALSE)=0,"",VLOOKUP(Q$1,Lecturas!$N$1:$AA$20,$AC6,FALSE))</f>
        <v/>
      </c>
      <c r="R6" s="156" t="str">
        <f>+IF(VLOOKUP(R$1,Lecturas!$N$1:$AA$20,$AC6,FALSE)=0,"",VLOOKUP(R$1,Lecturas!$N$1:$AA$20,$AC6,FALSE))</f>
        <v/>
      </c>
      <c r="S6" s="163" t="str">
        <f>+IF(VLOOKUP(S$1,Lecturas!$N$1:$AA$20,$AC6,FALSE)=0,"",VLOOKUP(S$1,Lecturas!$N$1:$AA$20,$AC6,FALSE))</f>
        <v/>
      </c>
      <c r="T6" s="163" t="str">
        <f>+IF(VLOOKUP(T$1,Lecturas!$N$1:$AA$20,$AC6,FALSE)=0,"",VLOOKUP(T$1,Lecturas!$N$1:$AA$20,$AC6,FALSE))</f>
        <v/>
      </c>
      <c r="U6" s="163" t="str">
        <f>+IF(VLOOKUP(U$1,Lecturas!$N$1:$AA$20,$AC6,FALSE)=0,"",VLOOKUP(U$1,Lecturas!$N$1:$AA$20,$AC6,FALSE))</f>
        <v/>
      </c>
      <c r="V6" s="156" t="str">
        <f>+IF(VLOOKUP(V$1,Lecturas!$N$1:$AA$20,$AC6,FALSE)=0,"",VLOOKUP(V$1,Lecturas!$N$1:$AA$20,$AC6,FALSE))</f>
        <v/>
      </c>
      <c r="W6" s="156" t="str">
        <f>+IF(VLOOKUP(W$1,Lecturas!$N$1:$AA$20,$AC6,FALSE)=0,"",VLOOKUP(W$1,Lecturas!$N$1:$AA$20,$AC6,FALSE))</f>
        <v/>
      </c>
      <c r="X6" s="156" t="str">
        <f>+IF(VLOOKUP(X$1,Lecturas!$N$1:$AA$20,$AC6,FALSE)=0,"",VLOOKUP(X$1,Lecturas!$N$1:$AA$20,$AC6,FALSE))</f>
        <v/>
      </c>
      <c r="Y6" s="163">
        <f>+IF(VLOOKUP(Y$1,Lecturas!$N$1:$AA$20,$AC6,FALSE)=0,"",VLOOKUP(Y$1,Lecturas!$N$1:$AA$20,$AC6,FALSE))</f>
        <v>5000</v>
      </c>
      <c r="Z6" s="48"/>
      <c r="AA6" s="48"/>
      <c r="AB6" s="48"/>
      <c r="AC6" s="148">
        <f>+'CARGA DE DATOS'!AF7</f>
        <v>2</v>
      </c>
    </row>
    <row r="7" spans="1:37" x14ac:dyDescent="0.25">
      <c r="A7" s="148">
        <f>+'CARGA DE DATOS'!A8</f>
        <v>6</v>
      </c>
      <c r="B7" s="48" t="str">
        <f>+IF(RESULTADOS!H7="","",RESULTADOS!H7)</f>
        <v/>
      </c>
      <c r="C7" s="48" t="str">
        <f>+IF(RESULTADOS!D7="","",RESULTADOS!D7)</f>
        <v/>
      </c>
      <c r="D7" s="160" t="str">
        <f>+IF('CARGA DE DATOS'!K8="Cooperativa","COOP",IF(Salida!AT8="true","PROSU","GD"))</f>
        <v>GD</v>
      </c>
      <c r="E7" s="160" t="s">
        <v>9147</v>
      </c>
      <c r="F7" s="160" t="str">
        <f>+IF(OR(D7="COOP",'CARGA DE DATOS'!K8="GUMA"),"15.02.2022",IF('CARGA DE DATOS'!K8="GUME","05.02.2022","10.02.2022"))</f>
        <v>10.02.2022</v>
      </c>
      <c r="G7" s="163">
        <f>+IF(VLOOKUP(G$1,Lecturas!$N$1:$AA$20,$AC7,FALSE)=0,"",VLOOKUP(G$1,Lecturas!$N$1:$AA$20,$AC7,FALSE))</f>
        <v>150</v>
      </c>
      <c r="H7" s="163">
        <f>+IF(VLOOKUP(H$1,Lecturas!$N$1:$AA$20,$AC7,FALSE)=0,"",VLOOKUP(H$1,Lecturas!$N$1:$AA$20,$AC7,FALSE))</f>
        <v>300</v>
      </c>
      <c r="I7" s="163">
        <f>+IF(VLOOKUP(I$1,Lecturas!$N$1:$AA$20,$AC7,FALSE)=0,"",VLOOKUP(I$1,Lecturas!$N$1:$AA$20,$AC7,FALSE))</f>
        <v>350</v>
      </c>
      <c r="J7" s="156" t="str">
        <f>+IF(VLOOKUP(J$1,Lecturas!$N$1:$AA$20,$AC7,FALSE)=0,"",VLOOKUP(J$1,Lecturas!$N$1:$AA$20,$AC7,FALSE))</f>
        <v/>
      </c>
      <c r="K7" s="156" t="str">
        <f>+IF(VLOOKUP(K$1,Lecturas!$N$1:$AA$20,$AC7,FALSE)=0,"",VLOOKUP(K$1,Lecturas!$N$1:$AA$20,$AC7,FALSE))</f>
        <v/>
      </c>
      <c r="L7" s="156" t="str">
        <f>+IF(VLOOKUP(L$1,Lecturas!$N$1:$AA$20,$AC7,FALSE)=0,"",VLOOKUP(L$1,Lecturas!$N$1:$AA$20,$AC7,FALSE))</f>
        <v/>
      </c>
      <c r="M7" s="163">
        <f>+IF(VLOOKUP(M$1,Lecturas!$N$1:$AA$20,$AC7,FALSE)=0,"",VLOOKUP(M$1,Lecturas!$N$1:$AA$20,$AC7,FALSE))</f>
        <v>2500</v>
      </c>
      <c r="N7" s="163">
        <f>+IF(VLOOKUP(N$1,Lecturas!$N$1:$AA$20,$AC7,FALSE)=0,"",VLOOKUP(N$1,Lecturas!$N$1:$AA$20,$AC7,FALSE))</f>
        <v>2000</v>
      </c>
      <c r="O7" s="163">
        <f>+IF(VLOOKUP(O$1,Lecturas!$N$1:$AA$20,$AC7,FALSE)=0,"",VLOOKUP(O$1,Lecturas!$N$1:$AA$20,$AC7,FALSE))</f>
        <v>3000</v>
      </c>
      <c r="P7" s="156" t="str">
        <f>+IF(VLOOKUP(P$1,Lecturas!$N$1:$AA$20,$AC7,FALSE)=0,"",VLOOKUP(P$1,Lecturas!$N$1:$AA$20,$AC7,FALSE))</f>
        <v/>
      </c>
      <c r="Q7" s="156" t="str">
        <f>+IF(VLOOKUP(Q$1,Lecturas!$N$1:$AA$20,$AC7,FALSE)=0,"",VLOOKUP(Q$1,Lecturas!$N$1:$AA$20,$AC7,FALSE))</f>
        <v/>
      </c>
      <c r="R7" s="156" t="str">
        <f>+IF(VLOOKUP(R$1,Lecturas!$N$1:$AA$20,$AC7,FALSE)=0,"",VLOOKUP(R$1,Lecturas!$N$1:$AA$20,$AC7,FALSE))</f>
        <v/>
      </c>
      <c r="S7" s="163" t="str">
        <f>+IF(VLOOKUP(S$1,Lecturas!$N$1:$AA$20,$AC7,FALSE)=0,"",VLOOKUP(S$1,Lecturas!$N$1:$AA$20,$AC7,FALSE))</f>
        <v/>
      </c>
      <c r="T7" s="163" t="str">
        <f>+IF(VLOOKUP(T$1,Lecturas!$N$1:$AA$20,$AC7,FALSE)=0,"",VLOOKUP(T$1,Lecturas!$N$1:$AA$20,$AC7,FALSE))</f>
        <v/>
      </c>
      <c r="U7" s="163" t="str">
        <f>+IF(VLOOKUP(U$1,Lecturas!$N$1:$AA$20,$AC7,FALSE)=0,"",VLOOKUP(U$1,Lecturas!$N$1:$AA$20,$AC7,FALSE))</f>
        <v/>
      </c>
      <c r="V7" s="156" t="str">
        <f>+IF(VLOOKUP(V$1,Lecturas!$N$1:$AA$20,$AC7,FALSE)=0,"",VLOOKUP(V$1,Lecturas!$N$1:$AA$20,$AC7,FALSE))</f>
        <v/>
      </c>
      <c r="W7" s="156" t="str">
        <f>+IF(VLOOKUP(W$1,Lecturas!$N$1:$AA$20,$AC7,FALSE)=0,"",VLOOKUP(W$1,Lecturas!$N$1:$AA$20,$AC7,FALSE))</f>
        <v/>
      </c>
      <c r="X7" s="156" t="str">
        <f>+IF(VLOOKUP(X$1,Lecturas!$N$1:$AA$20,$AC7,FALSE)=0,"",VLOOKUP(X$1,Lecturas!$N$1:$AA$20,$AC7,FALSE))</f>
        <v/>
      </c>
      <c r="Y7" s="163">
        <f>+IF(VLOOKUP(Y$1,Lecturas!$N$1:$AA$20,$AC7,FALSE)=0,"",VLOOKUP(Y$1,Lecturas!$N$1:$AA$20,$AC7,FALSE))</f>
        <v>2460</v>
      </c>
      <c r="Z7" s="48"/>
      <c r="AA7" s="48"/>
      <c r="AB7" s="48"/>
      <c r="AC7" s="148">
        <f>+'CARGA DE DATOS'!AF8</f>
        <v>5</v>
      </c>
    </row>
    <row r="8" spans="1:37" x14ac:dyDescent="0.25">
      <c r="A8" s="148">
        <f>+'CARGA DE DATOS'!A9</f>
        <v>7</v>
      </c>
      <c r="B8" s="48" t="str">
        <f>+IF(RESULTADOS!H8="","",RESULTADOS!H8)</f>
        <v/>
      </c>
      <c r="C8" s="48" t="str">
        <f>+IF(RESULTADOS!D8="","",RESULTADOS!D8)</f>
        <v/>
      </c>
      <c r="D8" s="160" t="str">
        <f>+IF('CARGA DE DATOS'!K9="Cooperativa","COOP",IF(Salida!AT9="true","PROSU","GD"))</f>
        <v>GD</v>
      </c>
      <c r="E8" s="160" t="s">
        <v>9147</v>
      </c>
      <c r="F8" s="160" t="str">
        <f>+IF(OR(D8="COOP",'CARGA DE DATOS'!K9="GUMA"),"15.02.2022",IF('CARGA DE DATOS'!K9="GUME","05.02.2022","10.02.2022"))</f>
        <v>10.02.2022</v>
      </c>
      <c r="G8" s="163">
        <f>+IF(VLOOKUP(G$1,Lecturas!$N$1:$AA$20,$AC8,FALSE)=0,"",VLOOKUP(G$1,Lecturas!$N$1:$AA$20,$AC8,FALSE))</f>
        <v>1000</v>
      </c>
      <c r="H8" s="163">
        <f>+IF(VLOOKUP(H$1,Lecturas!$N$1:$AA$20,$AC8,FALSE)=0,"",VLOOKUP(H$1,Lecturas!$N$1:$AA$20,$AC8,FALSE))</f>
        <v>150</v>
      </c>
      <c r="I8" s="163">
        <f>+IF(VLOOKUP(I$1,Lecturas!$N$1:$AA$20,$AC8,FALSE)=0,"",VLOOKUP(I$1,Lecturas!$N$1:$AA$20,$AC8,FALSE))</f>
        <v>350</v>
      </c>
      <c r="J8" s="156" t="str">
        <f>+IF(VLOOKUP(J$1,Lecturas!$N$1:$AA$20,$AC8,FALSE)=0,"",VLOOKUP(J$1,Lecturas!$N$1:$AA$20,$AC8,FALSE))</f>
        <v/>
      </c>
      <c r="K8" s="156" t="str">
        <f>+IF(VLOOKUP(K$1,Lecturas!$N$1:$AA$20,$AC8,FALSE)=0,"",VLOOKUP(K$1,Lecturas!$N$1:$AA$20,$AC8,FALSE))</f>
        <v/>
      </c>
      <c r="L8" s="156" t="str">
        <f>+IF(VLOOKUP(L$1,Lecturas!$N$1:$AA$20,$AC8,FALSE)=0,"",VLOOKUP(L$1,Lecturas!$N$1:$AA$20,$AC8,FALSE))</f>
        <v/>
      </c>
      <c r="M8" s="163">
        <f>+IF(VLOOKUP(M$1,Lecturas!$N$1:$AA$20,$AC8,FALSE)=0,"",VLOOKUP(M$1,Lecturas!$N$1:$AA$20,$AC8,FALSE))</f>
        <v>2500</v>
      </c>
      <c r="N8" s="163">
        <f>+IF(VLOOKUP(N$1,Lecturas!$N$1:$AA$20,$AC8,FALSE)=0,"",VLOOKUP(N$1,Lecturas!$N$1:$AA$20,$AC8,FALSE))</f>
        <v>2000</v>
      </c>
      <c r="O8" s="163">
        <f>+IF(VLOOKUP(O$1,Lecturas!$N$1:$AA$20,$AC8,FALSE)=0,"",VLOOKUP(O$1,Lecturas!$N$1:$AA$20,$AC8,FALSE))</f>
        <v>3000</v>
      </c>
      <c r="P8" s="156" t="str">
        <f>+IF(VLOOKUP(P$1,Lecturas!$N$1:$AA$20,$AC8,FALSE)=0,"",VLOOKUP(P$1,Lecturas!$N$1:$AA$20,$AC8,FALSE))</f>
        <v/>
      </c>
      <c r="Q8" s="156" t="str">
        <f>+IF(VLOOKUP(Q$1,Lecturas!$N$1:$AA$20,$AC8,FALSE)=0,"",VLOOKUP(Q$1,Lecturas!$N$1:$AA$20,$AC8,FALSE))</f>
        <v/>
      </c>
      <c r="R8" s="156" t="str">
        <f>+IF(VLOOKUP(R$1,Lecturas!$N$1:$AA$20,$AC8,FALSE)=0,"",VLOOKUP(R$1,Lecturas!$N$1:$AA$20,$AC8,FALSE))</f>
        <v/>
      </c>
      <c r="S8" s="163" t="str">
        <f>+IF(VLOOKUP(S$1,Lecturas!$N$1:$AA$20,$AC8,FALSE)=0,"",VLOOKUP(S$1,Lecturas!$N$1:$AA$20,$AC8,FALSE))</f>
        <v/>
      </c>
      <c r="T8" s="163" t="str">
        <f>+IF(VLOOKUP(T$1,Lecturas!$N$1:$AA$20,$AC8,FALSE)=0,"",VLOOKUP(T$1,Lecturas!$N$1:$AA$20,$AC8,FALSE))</f>
        <v/>
      </c>
      <c r="U8" s="163" t="str">
        <f>+IF(VLOOKUP(U$1,Lecturas!$N$1:$AA$20,$AC8,FALSE)=0,"",VLOOKUP(U$1,Lecturas!$N$1:$AA$20,$AC8,FALSE))</f>
        <v/>
      </c>
      <c r="V8" s="156" t="str">
        <f>+IF(VLOOKUP(V$1,Lecturas!$N$1:$AA$20,$AC8,FALSE)=0,"",VLOOKUP(V$1,Lecturas!$N$1:$AA$20,$AC8,FALSE))</f>
        <v/>
      </c>
      <c r="W8" s="156" t="str">
        <f>+IF(VLOOKUP(W$1,Lecturas!$N$1:$AA$20,$AC8,FALSE)=0,"",VLOOKUP(W$1,Lecturas!$N$1:$AA$20,$AC8,FALSE))</f>
        <v/>
      </c>
      <c r="X8" s="156" t="str">
        <f>+IF(VLOOKUP(X$1,Lecturas!$N$1:$AA$20,$AC8,FALSE)=0,"",VLOOKUP(X$1,Lecturas!$N$1:$AA$20,$AC8,FALSE))</f>
        <v/>
      </c>
      <c r="Y8" s="163">
        <f>+IF(VLOOKUP(Y$1,Lecturas!$N$1:$AA$20,$AC8,FALSE)=0,"",VLOOKUP(Y$1,Lecturas!$N$1:$AA$20,$AC8,FALSE))</f>
        <v>7500</v>
      </c>
      <c r="Z8" s="48"/>
      <c r="AA8" s="48"/>
      <c r="AB8" s="48"/>
      <c r="AC8" s="148">
        <f>+'CARGA DE DATOS'!AF9</f>
        <v>6</v>
      </c>
    </row>
    <row r="9" spans="1:37" x14ac:dyDescent="0.25">
      <c r="A9" s="148">
        <f>+'CARGA DE DATOS'!A10</f>
        <v>8</v>
      </c>
      <c r="B9" s="48" t="str">
        <f>+IF(RESULTADOS!H9="","",RESULTADOS!H9)</f>
        <v/>
      </c>
      <c r="C9" s="48" t="str">
        <f>+IF(RESULTADOS!D9="","",RESULTADOS!D9)</f>
        <v/>
      </c>
      <c r="D9" s="160" t="str">
        <f>+IF('CARGA DE DATOS'!K10="Cooperativa","COOP",IF(Salida!AT10="true","PROSU","GD"))</f>
        <v>GD</v>
      </c>
      <c r="E9" s="160" t="s">
        <v>9147</v>
      </c>
      <c r="F9" s="160" t="str">
        <f>+IF(OR(D9="COOP",'CARGA DE DATOS'!K10="GUMA"),"15.02.2022",IF('CARGA DE DATOS'!K10="GUME","05.02.2022","10.02.2022"))</f>
        <v>10.02.2022</v>
      </c>
      <c r="G9" s="163">
        <f>+IF(VLOOKUP(G$1,Lecturas!$N$1:$AA$20,$AC9,FALSE)=0,"",VLOOKUP(G$1,Lecturas!$N$1:$AA$20,$AC9,FALSE))</f>
        <v>1500</v>
      </c>
      <c r="H9" s="163">
        <f>+IF(VLOOKUP(H$1,Lecturas!$N$1:$AA$20,$AC9,FALSE)=0,"",VLOOKUP(H$1,Lecturas!$N$1:$AA$20,$AC9,FALSE))</f>
        <v>1550</v>
      </c>
      <c r="I9" s="163">
        <f>+IF(VLOOKUP(I$1,Lecturas!$N$1:$AA$20,$AC9,FALSE)=0,"",VLOOKUP(I$1,Lecturas!$N$1:$AA$20,$AC9,FALSE))</f>
        <v>1550</v>
      </c>
      <c r="J9" s="156" t="str">
        <f>+IF(VLOOKUP(J$1,Lecturas!$N$1:$AA$20,$AC9,FALSE)=0,"",VLOOKUP(J$1,Lecturas!$N$1:$AA$20,$AC9,FALSE))</f>
        <v/>
      </c>
      <c r="K9" s="156" t="str">
        <f>+IF(VLOOKUP(K$1,Lecturas!$N$1:$AA$20,$AC9,FALSE)=0,"",VLOOKUP(K$1,Lecturas!$N$1:$AA$20,$AC9,FALSE))</f>
        <v/>
      </c>
      <c r="L9" s="156" t="str">
        <f>+IF(VLOOKUP(L$1,Lecturas!$N$1:$AA$20,$AC9,FALSE)=0,"",VLOOKUP(L$1,Lecturas!$N$1:$AA$20,$AC9,FALSE))</f>
        <v/>
      </c>
      <c r="M9" s="163">
        <f>+IF(VLOOKUP(M$1,Lecturas!$N$1:$AA$20,$AC9,FALSE)=0,"",VLOOKUP(M$1,Lecturas!$N$1:$AA$20,$AC9,FALSE))</f>
        <v>2500</v>
      </c>
      <c r="N9" s="163">
        <f>+IF(VLOOKUP(N$1,Lecturas!$N$1:$AA$20,$AC9,FALSE)=0,"",VLOOKUP(N$1,Lecturas!$N$1:$AA$20,$AC9,FALSE))</f>
        <v>2000</v>
      </c>
      <c r="O9" s="163">
        <f>+IF(VLOOKUP(O$1,Lecturas!$N$1:$AA$20,$AC9,FALSE)=0,"",VLOOKUP(O$1,Lecturas!$N$1:$AA$20,$AC9,FALSE))</f>
        <v>3000</v>
      </c>
      <c r="P9" s="156" t="str">
        <f>+IF(VLOOKUP(P$1,Lecturas!$N$1:$AA$20,$AC9,FALSE)=0,"",VLOOKUP(P$1,Lecturas!$N$1:$AA$20,$AC9,FALSE))</f>
        <v/>
      </c>
      <c r="Q9" s="156" t="str">
        <f>+IF(VLOOKUP(Q$1,Lecturas!$N$1:$AA$20,$AC9,FALSE)=0,"",VLOOKUP(Q$1,Lecturas!$N$1:$AA$20,$AC9,FALSE))</f>
        <v/>
      </c>
      <c r="R9" s="156" t="str">
        <f>+IF(VLOOKUP(R$1,Lecturas!$N$1:$AA$20,$AC9,FALSE)=0,"",VLOOKUP(R$1,Lecturas!$N$1:$AA$20,$AC9,FALSE))</f>
        <v/>
      </c>
      <c r="S9" s="163" t="str">
        <f>+IF(VLOOKUP(S$1,Lecturas!$N$1:$AA$20,$AC9,FALSE)=0,"",VLOOKUP(S$1,Lecturas!$N$1:$AA$20,$AC9,FALSE))</f>
        <v/>
      </c>
      <c r="T9" s="163" t="str">
        <f>+IF(VLOOKUP(T$1,Lecturas!$N$1:$AA$20,$AC9,FALSE)=0,"",VLOOKUP(T$1,Lecturas!$N$1:$AA$20,$AC9,FALSE))</f>
        <v/>
      </c>
      <c r="U9" s="163" t="str">
        <f>+IF(VLOOKUP(U$1,Lecturas!$N$1:$AA$20,$AC9,FALSE)=0,"",VLOOKUP(U$1,Lecturas!$N$1:$AA$20,$AC9,FALSE))</f>
        <v/>
      </c>
      <c r="V9" s="156" t="str">
        <f>+IF(VLOOKUP(V$1,Lecturas!$N$1:$AA$20,$AC9,FALSE)=0,"",VLOOKUP(V$1,Lecturas!$N$1:$AA$20,$AC9,FALSE))</f>
        <v/>
      </c>
      <c r="W9" s="156" t="str">
        <f>+IF(VLOOKUP(W$1,Lecturas!$N$1:$AA$20,$AC9,FALSE)=0,"",VLOOKUP(W$1,Lecturas!$N$1:$AA$20,$AC9,FALSE))</f>
        <v/>
      </c>
      <c r="X9" s="156" t="str">
        <f>+IF(VLOOKUP(X$1,Lecturas!$N$1:$AA$20,$AC9,FALSE)=0,"",VLOOKUP(X$1,Lecturas!$N$1:$AA$20,$AC9,FALSE))</f>
        <v/>
      </c>
      <c r="Y9" s="163">
        <f>+IF(VLOOKUP(Y$1,Lecturas!$N$1:$AA$20,$AC9,FALSE)=0,"",VLOOKUP(Y$1,Lecturas!$N$1:$AA$20,$AC9,FALSE))</f>
        <v>7500</v>
      </c>
      <c r="Z9" s="48"/>
      <c r="AA9" s="48"/>
      <c r="AB9" s="48"/>
      <c r="AC9" s="148">
        <f>+'CARGA DE DATOS'!AF10</f>
        <v>7</v>
      </c>
    </row>
    <row r="10" spans="1:37" x14ac:dyDescent="0.25">
      <c r="A10" s="148">
        <f>+'CARGA DE DATOS'!A11</f>
        <v>9</v>
      </c>
      <c r="B10" s="48" t="str">
        <f>+IF(RESULTADOS!H10="","",RESULTADOS!H10)</f>
        <v/>
      </c>
      <c r="C10" s="48" t="str">
        <f>+IF(RESULTADOS!D10="","",RESULTADOS!D10)</f>
        <v/>
      </c>
      <c r="D10" s="160" t="str">
        <f>+IF('CARGA DE DATOS'!K11="Cooperativa","COOP",IF(Salida!AT11="true","PROSU","GD"))</f>
        <v>GD</v>
      </c>
      <c r="E10" s="160" t="s">
        <v>9147</v>
      </c>
      <c r="F10" s="160" t="str">
        <f>+IF(OR(D10="COOP",'CARGA DE DATOS'!K11="GUMA"),"15.02.2022",IF('CARGA DE DATOS'!K11="GUME","05.02.2022","10.02.2022"))</f>
        <v>10.02.2022</v>
      </c>
      <c r="G10" s="163">
        <f>+IF(VLOOKUP(G$1,Lecturas!$N$1:$AA$20,$AC10,FALSE)=0,"",VLOOKUP(G$1,Lecturas!$N$1:$AA$20,$AC10,FALSE))</f>
        <v>150</v>
      </c>
      <c r="H10" s="163">
        <f>+IF(VLOOKUP(H$1,Lecturas!$N$1:$AA$20,$AC10,FALSE)=0,"",VLOOKUP(H$1,Lecturas!$N$1:$AA$20,$AC10,FALSE))</f>
        <v>300</v>
      </c>
      <c r="I10" s="163">
        <f>+IF(VLOOKUP(I$1,Lecturas!$N$1:$AA$20,$AC10,FALSE)=0,"",VLOOKUP(I$1,Lecturas!$N$1:$AA$20,$AC10,FALSE))</f>
        <v>350</v>
      </c>
      <c r="J10" s="156" t="str">
        <f>+IF(VLOOKUP(J$1,Lecturas!$N$1:$AA$20,$AC10,FALSE)=0,"",VLOOKUP(J$1,Lecturas!$N$1:$AA$20,$AC10,FALSE))</f>
        <v/>
      </c>
      <c r="K10" s="156" t="str">
        <f>+IF(VLOOKUP(K$1,Lecturas!$N$1:$AA$20,$AC10,FALSE)=0,"",VLOOKUP(K$1,Lecturas!$N$1:$AA$20,$AC10,FALSE))</f>
        <v/>
      </c>
      <c r="L10" s="156" t="str">
        <f>+IF(VLOOKUP(L$1,Lecturas!$N$1:$AA$20,$AC10,FALSE)=0,"",VLOOKUP(L$1,Lecturas!$N$1:$AA$20,$AC10,FALSE))</f>
        <v/>
      </c>
      <c r="M10" s="163">
        <f>+IF(VLOOKUP(M$1,Lecturas!$N$1:$AA$20,$AC10,FALSE)=0,"",VLOOKUP(M$1,Lecturas!$N$1:$AA$20,$AC10,FALSE))</f>
        <v>2500</v>
      </c>
      <c r="N10" s="163">
        <f>+IF(VLOOKUP(N$1,Lecturas!$N$1:$AA$20,$AC10,FALSE)=0,"",VLOOKUP(N$1,Lecturas!$N$1:$AA$20,$AC10,FALSE))</f>
        <v>2000</v>
      </c>
      <c r="O10" s="163">
        <f>+IF(VLOOKUP(O$1,Lecturas!$N$1:$AA$20,$AC10,FALSE)=0,"",VLOOKUP(O$1,Lecturas!$N$1:$AA$20,$AC10,FALSE))</f>
        <v>3000</v>
      </c>
      <c r="P10" s="156" t="str">
        <f>+IF(VLOOKUP(P$1,Lecturas!$N$1:$AA$20,$AC10,FALSE)=0,"",VLOOKUP(P$1,Lecturas!$N$1:$AA$20,$AC10,FALSE))</f>
        <v/>
      </c>
      <c r="Q10" s="156" t="str">
        <f>+IF(VLOOKUP(Q$1,Lecturas!$N$1:$AA$20,$AC10,FALSE)=0,"",VLOOKUP(Q$1,Lecturas!$N$1:$AA$20,$AC10,FALSE))</f>
        <v/>
      </c>
      <c r="R10" s="156" t="str">
        <f>+IF(VLOOKUP(R$1,Lecturas!$N$1:$AA$20,$AC10,FALSE)=0,"",VLOOKUP(R$1,Lecturas!$N$1:$AA$20,$AC10,FALSE))</f>
        <v/>
      </c>
      <c r="S10" s="163" t="str">
        <f>+IF(VLOOKUP(S$1,Lecturas!$N$1:$AA$20,$AC10,FALSE)=0,"",VLOOKUP(S$1,Lecturas!$N$1:$AA$20,$AC10,FALSE))</f>
        <v/>
      </c>
      <c r="T10" s="163" t="str">
        <f>+IF(VLOOKUP(T$1,Lecturas!$N$1:$AA$20,$AC10,FALSE)=0,"",VLOOKUP(T$1,Lecturas!$N$1:$AA$20,$AC10,FALSE))</f>
        <v/>
      </c>
      <c r="U10" s="163" t="str">
        <f>+IF(VLOOKUP(U$1,Lecturas!$N$1:$AA$20,$AC10,FALSE)=0,"",VLOOKUP(U$1,Lecturas!$N$1:$AA$20,$AC10,FALSE))</f>
        <v/>
      </c>
      <c r="V10" s="156" t="str">
        <f>+IF(VLOOKUP(V$1,Lecturas!$N$1:$AA$20,$AC10,FALSE)=0,"",VLOOKUP(V$1,Lecturas!$N$1:$AA$20,$AC10,FALSE))</f>
        <v/>
      </c>
      <c r="W10" s="156" t="str">
        <f>+IF(VLOOKUP(W$1,Lecturas!$N$1:$AA$20,$AC10,FALSE)=0,"",VLOOKUP(W$1,Lecturas!$N$1:$AA$20,$AC10,FALSE))</f>
        <v/>
      </c>
      <c r="X10" s="156" t="str">
        <f>+IF(VLOOKUP(X$1,Lecturas!$N$1:$AA$20,$AC10,FALSE)=0,"",VLOOKUP(X$1,Lecturas!$N$1:$AA$20,$AC10,FALSE))</f>
        <v/>
      </c>
      <c r="Y10" s="163">
        <f>+IF(VLOOKUP(Y$1,Lecturas!$N$1:$AA$20,$AC10,FALSE)=0,"",VLOOKUP(Y$1,Lecturas!$N$1:$AA$20,$AC10,FALSE))</f>
        <v>500</v>
      </c>
      <c r="Z10" s="48"/>
      <c r="AA10" s="48"/>
      <c r="AB10" s="48"/>
      <c r="AC10" s="148">
        <f>+'CARGA DE DATOS'!AF11</f>
        <v>8</v>
      </c>
    </row>
    <row r="11" spans="1:37" x14ac:dyDescent="0.25">
      <c r="A11" s="148">
        <f>+'CARGA DE DATOS'!A12</f>
        <v>10</v>
      </c>
      <c r="B11" s="48" t="str">
        <f>+IF(RESULTADOS!H11="","",RESULTADOS!H11)</f>
        <v/>
      </c>
      <c r="C11" s="48" t="str">
        <f>+IF(RESULTADOS!D11="","",RESULTADOS!D11)</f>
        <v/>
      </c>
      <c r="D11" s="160" t="str">
        <f>+IF('CARGA DE DATOS'!K12="Cooperativa","COOP",IF(Salida!AT12="true","PROSU","GD"))</f>
        <v>GD</v>
      </c>
      <c r="E11" s="160" t="s">
        <v>9147</v>
      </c>
      <c r="F11" s="160" t="str">
        <f>+IF(OR(D11="COOP",'CARGA DE DATOS'!K12="GUMA"),"15.02.2022",IF('CARGA DE DATOS'!K12="GUME","05.02.2022","10.02.2022"))</f>
        <v>10.02.2022</v>
      </c>
      <c r="G11" s="163">
        <f>+IF(VLOOKUP(G$1,Lecturas!$N$1:$AA$20,$AC11,FALSE)=0,"",VLOOKUP(G$1,Lecturas!$N$1:$AA$20,$AC11,FALSE))</f>
        <v>1500</v>
      </c>
      <c r="H11" s="163">
        <f>+IF(VLOOKUP(H$1,Lecturas!$N$1:$AA$20,$AC11,FALSE)=0,"",VLOOKUP(H$1,Lecturas!$N$1:$AA$20,$AC11,FALSE))</f>
        <v>300</v>
      </c>
      <c r="I11" s="163">
        <f>+IF(VLOOKUP(I$1,Lecturas!$N$1:$AA$20,$AC11,FALSE)=0,"",VLOOKUP(I$1,Lecturas!$N$1:$AA$20,$AC11,FALSE))</f>
        <v>350</v>
      </c>
      <c r="J11" s="156" t="str">
        <f>+IF(VLOOKUP(J$1,Lecturas!$N$1:$AA$20,$AC11,FALSE)=0,"",VLOOKUP(J$1,Lecturas!$N$1:$AA$20,$AC11,FALSE))</f>
        <v/>
      </c>
      <c r="K11" s="156" t="str">
        <f>+IF(VLOOKUP(K$1,Lecturas!$N$1:$AA$20,$AC11,FALSE)=0,"",VLOOKUP(K$1,Lecturas!$N$1:$AA$20,$AC11,FALSE))</f>
        <v/>
      </c>
      <c r="L11" s="156" t="str">
        <f>+IF(VLOOKUP(L$1,Lecturas!$N$1:$AA$20,$AC11,FALSE)=0,"",VLOOKUP(L$1,Lecturas!$N$1:$AA$20,$AC11,FALSE))</f>
        <v/>
      </c>
      <c r="M11" s="163">
        <f>+IF(VLOOKUP(M$1,Lecturas!$N$1:$AA$20,$AC11,FALSE)=0,"",VLOOKUP(M$1,Lecturas!$N$1:$AA$20,$AC11,FALSE))</f>
        <v>2500</v>
      </c>
      <c r="N11" s="163">
        <f>+IF(VLOOKUP(N$1,Lecturas!$N$1:$AA$20,$AC11,FALSE)=0,"",VLOOKUP(N$1,Lecturas!$N$1:$AA$20,$AC11,FALSE))</f>
        <v>2000</v>
      </c>
      <c r="O11" s="163">
        <f>+IF(VLOOKUP(O$1,Lecturas!$N$1:$AA$20,$AC11,FALSE)=0,"",VLOOKUP(O$1,Lecturas!$N$1:$AA$20,$AC11,FALSE))</f>
        <v>3000</v>
      </c>
      <c r="P11" s="156" t="str">
        <f>+IF(VLOOKUP(P$1,Lecturas!$N$1:$AA$20,$AC11,FALSE)=0,"",VLOOKUP(P$1,Lecturas!$N$1:$AA$20,$AC11,FALSE))</f>
        <v/>
      </c>
      <c r="Q11" s="156" t="str">
        <f>+IF(VLOOKUP(Q$1,Lecturas!$N$1:$AA$20,$AC11,FALSE)=0,"",VLOOKUP(Q$1,Lecturas!$N$1:$AA$20,$AC11,FALSE))</f>
        <v/>
      </c>
      <c r="R11" s="156" t="str">
        <f>+IF(VLOOKUP(R$1,Lecturas!$N$1:$AA$20,$AC11,FALSE)=0,"",VLOOKUP(R$1,Lecturas!$N$1:$AA$20,$AC11,FALSE))</f>
        <v/>
      </c>
      <c r="S11" s="163" t="str">
        <f>+IF(VLOOKUP(S$1,Lecturas!$N$1:$AA$20,$AC11,FALSE)=0,"",VLOOKUP(S$1,Lecturas!$N$1:$AA$20,$AC11,FALSE))</f>
        <v/>
      </c>
      <c r="T11" s="163" t="str">
        <f>+IF(VLOOKUP(T$1,Lecturas!$N$1:$AA$20,$AC11,FALSE)=0,"",VLOOKUP(T$1,Lecturas!$N$1:$AA$20,$AC11,FALSE))</f>
        <v/>
      </c>
      <c r="U11" s="163" t="str">
        <f>+IF(VLOOKUP(U$1,Lecturas!$N$1:$AA$20,$AC11,FALSE)=0,"",VLOOKUP(U$1,Lecturas!$N$1:$AA$20,$AC11,FALSE))</f>
        <v/>
      </c>
      <c r="V11" s="156" t="str">
        <f>+IF(VLOOKUP(V$1,Lecturas!$N$1:$AA$20,$AC11,FALSE)=0,"",VLOOKUP(V$1,Lecturas!$N$1:$AA$20,$AC11,FALSE))</f>
        <v/>
      </c>
      <c r="W11" s="156" t="str">
        <f>+IF(VLOOKUP(W$1,Lecturas!$N$1:$AA$20,$AC11,FALSE)=0,"",VLOOKUP(W$1,Lecturas!$N$1:$AA$20,$AC11,FALSE))</f>
        <v/>
      </c>
      <c r="X11" s="156" t="str">
        <f>+IF(VLOOKUP(X$1,Lecturas!$N$1:$AA$20,$AC11,FALSE)=0,"",VLOOKUP(X$1,Lecturas!$N$1:$AA$20,$AC11,FALSE))</f>
        <v/>
      </c>
      <c r="Y11" s="163">
        <f>+IF(VLOOKUP(Y$1,Lecturas!$N$1:$AA$20,$AC11,FALSE)=0,"",VLOOKUP(Y$1,Lecturas!$N$1:$AA$20,$AC11,FALSE))</f>
        <v>6500</v>
      </c>
      <c r="Z11" s="48"/>
      <c r="AA11" s="48"/>
      <c r="AB11" s="48"/>
      <c r="AC11" s="148">
        <f>+'CARGA DE DATOS'!AF12</f>
        <v>9</v>
      </c>
    </row>
    <row r="12" spans="1:37" x14ac:dyDescent="0.25">
      <c r="A12" s="148">
        <f>+'CARGA DE DATOS'!A13</f>
        <v>11</v>
      </c>
      <c r="B12" s="48" t="str">
        <f>+IF(RESULTADOS!H12="","",RESULTADOS!H12)</f>
        <v/>
      </c>
      <c r="C12" s="48" t="str">
        <f>+IF(RESULTADOS!D12="","",RESULTADOS!D12)</f>
        <v/>
      </c>
      <c r="D12" s="160" t="str">
        <f>+IF('CARGA DE DATOS'!K13="Cooperativa","COOP",IF(Salida!AT13="true","PROSU","GD"))</f>
        <v>GD</v>
      </c>
      <c r="E12" s="160" t="s">
        <v>9147</v>
      </c>
      <c r="F12" s="160" t="str">
        <f>+IF(OR(D12="COOP",'CARGA DE DATOS'!K13="GUMA"),"15.02.2022",IF('CARGA DE DATOS'!K13="GUME","05.02.2022","10.02.2022"))</f>
        <v>10.02.2022</v>
      </c>
      <c r="G12" s="163">
        <f>+IF(VLOOKUP(G$1,Lecturas!$N$1:$AA$20,$AC12,FALSE)=0,"",VLOOKUP(G$1,Lecturas!$N$1:$AA$20,$AC12,FALSE))</f>
        <v>150</v>
      </c>
      <c r="H12" s="163">
        <f>+IF(VLOOKUP(H$1,Lecturas!$N$1:$AA$20,$AC12,FALSE)=0,"",VLOOKUP(H$1,Lecturas!$N$1:$AA$20,$AC12,FALSE))</f>
        <v>150</v>
      </c>
      <c r="I12" s="163">
        <f>+IF(VLOOKUP(I$1,Lecturas!$N$1:$AA$20,$AC12,FALSE)=0,"",VLOOKUP(I$1,Lecturas!$N$1:$AA$20,$AC12,FALSE))</f>
        <v>150</v>
      </c>
      <c r="J12" s="156" t="str">
        <f>+IF(VLOOKUP(J$1,Lecturas!$N$1:$AA$20,$AC12,FALSE)=0,"",VLOOKUP(J$1,Lecturas!$N$1:$AA$20,$AC12,FALSE))</f>
        <v/>
      </c>
      <c r="K12" s="156" t="str">
        <f>+IF(VLOOKUP(K$1,Lecturas!$N$1:$AA$20,$AC12,FALSE)=0,"",VLOOKUP(K$1,Lecturas!$N$1:$AA$20,$AC12,FALSE))</f>
        <v/>
      </c>
      <c r="L12" s="156" t="str">
        <f>+IF(VLOOKUP(L$1,Lecturas!$N$1:$AA$20,$AC12,FALSE)=0,"",VLOOKUP(L$1,Lecturas!$N$1:$AA$20,$AC12,FALSE))</f>
        <v/>
      </c>
      <c r="M12" s="163">
        <f>+IF(VLOOKUP(M$1,Lecturas!$N$1:$AA$20,$AC12,FALSE)=0,"",VLOOKUP(M$1,Lecturas!$N$1:$AA$20,$AC12,FALSE))</f>
        <v>2500</v>
      </c>
      <c r="N12" s="163">
        <f>+IF(VLOOKUP(N$1,Lecturas!$N$1:$AA$20,$AC12,FALSE)=0,"",VLOOKUP(N$1,Lecturas!$N$1:$AA$20,$AC12,FALSE))</f>
        <v>2000</v>
      </c>
      <c r="O12" s="163">
        <f>+IF(VLOOKUP(O$1,Lecturas!$N$1:$AA$20,$AC12,FALSE)=0,"",VLOOKUP(O$1,Lecturas!$N$1:$AA$20,$AC12,FALSE))</f>
        <v>3000</v>
      </c>
      <c r="P12" s="156" t="str">
        <f>+IF(VLOOKUP(P$1,Lecturas!$N$1:$AA$20,$AC12,FALSE)=0,"",VLOOKUP(P$1,Lecturas!$N$1:$AA$20,$AC12,FALSE))</f>
        <v/>
      </c>
      <c r="Q12" s="156" t="str">
        <f>+IF(VLOOKUP(Q$1,Lecturas!$N$1:$AA$20,$AC12,FALSE)=0,"",VLOOKUP(Q$1,Lecturas!$N$1:$AA$20,$AC12,FALSE))</f>
        <v/>
      </c>
      <c r="R12" s="156" t="str">
        <f>+IF(VLOOKUP(R$1,Lecturas!$N$1:$AA$20,$AC12,FALSE)=0,"",VLOOKUP(R$1,Lecturas!$N$1:$AA$20,$AC12,FALSE))</f>
        <v/>
      </c>
      <c r="S12" s="163" t="str">
        <f>+IF(VLOOKUP(S$1,Lecturas!$N$1:$AA$20,$AC12,FALSE)=0,"",VLOOKUP(S$1,Lecturas!$N$1:$AA$20,$AC12,FALSE))</f>
        <v/>
      </c>
      <c r="T12" s="163" t="str">
        <f>+IF(VLOOKUP(T$1,Lecturas!$N$1:$AA$20,$AC12,FALSE)=0,"",VLOOKUP(T$1,Lecturas!$N$1:$AA$20,$AC12,FALSE))</f>
        <v/>
      </c>
      <c r="U12" s="163" t="str">
        <f>+IF(VLOOKUP(U$1,Lecturas!$N$1:$AA$20,$AC12,FALSE)=0,"",VLOOKUP(U$1,Lecturas!$N$1:$AA$20,$AC12,FALSE))</f>
        <v/>
      </c>
      <c r="V12" s="156" t="str">
        <f>+IF(VLOOKUP(V$1,Lecturas!$N$1:$AA$20,$AC12,FALSE)=0,"",VLOOKUP(V$1,Lecturas!$N$1:$AA$20,$AC12,FALSE))</f>
        <v/>
      </c>
      <c r="W12" s="156" t="str">
        <f>+IF(VLOOKUP(W$1,Lecturas!$N$1:$AA$20,$AC12,FALSE)=0,"",VLOOKUP(W$1,Lecturas!$N$1:$AA$20,$AC12,FALSE))</f>
        <v/>
      </c>
      <c r="X12" s="156" t="str">
        <f>+IF(VLOOKUP(X$1,Lecturas!$N$1:$AA$20,$AC12,FALSE)=0,"",VLOOKUP(X$1,Lecturas!$N$1:$AA$20,$AC12,FALSE))</f>
        <v/>
      </c>
      <c r="Y12" s="163">
        <f>+IF(VLOOKUP(Y$1,Lecturas!$N$1:$AA$20,$AC12,FALSE)=0,"",VLOOKUP(Y$1,Lecturas!$N$1:$AA$20,$AC12,FALSE))</f>
        <v>5000</v>
      </c>
      <c r="Z12" s="48"/>
      <c r="AA12" s="48"/>
      <c r="AB12" s="48"/>
      <c r="AC12" s="148">
        <f>+'CARGA DE DATOS'!AF13</f>
        <v>2</v>
      </c>
    </row>
    <row r="13" spans="1:37" x14ac:dyDescent="0.25">
      <c r="A13" s="148">
        <f>+'CARGA DE DATOS'!A14</f>
        <v>12</v>
      </c>
      <c r="B13" s="48" t="str">
        <f>+IF(RESULTADOS!H13="","",RESULTADOS!H13)</f>
        <v/>
      </c>
      <c r="C13" s="48" t="str">
        <f>+IF(RESULTADOS!D13="","",RESULTADOS!D13)</f>
        <v/>
      </c>
      <c r="D13" s="160" t="str">
        <f>+IF('CARGA DE DATOS'!K14="Cooperativa","COOP",IF(Salida!AT14="true","PROSU","GD"))</f>
        <v>GD</v>
      </c>
      <c r="E13" s="160" t="s">
        <v>9147</v>
      </c>
      <c r="F13" s="160" t="str">
        <f>+IF(OR(D13="COOP",'CARGA DE DATOS'!K14="GUMA"),"15.02.2022",IF('CARGA DE DATOS'!K14="GUME","05.02.2022","10.02.2022"))</f>
        <v>10.02.2022</v>
      </c>
      <c r="G13" s="163">
        <f>+IF(VLOOKUP(G$1,Lecturas!$N$1:$AA$20,$AC13,FALSE)=0,"",VLOOKUP(G$1,Lecturas!$N$1:$AA$20,$AC13,FALSE))</f>
        <v>150</v>
      </c>
      <c r="H13" s="163">
        <f>+IF(VLOOKUP(H$1,Lecturas!$N$1:$AA$20,$AC13,FALSE)=0,"",VLOOKUP(H$1,Lecturas!$N$1:$AA$20,$AC13,FALSE))</f>
        <v>300</v>
      </c>
      <c r="I13" s="163">
        <f>+IF(VLOOKUP(I$1,Lecturas!$N$1:$AA$20,$AC13,FALSE)=0,"",VLOOKUP(I$1,Lecturas!$N$1:$AA$20,$AC13,FALSE))</f>
        <v>350</v>
      </c>
      <c r="J13" s="156" t="str">
        <f>+IF(VLOOKUP(J$1,Lecturas!$N$1:$AA$20,$AC13,FALSE)=0,"",VLOOKUP(J$1,Lecturas!$N$1:$AA$20,$AC13,FALSE))</f>
        <v/>
      </c>
      <c r="K13" s="156" t="str">
        <f>+IF(VLOOKUP(K$1,Lecturas!$N$1:$AA$20,$AC13,FALSE)=0,"",VLOOKUP(K$1,Lecturas!$N$1:$AA$20,$AC13,FALSE))</f>
        <v/>
      </c>
      <c r="L13" s="156" t="str">
        <f>+IF(VLOOKUP(L$1,Lecturas!$N$1:$AA$20,$AC13,FALSE)=0,"",VLOOKUP(L$1,Lecturas!$N$1:$AA$20,$AC13,FALSE))</f>
        <v/>
      </c>
      <c r="M13" s="163">
        <f>+IF(VLOOKUP(M$1,Lecturas!$N$1:$AA$20,$AC13,FALSE)=0,"",VLOOKUP(M$1,Lecturas!$N$1:$AA$20,$AC13,FALSE))</f>
        <v>2500</v>
      </c>
      <c r="N13" s="163">
        <f>+IF(VLOOKUP(N$1,Lecturas!$N$1:$AA$20,$AC13,FALSE)=0,"",VLOOKUP(N$1,Lecturas!$N$1:$AA$20,$AC13,FALSE))</f>
        <v>2000</v>
      </c>
      <c r="O13" s="163">
        <f>+IF(VLOOKUP(O$1,Lecturas!$N$1:$AA$20,$AC13,FALSE)=0,"",VLOOKUP(O$1,Lecturas!$N$1:$AA$20,$AC13,FALSE))</f>
        <v>3000</v>
      </c>
      <c r="P13" s="156" t="str">
        <f>+IF(VLOOKUP(P$1,Lecturas!$N$1:$AA$20,$AC13,FALSE)=0,"",VLOOKUP(P$1,Lecturas!$N$1:$AA$20,$AC13,FALSE))</f>
        <v/>
      </c>
      <c r="Q13" s="156" t="str">
        <f>+IF(VLOOKUP(Q$1,Lecturas!$N$1:$AA$20,$AC13,FALSE)=0,"",VLOOKUP(Q$1,Lecturas!$N$1:$AA$20,$AC13,FALSE))</f>
        <v/>
      </c>
      <c r="R13" s="156" t="str">
        <f>+IF(VLOOKUP(R$1,Lecturas!$N$1:$AA$20,$AC13,FALSE)=0,"",VLOOKUP(R$1,Lecturas!$N$1:$AA$20,$AC13,FALSE))</f>
        <v/>
      </c>
      <c r="S13" s="163" t="str">
        <f>+IF(VLOOKUP(S$1,Lecturas!$N$1:$AA$20,$AC13,FALSE)=0,"",VLOOKUP(S$1,Lecturas!$N$1:$AA$20,$AC13,FALSE))</f>
        <v/>
      </c>
      <c r="T13" s="163" t="str">
        <f>+IF(VLOOKUP(T$1,Lecturas!$N$1:$AA$20,$AC13,FALSE)=0,"",VLOOKUP(T$1,Lecturas!$N$1:$AA$20,$AC13,FALSE))</f>
        <v/>
      </c>
      <c r="U13" s="163" t="str">
        <f>+IF(VLOOKUP(U$1,Lecturas!$N$1:$AA$20,$AC13,FALSE)=0,"",VLOOKUP(U$1,Lecturas!$N$1:$AA$20,$AC13,FALSE))</f>
        <v/>
      </c>
      <c r="V13" s="156" t="str">
        <f>+IF(VLOOKUP(V$1,Lecturas!$N$1:$AA$20,$AC13,FALSE)=0,"",VLOOKUP(V$1,Lecturas!$N$1:$AA$20,$AC13,FALSE))</f>
        <v/>
      </c>
      <c r="W13" s="156" t="str">
        <f>+IF(VLOOKUP(W$1,Lecturas!$N$1:$AA$20,$AC13,FALSE)=0,"",VLOOKUP(W$1,Lecturas!$N$1:$AA$20,$AC13,FALSE))</f>
        <v/>
      </c>
      <c r="X13" s="156" t="str">
        <f>+IF(VLOOKUP(X$1,Lecturas!$N$1:$AA$20,$AC13,FALSE)=0,"",VLOOKUP(X$1,Lecturas!$N$1:$AA$20,$AC13,FALSE))</f>
        <v/>
      </c>
      <c r="Y13" s="163">
        <f>+IF(VLOOKUP(Y$1,Lecturas!$N$1:$AA$20,$AC13,FALSE)=0,"",VLOOKUP(Y$1,Lecturas!$N$1:$AA$20,$AC13,FALSE))</f>
        <v>2460</v>
      </c>
      <c r="Z13" s="48"/>
      <c r="AA13" s="48"/>
      <c r="AB13" s="48"/>
      <c r="AC13" s="148">
        <f>+'CARGA DE DATOS'!AF14</f>
        <v>5</v>
      </c>
    </row>
    <row r="14" spans="1:37" x14ac:dyDescent="0.25">
      <c r="A14" s="148">
        <f>+'CARGA DE DATOS'!A15</f>
        <v>13</v>
      </c>
      <c r="B14" s="48" t="str">
        <f>+IF(RESULTADOS!H14="","",RESULTADOS!H14)</f>
        <v/>
      </c>
      <c r="C14" s="48" t="str">
        <f>+IF(RESULTADOS!D14="","",RESULTADOS!D14)</f>
        <v/>
      </c>
      <c r="D14" s="160" t="str">
        <f>+IF('CARGA DE DATOS'!K15="Cooperativa","COOP",IF(Salida!AT15="true","PROSU","GD"))</f>
        <v>GD</v>
      </c>
      <c r="E14" s="160" t="s">
        <v>9147</v>
      </c>
      <c r="F14" s="160" t="str">
        <f>+IF(OR(D14="COOP",'CARGA DE DATOS'!K15="GUMA"),"15.02.2022",IF('CARGA DE DATOS'!K15="GUME","05.02.2022","10.02.2022"))</f>
        <v>10.02.2022</v>
      </c>
      <c r="G14" s="163">
        <f>+IF(VLOOKUP(G$1,Lecturas!$N$1:$AA$20,$AC14,FALSE)=0,"",VLOOKUP(G$1,Lecturas!$N$1:$AA$20,$AC14,FALSE))</f>
        <v>150</v>
      </c>
      <c r="H14" s="163">
        <f>+IF(VLOOKUP(H$1,Lecturas!$N$1:$AA$20,$AC14,FALSE)=0,"",VLOOKUP(H$1,Lecturas!$N$1:$AA$20,$AC14,FALSE))</f>
        <v>150</v>
      </c>
      <c r="I14" s="163">
        <f>+IF(VLOOKUP(I$1,Lecturas!$N$1:$AA$20,$AC14,FALSE)=0,"",VLOOKUP(I$1,Lecturas!$N$1:$AA$20,$AC14,FALSE))</f>
        <v>150</v>
      </c>
      <c r="J14" s="156" t="str">
        <f>+IF(VLOOKUP(J$1,Lecturas!$N$1:$AA$20,$AC14,FALSE)=0,"",VLOOKUP(J$1,Lecturas!$N$1:$AA$20,$AC14,FALSE))</f>
        <v/>
      </c>
      <c r="K14" s="156" t="str">
        <f>+IF(VLOOKUP(K$1,Lecturas!$N$1:$AA$20,$AC14,FALSE)=0,"",VLOOKUP(K$1,Lecturas!$N$1:$AA$20,$AC14,FALSE))</f>
        <v/>
      </c>
      <c r="L14" s="156" t="str">
        <f>+IF(VLOOKUP(L$1,Lecturas!$N$1:$AA$20,$AC14,FALSE)=0,"",VLOOKUP(L$1,Lecturas!$N$1:$AA$20,$AC14,FALSE))</f>
        <v/>
      </c>
      <c r="M14" s="163">
        <f>+IF(VLOOKUP(M$1,Lecturas!$N$1:$AA$20,$AC14,FALSE)=0,"",VLOOKUP(M$1,Lecturas!$N$1:$AA$20,$AC14,FALSE))</f>
        <v>2500</v>
      </c>
      <c r="N14" s="163">
        <f>+IF(VLOOKUP(N$1,Lecturas!$N$1:$AA$20,$AC14,FALSE)=0,"",VLOOKUP(N$1,Lecturas!$N$1:$AA$20,$AC14,FALSE))</f>
        <v>2000</v>
      </c>
      <c r="O14" s="163">
        <f>+IF(VLOOKUP(O$1,Lecturas!$N$1:$AA$20,$AC14,FALSE)=0,"",VLOOKUP(O$1,Lecturas!$N$1:$AA$20,$AC14,FALSE))</f>
        <v>3000</v>
      </c>
      <c r="P14" s="156" t="str">
        <f>+IF(VLOOKUP(P$1,Lecturas!$N$1:$AA$20,$AC14,FALSE)=0,"",VLOOKUP(P$1,Lecturas!$N$1:$AA$20,$AC14,FALSE))</f>
        <v/>
      </c>
      <c r="Q14" s="156" t="str">
        <f>+IF(VLOOKUP(Q$1,Lecturas!$N$1:$AA$20,$AC14,FALSE)=0,"",VLOOKUP(Q$1,Lecturas!$N$1:$AA$20,$AC14,FALSE))</f>
        <v/>
      </c>
      <c r="R14" s="156" t="str">
        <f>+IF(VLOOKUP(R$1,Lecturas!$N$1:$AA$20,$AC14,FALSE)=0,"",VLOOKUP(R$1,Lecturas!$N$1:$AA$20,$AC14,FALSE))</f>
        <v/>
      </c>
      <c r="S14" s="163" t="str">
        <f>+IF(VLOOKUP(S$1,Lecturas!$N$1:$AA$20,$AC14,FALSE)=0,"",VLOOKUP(S$1,Lecturas!$N$1:$AA$20,$AC14,FALSE))</f>
        <v/>
      </c>
      <c r="T14" s="163" t="str">
        <f>+IF(VLOOKUP(T$1,Lecturas!$N$1:$AA$20,$AC14,FALSE)=0,"",VLOOKUP(T$1,Lecturas!$N$1:$AA$20,$AC14,FALSE))</f>
        <v/>
      </c>
      <c r="U14" s="163" t="str">
        <f>+IF(VLOOKUP(U$1,Lecturas!$N$1:$AA$20,$AC14,FALSE)=0,"",VLOOKUP(U$1,Lecturas!$N$1:$AA$20,$AC14,FALSE))</f>
        <v/>
      </c>
      <c r="V14" s="156" t="str">
        <f>+IF(VLOOKUP(V$1,Lecturas!$N$1:$AA$20,$AC14,FALSE)=0,"",VLOOKUP(V$1,Lecturas!$N$1:$AA$20,$AC14,FALSE))</f>
        <v/>
      </c>
      <c r="W14" s="156" t="str">
        <f>+IF(VLOOKUP(W$1,Lecturas!$N$1:$AA$20,$AC14,FALSE)=0,"",VLOOKUP(W$1,Lecturas!$N$1:$AA$20,$AC14,FALSE))</f>
        <v/>
      </c>
      <c r="X14" s="156" t="str">
        <f>+IF(VLOOKUP(X$1,Lecturas!$N$1:$AA$20,$AC14,FALSE)=0,"",VLOOKUP(X$1,Lecturas!$N$1:$AA$20,$AC14,FALSE))</f>
        <v/>
      </c>
      <c r="Y14" s="163">
        <f>+IF(VLOOKUP(Y$1,Lecturas!$N$1:$AA$20,$AC14,FALSE)=0,"",VLOOKUP(Y$1,Lecturas!$N$1:$AA$20,$AC14,FALSE))</f>
        <v>5000</v>
      </c>
      <c r="Z14" s="48"/>
      <c r="AA14" s="48"/>
      <c r="AB14" s="48"/>
      <c r="AC14" s="148">
        <f>+'CARGA DE DATOS'!AF15</f>
        <v>2</v>
      </c>
    </row>
    <row r="15" spans="1:37" x14ac:dyDescent="0.25">
      <c r="A15" s="148">
        <f>+'CARGA DE DATOS'!A16</f>
        <v>14</v>
      </c>
      <c r="B15" s="48" t="str">
        <f>+IF(RESULTADOS!H15="","",RESULTADOS!H15)</f>
        <v/>
      </c>
      <c r="C15" s="48" t="str">
        <f>+IF(RESULTADOS!D15="","",RESULTADOS!D15)</f>
        <v/>
      </c>
      <c r="D15" s="160" t="str">
        <f>+IF('CARGA DE DATOS'!K16="Cooperativa","COOP",IF(Salida!AT16="true","PROSU","GD"))</f>
        <v>GD</v>
      </c>
      <c r="E15" s="160" t="s">
        <v>9147</v>
      </c>
      <c r="F15" s="160" t="str">
        <f>+IF(OR(D15="COOP",'CARGA DE DATOS'!K16="GUMA"),"15.02.2022",IF('CARGA DE DATOS'!K16="GUME","05.02.2022","10.02.2022"))</f>
        <v>10.02.2022</v>
      </c>
      <c r="G15" s="163">
        <f>+IF(VLOOKUP(G$1,Lecturas!$N$1:$AA$20,$AC15,FALSE)=0,"",VLOOKUP(G$1,Lecturas!$N$1:$AA$20,$AC15,FALSE))</f>
        <v>150</v>
      </c>
      <c r="H15" s="163">
        <f>+IF(VLOOKUP(H$1,Lecturas!$N$1:$AA$20,$AC15,FALSE)=0,"",VLOOKUP(H$1,Lecturas!$N$1:$AA$20,$AC15,FALSE))</f>
        <v>300</v>
      </c>
      <c r="I15" s="163">
        <f>+IF(VLOOKUP(I$1,Lecturas!$N$1:$AA$20,$AC15,FALSE)=0,"",VLOOKUP(I$1,Lecturas!$N$1:$AA$20,$AC15,FALSE))</f>
        <v>350</v>
      </c>
      <c r="J15" s="156" t="str">
        <f>+IF(VLOOKUP(J$1,Lecturas!$N$1:$AA$20,$AC15,FALSE)=0,"",VLOOKUP(J$1,Lecturas!$N$1:$AA$20,$AC15,FALSE))</f>
        <v/>
      </c>
      <c r="K15" s="156" t="str">
        <f>+IF(VLOOKUP(K$1,Lecturas!$N$1:$AA$20,$AC15,FALSE)=0,"",VLOOKUP(K$1,Lecturas!$N$1:$AA$20,$AC15,FALSE))</f>
        <v/>
      </c>
      <c r="L15" s="156" t="str">
        <f>+IF(VLOOKUP(L$1,Lecturas!$N$1:$AA$20,$AC15,FALSE)=0,"",VLOOKUP(L$1,Lecturas!$N$1:$AA$20,$AC15,FALSE))</f>
        <v/>
      </c>
      <c r="M15" s="163">
        <f>+IF(VLOOKUP(M$1,Lecturas!$N$1:$AA$20,$AC15,FALSE)=0,"",VLOOKUP(M$1,Lecturas!$N$1:$AA$20,$AC15,FALSE))</f>
        <v>2500</v>
      </c>
      <c r="N15" s="163">
        <f>+IF(VLOOKUP(N$1,Lecturas!$N$1:$AA$20,$AC15,FALSE)=0,"",VLOOKUP(N$1,Lecturas!$N$1:$AA$20,$AC15,FALSE))</f>
        <v>2000</v>
      </c>
      <c r="O15" s="163">
        <f>+IF(VLOOKUP(O$1,Lecturas!$N$1:$AA$20,$AC15,FALSE)=0,"",VLOOKUP(O$1,Lecturas!$N$1:$AA$20,$AC15,FALSE))</f>
        <v>3000</v>
      </c>
      <c r="P15" s="156" t="str">
        <f>+IF(VLOOKUP(P$1,Lecturas!$N$1:$AA$20,$AC15,FALSE)=0,"",VLOOKUP(P$1,Lecturas!$N$1:$AA$20,$AC15,FALSE))</f>
        <v/>
      </c>
      <c r="Q15" s="156" t="str">
        <f>+IF(VLOOKUP(Q$1,Lecturas!$N$1:$AA$20,$AC15,FALSE)=0,"",VLOOKUP(Q$1,Lecturas!$N$1:$AA$20,$AC15,FALSE))</f>
        <v/>
      </c>
      <c r="R15" s="156" t="str">
        <f>+IF(VLOOKUP(R$1,Lecturas!$N$1:$AA$20,$AC15,FALSE)=0,"",VLOOKUP(R$1,Lecturas!$N$1:$AA$20,$AC15,FALSE))</f>
        <v/>
      </c>
      <c r="S15" s="163" t="str">
        <f>+IF(VLOOKUP(S$1,Lecturas!$N$1:$AA$20,$AC15,FALSE)=0,"",VLOOKUP(S$1,Lecturas!$N$1:$AA$20,$AC15,FALSE))</f>
        <v/>
      </c>
      <c r="T15" s="163" t="str">
        <f>+IF(VLOOKUP(T$1,Lecturas!$N$1:$AA$20,$AC15,FALSE)=0,"",VLOOKUP(T$1,Lecturas!$N$1:$AA$20,$AC15,FALSE))</f>
        <v/>
      </c>
      <c r="U15" s="163" t="str">
        <f>+IF(VLOOKUP(U$1,Lecturas!$N$1:$AA$20,$AC15,FALSE)=0,"",VLOOKUP(U$1,Lecturas!$N$1:$AA$20,$AC15,FALSE))</f>
        <v/>
      </c>
      <c r="V15" s="156" t="str">
        <f>+IF(VLOOKUP(V$1,Lecturas!$N$1:$AA$20,$AC15,FALSE)=0,"",VLOOKUP(V$1,Lecturas!$N$1:$AA$20,$AC15,FALSE))</f>
        <v/>
      </c>
      <c r="W15" s="156" t="str">
        <f>+IF(VLOOKUP(W$1,Lecturas!$N$1:$AA$20,$AC15,FALSE)=0,"",VLOOKUP(W$1,Lecturas!$N$1:$AA$20,$AC15,FALSE))</f>
        <v/>
      </c>
      <c r="X15" s="156" t="str">
        <f>+IF(VLOOKUP(X$1,Lecturas!$N$1:$AA$20,$AC15,FALSE)=0,"",VLOOKUP(X$1,Lecturas!$N$1:$AA$20,$AC15,FALSE))</f>
        <v/>
      </c>
      <c r="Y15" s="163">
        <f>+IF(VLOOKUP(Y$1,Lecturas!$N$1:$AA$20,$AC15,FALSE)=0,"",VLOOKUP(Y$1,Lecturas!$N$1:$AA$20,$AC15,FALSE))</f>
        <v>2460</v>
      </c>
      <c r="Z15" s="48"/>
      <c r="AA15" s="48"/>
      <c r="AB15" s="48"/>
      <c r="AC15" s="148">
        <f>+'CARGA DE DATOS'!AF16</f>
        <v>5</v>
      </c>
    </row>
    <row r="16" spans="1:37" x14ac:dyDescent="0.25">
      <c r="A16" s="148">
        <f>+'CARGA DE DATOS'!A17</f>
        <v>15</v>
      </c>
      <c r="B16" s="48" t="str">
        <f>+IF(RESULTADOS!H16="","",RESULTADOS!H16)</f>
        <v/>
      </c>
      <c r="C16" s="48" t="str">
        <f>+IF(RESULTADOS!D16="","",RESULTADOS!D16)</f>
        <v/>
      </c>
      <c r="D16" s="160" t="str">
        <f>+IF('CARGA DE DATOS'!K17="Cooperativa","COOP",IF(Salida!AT17="true","PROSU","GD"))</f>
        <v>GD</v>
      </c>
      <c r="E16" s="160" t="s">
        <v>9147</v>
      </c>
      <c r="F16" s="160" t="str">
        <f>+IF(OR(D16="COOP",'CARGA DE DATOS'!K17="GUMA"),"15.02.2022",IF('CARGA DE DATOS'!K17="GUME","05.02.2022","10.02.2022"))</f>
        <v>10.02.2022</v>
      </c>
      <c r="G16" s="163">
        <f>+IF(VLOOKUP(G$1,Lecturas!$N$1:$AA$20,$AC16,FALSE)=0,"",VLOOKUP(G$1,Lecturas!$N$1:$AA$20,$AC16,FALSE))</f>
        <v>150</v>
      </c>
      <c r="H16" s="163">
        <f>+IF(VLOOKUP(H$1,Lecturas!$N$1:$AA$20,$AC16,FALSE)=0,"",VLOOKUP(H$1,Lecturas!$N$1:$AA$20,$AC16,FALSE))</f>
        <v>150</v>
      </c>
      <c r="I16" s="163">
        <f>+IF(VLOOKUP(I$1,Lecturas!$N$1:$AA$20,$AC16,FALSE)=0,"",VLOOKUP(I$1,Lecturas!$N$1:$AA$20,$AC16,FALSE))</f>
        <v>150</v>
      </c>
      <c r="J16" s="156" t="str">
        <f>+IF(VLOOKUP(J$1,Lecturas!$N$1:$AA$20,$AC16,FALSE)=0,"",VLOOKUP(J$1,Lecturas!$N$1:$AA$20,$AC16,FALSE))</f>
        <v/>
      </c>
      <c r="K16" s="156" t="str">
        <f>+IF(VLOOKUP(K$1,Lecturas!$N$1:$AA$20,$AC16,FALSE)=0,"",VLOOKUP(K$1,Lecturas!$N$1:$AA$20,$AC16,FALSE))</f>
        <v/>
      </c>
      <c r="L16" s="156" t="str">
        <f>+IF(VLOOKUP(L$1,Lecturas!$N$1:$AA$20,$AC16,FALSE)=0,"",VLOOKUP(L$1,Lecturas!$N$1:$AA$20,$AC16,FALSE))</f>
        <v/>
      </c>
      <c r="M16" s="163">
        <f>+IF(VLOOKUP(M$1,Lecturas!$N$1:$AA$20,$AC16,FALSE)=0,"",VLOOKUP(M$1,Lecturas!$N$1:$AA$20,$AC16,FALSE))</f>
        <v>2500</v>
      </c>
      <c r="N16" s="163">
        <f>+IF(VLOOKUP(N$1,Lecturas!$N$1:$AA$20,$AC16,FALSE)=0,"",VLOOKUP(N$1,Lecturas!$N$1:$AA$20,$AC16,FALSE))</f>
        <v>2000</v>
      </c>
      <c r="O16" s="163">
        <f>+IF(VLOOKUP(O$1,Lecturas!$N$1:$AA$20,$AC16,FALSE)=0,"",VLOOKUP(O$1,Lecturas!$N$1:$AA$20,$AC16,FALSE))</f>
        <v>3000</v>
      </c>
      <c r="P16" s="156" t="str">
        <f>+IF(VLOOKUP(P$1,Lecturas!$N$1:$AA$20,$AC16,FALSE)=0,"",VLOOKUP(P$1,Lecturas!$N$1:$AA$20,$AC16,FALSE))</f>
        <v/>
      </c>
      <c r="Q16" s="156" t="str">
        <f>+IF(VLOOKUP(Q$1,Lecturas!$N$1:$AA$20,$AC16,FALSE)=0,"",VLOOKUP(Q$1,Lecturas!$N$1:$AA$20,$AC16,FALSE))</f>
        <v/>
      </c>
      <c r="R16" s="156" t="str">
        <f>+IF(VLOOKUP(R$1,Lecturas!$N$1:$AA$20,$AC16,FALSE)=0,"",VLOOKUP(R$1,Lecturas!$N$1:$AA$20,$AC16,FALSE))</f>
        <v/>
      </c>
      <c r="S16" s="163" t="str">
        <f>+IF(VLOOKUP(S$1,Lecturas!$N$1:$AA$20,$AC16,FALSE)=0,"",VLOOKUP(S$1,Lecturas!$N$1:$AA$20,$AC16,FALSE))</f>
        <v/>
      </c>
      <c r="T16" s="163" t="str">
        <f>+IF(VLOOKUP(T$1,Lecturas!$N$1:$AA$20,$AC16,FALSE)=0,"",VLOOKUP(T$1,Lecturas!$N$1:$AA$20,$AC16,FALSE))</f>
        <v/>
      </c>
      <c r="U16" s="163" t="str">
        <f>+IF(VLOOKUP(U$1,Lecturas!$N$1:$AA$20,$AC16,FALSE)=0,"",VLOOKUP(U$1,Lecturas!$N$1:$AA$20,$AC16,FALSE))</f>
        <v/>
      </c>
      <c r="V16" s="156" t="str">
        <f>+IF(VLOOKUP(V$1,Lecturas!$N$1:$AA$20,$AC16,FALSE)=0,"",VLOOKUP(V$1,Lecturas!$N$1:$AA$20,$AC16,FALSE))</f>
        <v/>
      </c>
      <c r="W16" s="156" t="str">
        <f>+IF(VLOOKUP(W$1,Lecturas!$N$1:$AA$20,$AC16,FALSE)=0,"",VLOOKUP(W$1,Lecturas!$N$1:$AA$20,$AC16,FALSE))</f>
        <v/>
      </c>
      <c r="X16" s="156" t="str">
        <f>+IF(VLOOKUP(X$1,Lecturas!$N$1:$AA$20,$AC16,FALSE)=0,"",VLOOKUP(X$1,Lecturas!$N$1:$AA$20,$AC16,FALSE))</f>
        <v/>
      </c>
      <c r="Y16" s="163">
        <f>+IF(VLOOKUP(Y$1,Lecturas!$N$1:$AA$20,$AC16,FALSE)=0,"",VLOOKUP(Y$1,Lecturas!$N$1:$AA$20,$AC16,FALSE))</f>
        <v>5000</v>
      </c>
      <c r="Z16" s="48"/>
      <c r="AA16" s="48"/>
      <c r="AB16" s="48"/>
      <c r="AC16" s="148">
        <f>+'CARGA DE DATOS'!AF17</f>
        <v>2</v>
      </c>
    </row>
    <row r="17" spans="1:29" x14ac:dyDescent="0.25">
      <c r="A17" s="148">
        <f>+'CARGA DE DATOS'!A18</f>
        <v>16</v>
      </c>
      <c r="B17" s="48" t="str">
        <f>+IF(RESULTADOS!H17="","",RESULTADOS!H17)</f>
        <v/>
      </c>
      <c r="C17" s="48" t="str">
        <f>+IF(RESULTADOS!D17="","",RESULTADOS!D17)</f>
        <v/>
      </c>
      <c r="D17" s="160" t="str">
        <f>+IF('CARGA DE DATOS'!K18="Cooperativa","COOP",IF(Salida!AT18="true","PROSU","GD"))</f>
        <v>GD</v>
      </c>
      <c r="E17" s="160" t="s">
        <v>9147</v>
      </c>
      <c r="F17" s="160" t="str">
        <f>+IF(OR(D17="COOP",'CARGA DE DATOS'!K18="GUMA"),"15.02.2022",IF('CARGA DE DATOS'!K18="GUME","05.02.2022","10.02.2022"))</f>
        <v>10.02.2022</v>
      </c>
      <c r="G17" s="163">
        <f>+IF(VLOOKUP(G$1,Lecturas!$N$1:$AA$20,$AC17,FALSE)=0,"",VLOOKUP(G$1,Lecturas!$N$1:$AA$20,$AC17,FALSE))</f>
        <v>150</v>
      </c>
      <c r="H17" s="163">
        <f>+IF(VLOOKUP(H$1,Lecturas!$N$1:$AA$20,$AC17,FALSE)=0,"",VLOOKUP(H$1,Lecturas!$N$1:$AA$20,$AC17,FALSE))</f>
        <v>300</v>
      </c>
      <c r="I17" s="163">
        <f>+IF(VLOOKUP(I$1,Lecturas!$N$1:$AA$20,$AC17,FALSE)=0,"",VLOOKUP(I$1,Lecturas!$N$1:$AA$20,$AC17,FALSE))</f>
        <v>350</v>
      </c>
      <c r="J17" s="156" t="str">
        <f>+IF(VLOOKUP(J$1,Lecturas!$N$1:$AA$20,$AC17,FALSE)=0,"",VLOOKUP(J$1,Lecturas!$N$1:$AA$20,$AC17,FALSE))</f>
        <v/>
      </c>
      <c r="K17" s="156" t="str">
        <f>+IF(VLOOKUP(K$1,Lecturas!$N$1:$AA$20,$AC17,FALSE)=0,"",VLOOKUP(K$1,Lecturas!$N$1:$AA$20,$AC17,FALSE))</f>
        <v/>
      </c>
      <c r="L17" s="156" t="str">
        <f>+IF(VLOOKUP(L$1,Lecturas!$N$1:$AA$20,$AC17,FALSE)=0,"",VLOOKUP(L$1,Lecturas!$N$1:$AA$20,$AC17,FALSE))</f>
        <v/>
      </c>
      <c r="M17" s="163">
        <f>+IF(VLOOKUP(M$1,Lecturas!$N$1:$AA$20,$AC17,FALSE)=0,"",VLOOKUP(M$1,Lecturas!$N$1:$AA$20,$AC17,FALSE))</f>
        <v>2500</v>
      </c>
      <c r="N17" s="163">
        <f>+IF(VLOOKUP(N$1,Lecturas!$N$1:$AA$20,$AC17,FALSE)=0,"",VLOOKUP(N$1,Lecturas!$N$1:$AA$20,$AC17,FALSE))</f>
        <v>2000</v>
      </c>
      <c r="O17" s="163">
        <f>+IF(VLOOKUP(O$1,Lecturas!$N$1:$AA$20,$AC17,FALSE)=0,"",VLOOKUP(O$1,Lecturas!$N$1:$AA$20,$AC17,FALSE))</f>
        <v>3000</v>
      </c>
      <c r="P17" s="156" t="str">
        <f>+IF(VLOOKUP(P$1,Lecturas!$N$1:$AA$20,$AC17,FALSE)=0,"",VLOOKUP(P$1,Lecturas!$N$1:$AA$20,$AC17,FALSE))</f>
        <v/>
      </c>
      <c r="Q17" s="156" t="str">
        <f>+IF(VLOOKUP(Q$1,Lecturas!$N$1:$AA$20,$AC17,FALSE)=0,"",VLOOKUP(Q$1,Lecturas!$N$1:$AA$20,$AC17,FALSE))</f>
        <v/>
      </c>
      <c r="R17" s="156" t="str">
        <f>+IF(VLOOKUP(R$1,Lecturas!$N$1:$AA$20,$AC17,FALSE)=0,"",VLOOKUP(R$1,Lecturas!$N$1:$AA$20,$AC17,FALSE))</f>
        <v/>
      </c>
      <c r="S17" s="163" t="str">
        <f>+IF(VLOOKUP(S$1,Lecturas!$N$1:$AA$20,$AC17,FALSE)=0,"",VLOOKUP(S$1,Lecturas!$N$1:$AA$20,$AC17,FALSE))</f>
        <v/>
      </c>
      <c r="T17" s="163" t="str">
        <f>+IF(VLOOKUP(T$1,Lecturas!$N$1:$AA$20,$AC17,FALSE)=0,"",VLOOKUP(T$1,Lecturas!$N$1:$AA$20,$AC17,FALSE))</f>
        <v/>
      </c>
      <c r="U17" s="163" t="str">
        <f>+IF(VLOOKUP(U$1,Lecturas!$N$1:$AA$20,$AC17,FALSE)=0,"",VLOOKUP(U$1,Lecturas!$N$1:$AA$20,$AC17,FALSE))</f>
        <v/>
      </c>
      <c r="V17" s="156" t="str">
        <f>+IF(VLOOKUP(V$1,Lecturas!$N$1:$AA$20,$AC17,FALSE)=0,"",VLOOKUP(V$1,Lecturas!$N$1:$AA$20,$AC17,FALSE))</f>
        <v/>
      </c>
      <c r="W17" s="156" t="str">
        <f>+IF(VLOOKUP(W$1,Lecturas!$N$1:$AA$20,$AC17,FALSE)=0,"",VLOOKUP(W$1,Lecturas!$N$1:$AA$20,$AC17,FALSE))</f>
        <v/>
      </c>
      <c r="X17" s="156" t="str">
        <f>+IF(VLOOKUP(X$1,Lecturas!$N$1:$AA$20,$AC17,FALSE)=0,"",VLOOKUP(X$1,Lecturas!$N$1:$AA$20,$AC17,FALSE))</f>
        <v/>
      </c>
      <c r="Y17" s="163">
        <f>+IF(VLOOKUP(Y$1,Lecturas!$N$1:$AA$20,$AC17,FALSE)=0,"",VLOOKUP(Y$1,Lecturas!$N$1:$AA$20,$AC17,FALSE))</f>
        <v>2460</v>
      </c>
      <c r="Z17" s="48"/>
      <c r="AA17" s="48"/>
      <c r="AB17" s="48"/>
      <c r="AC17" s="148">
        <f>+'CARGA DE DATOS'!AF18</f>
        <v>5</v>
      </c>
    </row>
    <row r="18" spans="1:29" x14ac:dyDescent="0.25">
      <c r="A18" s="148">
        <f>+'CARGA DE DATOS'!A19</f>
        <v>17</v>
      </c>
      <c r="B18" s="48" t="str">
        <f>+IF(RESULTADOS!H18="","",RESULTADOS!H18)</f>
        <v/>
      </c>
      <c r="C18" s="48" t="str">
        <f>+IF(RESULTADOS!D18="","",RESULTADOS!D18)</f>
        <v/>
      </c>
      <c r="D18" s="160" t="str">
        <f>+IF('CARGA DE DATOS'!K19="Cooperativa","COOP",IF(Salida!AT19="true","PROSU","GD"))</f>
        <v>GD</v>
      </c>
      <c r="E18" s="160" t="s">
        <v>9147</v>
      </c>
      <c r="F18" s="160" t="str">
        <f>+IF(OR(D18="COOP",'CARGA DE DATOS'!K19="GUMA"),"15.02.2022",IF('CARGA DE DATOS'!K19="GUME","05.02.2022","10.02.2022"))</f>
        <v>10.02.2022</v>
      </c>
      <c r="G18" s="163">
        <f>+IF(VLOOKUP(G$1,Lecturas!$N$1:$AA$20,$AC18,FALSE)=0,"",VLOOKUP(G$1,Lecturas!$N$1:$AA$20,$AC18,FALSE))</f>
        <v>150</v>
      </c>
      <c r="H18" s="163">
        <f>+IF(VLOOKUP(H$1,Lecturas!$N$1:$AA$20,$AC18,FALSE)=0,"",VLOOKUP(H$1,Lecturas!$N$1:$AA$20,$AC18,FALSE))</f>
        <v>150</v>
      </c>
      <c r="I18" s="163">
        <f>+IF(VLOOKUP(I$1,Lecturas!$N$1:$AA$20,$AC18,FALSE)=0,"",VLOOKUP(I$1,Lecturas!$N$1:$AA$20,$AC18,FALSE))</f>
        <v>150</v>
      </c>
      <c r="J18" s="156" t="str">
        <f>+IF(VLOOKUP(J$1,Lecturas!$N$1:$AA$20,$AC18,FALSE)=0,"",VLOOKUP(J$1,Lecturas!$N$1:$AA$20,$AC18,FALSE))</f>
        <v/>
      </c>
      <c r="K18" s="156" t="str">
        <f>+IF(VLOOKUP(K$1,Lecturas!$N$1:$AA$20,$AC18,FALSE)=0,"",VLOOKUP(K$1,Lecturas!$N$1:$AA$20,$AC18,FALSE))</f>
        <v/>
      </c>
      <c r="L18" s="156" t="str">
        <f>+IF(VLOOKUP(L$1,Lecturas!$N$1:$AA$20,$AC18,FALSE)=0,"",VLOOKUP(L$1,Lecturas!$N$1:$AA$20,$AC18,FALSE))</f>
        <v/>
      </c>
      <c r="M18" s="163">
        <f>+IF(VLOOKUP(M$1,Lecturas!$N$1:$AA$20,$AC18,FALSE)=0,"",VLOOKUP(M$1,Lecturas!$N$1:$AA$20,$AC18,FALSE))</f>
        <v>2500</v>
      </c>
      <c r="N18" s="163">
        <f>+IF(VLOOKUP(N$1,Lecturas!$N$1:$AA$20,$AC18,FALSE)=0,"",VLOOKUP(N$1,Lecturas!$N$1:$AA$20,$AC18,FALSE))</f>
        <v>2000</v>
      </c>
      <c r="O18" s="163">
        <f>+IF(VLOOKUP(O$1,Lecturas!$N$1:$AA$20,$AC18,FALSE)=0,"",VLOOKUP(O$1,Lecturas!$N$1:$AA$20,$AC18,FALSE))</f>
        <v>3000</v>
      </c>
      <c r="P18" s="156" t="str">
        <f>+IF(VLOOKUP(P$1,Lecturas!$N$1:$AA$20,$AC18,FALSE)=0,"",VLOOKUP(P$1,Lecturas!$N$1:$AA$20,$AC18,FALSE))</f>
        <v/>
      </c>
      <c r="Q18" s="156" t="str">
        <f>+IF(VLOOKUP(Q$1,Lecturas!$N$1:$AA$20,$AC18,FALSE)=0,"",VLOOKUP(Q$1,Lecturas!$N$1:$AA$20,$AC18,FALSE))</f>
        <v/>
      </c>
      <c r="R18" s="156" t="str">
        <f>+IF(VLOOKUP(R$1,Lecturas!$N$1:$AA$20,$AC18,FALSE)=0,"",VLOOKUP(R$1,Lecturas!$N$1:$AA$20,$AC18,FALSE))</f>
        <v/>
      </c>
      <c r="S18" s="163" t="str">
        <f>+IF(VLOOKUP(S$1,Lecturas!$N$1:$AA$20,$AC18,FALSE)=0,"",VLOOKUP(S$1,Lecturas!$N$1:$AA$20,$AC18,FALSE))</f>
        <v/>
      </c>
      <c r="T18" s="163" t="str">
        <f>+IF(VLOOKUP(T$1,Lecturas!$N$1:$AA$20,$AC18,FALSE)=0,"",VLOOKUP(T$1,Lecturas!$N$1:$AA$20,$AC18,FALSE))</f>
        <v/>
      </c>
      <c r="U18" s="163" t="str">
        <f>+IF(VLOOKUP(U$1,Lecturas!$N$1:$AA$20,$AC18,FALSE)=0,"",VLOOKUP(U$1,Lecturas!$N$1:$AA$20,$AC18,FALSE))</f>
        <v/>
      </c>
      <c r="V18" s="156" t="str">
        <f>+IF(VLOOKUP(V$1,Lecturas!$N$1:$AA$20,$AC18,FALSE)=0,"",VLOOKUP(V$1,Lecturas!$N$1:$AA$20,$AC18,FALSE))</f>
        <v/>
      </c>
      <c r="W18" s="156" t="str">
        <f>+IF(VLOOKUP(W$1,Lecturas!$N$1:$AA$20,$AC18,FALSE)=0,"",VLOOKUP(W$1,Lecturas!$N$1:$AA$20,$AC18,FALSE))</f>
        <v/>
      </c>
      <c r="X18" s="156" t="str">
        <f>+IF(VLOOKUP(X$1,Lecturas!$N$1:$AA$20,$AC18,FALSE)=0,"",VLOOKUP(X$1,Lecturas!$N$1:$AA$20,$AC18,FALSE))</f>
        <v/>
      </c>
      <c r="Y18" s="163">
        <f>+IF(VLOOKUP(Y$1,Lecturas!$N$1:$AA$20,$AC18,FALSE)=0,"",VLOOKUP(Y$1,Lecturas!$N$1:$AA$20,$AC18,FALSE))</f>
        <v>5000</v>
      </c>
      <c r="Z18" s="48"/>
      <c r="AA18" s="48"/>
      <c r="AB18" s="48"/>
      <c r="AC18" s="148">
        <f>+'CARGA DE DATOS'!AF19</f>
        <v>2</v>
      </c>
    </row>
    <row r="19" spans="1:29" x14ac:dyDescent="0.25">
      <c r="A19" s="148">
        <f>+'CARGA DE DATOS'!A20</f>
        <v>18</v>
      </c>
      <c r="B19" s="48" t="str">
        <f>+IF(RESULTADOS!H19="","",RESULTADOS!H19)</f>
        <v/>
      </c>
      <c r="C19" s="48" t="str">
        <f>+IF(RESULTADOS!D19="","",RESULTADOS!D19)</f>
        <v/>
      </c>
      <c r="D19" s="160" t="str">
        <f>+IF('CARGA DE DATOS'!K20="Cooperativa","COOP",IF(Salida!AT20="true","PROSU","GD"))</f>
        <v>GD</v>
      </c>
      <c r="E19" s="160" t="s">
        <v>9147</v>
      </c>
      <c r="F19" s="160" t="str">
        <f>+IF(OR(D19="COOP",'CARGA DE DATOS'!K20="GUMA"),"15.02.2022",IF('CARGA DE DATOS'!K20="GUME","05.02.2022","10.02.2022"))</f>
        <v>10.02.2022</v>
      </c>
      <c r="G19" s="163">
        <f>+IF(VLOOKUP(G$1,Lecturas!$N$1:$AA$20,$AC19,FALSE)=0,"",VLOOKUP(G$1,Lecturas!$N$1:$AA$20,$AC19,FALSE))</f>
        <v>150</v>
      </c>
      <c r="H19" s="163">
        <f>+IF(VLOOKUP(H$1,Lecturas!$N$1:$AA$20,$AC19,FALSE)=0,"",VLOOKUP(H$1,Lecturas!$N$1:$AA$20,$AC19,FALSE))</f>
        <v>300</v>
      </c>
      <c r="I19" s="163">
        <f>+IF(VLOOKUP(I$1,Lecturas!$N$1:$AA$20,$AC19,FALSE)=0,"",VLOOKUP(I$1,Lecturas!$N$1:$AA$20,$AC19,FALSE))</f>
        <v>150</v>
      </c>
      <c r="J19" s="156" t="str">
        <f>+IF(VLOOKUP(J$1,Lecturas!$N$1:$AA$20,$AC19,FALSE)=0,"",VLOOKUP(J$1,Lecturas!$N$1:$AA$20,$AC19,FALSE))</f>
        <v/>
      </c>
      <c r="K19" s="156" t="str">
        <f>+IF(VLOOKUP(K$1,Lecturas!$N$1:$AA$20,$AC19,FALSE)=0,"",VLOOKUP(K$1,Lecturas!$N$1:$AA$20,$AC19,FALSE))</f>
        <v/>
      </c>
      <c r="L19" s="156" t="str">
        <f>+IF(VLOOKUP(L$1,Lecturas!$N$1:$AA$20,$AC19,FALSE)=0,"",VLOOKUP(L$1,Lecturas!$N$1:$AA$20,$AC19,FALSE))</f>
        <v/>
      </c>
      <c r="M19" s="163">
        <f>+IF(VLOOKUP(M$1,Lecturas!$N$1:$AA$20,$AC19,FALSE)=0,"",VLOOKUP(M$1,Lecturas!$N$1:$AA$20,$AC19,FALSE))</f>
        <v>2500</v>
      </c>
      <c r="N19" s="163">
        <f>+IF(VLOOKUP(N$1,Lecturas!$N$1:$AA$20,$AC19,FALSE)=0,"",VLOOKUP(N$1,Lecturas!$N$1:$AA$20,$AC19,FALSE))</f>
        <v>2000</v>
      </c>
      <c r="O19" s="163">
        <f>+IF(VLOOKUP(O$1,Lecturas!$N$1:$AA$20,$AC19,FALSE)=0,"",VLOOKUP(O$1,Lecturas!$N$1:$AA$20,$AC19,FALSE))</f>
        <v>3000</v>
      </c>
      <c r="P19" s="156" t="str">
        <f>+IF(VLOOKUP(P$1,Lecturas!$N$1:$AA$20,$AC19,FALSE)=0,"",VLOOKUP(P$1,Lecturas!$N$1:$AA$20,$AC19,FALSE))</f>
        <v/>
      </c>
      <c r="Q19" s="156" t="str">
        <f>+IF(VLOOKUP(Q$1,Lecturas!$N$1:$AA$20,$AC19,FALSE)=0,"",VLOOKUP(Q$1,Lecturas!$N$1:$AA$20,$AC19,FALSE))</f>
        <v/>
      </c>
      <c r="R19" s="156" t="str">
        <f>+IF(VLOOKUP(R$1,Lecturas!$N$1:$AA$20,$AC19,FALSE)=0,"",VLOOKUP(R$1,Lecturas!$N$1:$AA$20,$AC19,FALSE))</f>
        <v/>
      </c>
      <c r="S19" s="163" t="str">
        <f>+IF(VLOOKUP(S$1,Lecturas!$N$1:$AA$20,$AC19,FALSE)=0,"",VLOOKUP(S$1,Lecturas!$N$1:$AA$20,$AC19,FALSE))</f>
        <v/>
      </c>
      <c r="T19" s="163" t="str">
        <f>+IF(VLOOKUP(T$1,Lecturas!$N$1:$AA$20,$AC19,FALSE)=0,"",VLOOKUP(T$1,Lecturas!$N$1:$AA$20,$AC19,FALSE))</f>
        <v/>
      </c>
      <c r="U19" s="163" t="str">
        <f>+IF(VLOOKUP(U$1,Lecturas!$N$1:$AA$20,$AC19,FALSE)=0,"",VLOOKUP(U$1,Lecturas!$N$1:$AA$20,$AC19,FALSE))</f>
        <v/>
      </c>
      <c r="V19" s="156" t="str">
        <f>+IF(VLOOKUP(V$1,Lecturas!$N$1:$AA$20,$AC19,FALSE)=0,"",VLOOKUP(V$1,Lecturas!$N$1:$AA$20,$AC19,FALSE))</f>
        <v/>
      </c>
      <c r="W19" s="156" t="str">
        <f>+IF(VLOOKUP(W$1,Lecturas!$N$1:$AA$20,$AC19,FALSE)=0,"",VLOOKUP(W$1,Lecturas!$N$1:$AA$20,$AC19,FALSE))</f>
        <v/>
      </c>
      <c r="X19" s="156" t="str">
        <f>+IF(VLOOKUP(X$1,Lecturas!$N$1:$AA$20,$AC19,FALSE)=0,"",VLOOKUP(X$1,Lecturas!$N$1:$AA$20,$AC19,FALSE))</f>
        <v/>
      </c>
      <c r="Y19" s="163">
        <f>+IF(VLOOKUP(Y$1,Lecturas!$N$1:$AA$20,$AC19,FALSE)=0,"",VLOOKUP(Y$1,Lecturas!$N$1:$AA$20,$AC19,FALSE))</f>
        <v>5000</v>
      </c>
      <c r="Z19" s="48"/>
      <c r="AA19" s="48"/>
      <c r="AB19" s="48"/>
      <c r="AC19" s="148">
        <f>+'CARGA DE DATOS'!AF20</f>
        <v>3</v>
      </c>
    </row>
    <row r="20" spans="1:29" x14ac:dyDescent="0.25">
      <c r="A20" s="148">
        <f>+'CARGA DE DATOS'!A21</f>
        <v>19</v>
      </c>
      <c r="B20" s="48" t="str">
        <f>+IF(RESULTADOS!H20="","",RESULTADOS!H20)</f>
        <v/>
      </c>
      <c r="C20" s="48" t="str">
        <f>+IF(RESULTADOS!D20="","",RESULTADOS!D20)</f>
        <v/>
      </c>
      <c r="D20" s="160" t="str">
        <f>+IF('CARGA DE DATOS'!K21="Cooperativa","COOP",IF(Salida!AT21="true","PROSU","GD"))</f>
        <v>GD</v>
      </c>
      <c r="E20" s="160" t="s">
        <v>9147</v>
      </c>
      <c r="F20" s="160" t="str">
        <f>+IF(OR(D20="COOP",'CARGA DE DATOS'!K21="GUMA"),"15.02.2022",IF('CARGA DE DATOS'!K21="GUME","05.02.2022","10.02.2022"))</f>
        <v>10.02.2022</v>
      </c>
      <c r="G20" s="163">
        <f>+IF(VLOOKUP(G$1,Lecturas!$N$1:$AA$20,$AC20,FALSE)=0,"",VLOOKUP(G$1,Lecturas!$N$1:$AA$20,$AC20,FALSE))</f>
        <v>150</v>
      </c>
      <c r="H20" s="163">
        <f>+IF(VLOOKUP(H$1,Lecturas!$N$1:$AA$20,$AC20,FALSE)=0,"",VLOOKUP(H$1,Lecturas!$N$1:$AA$20,$AC20,FALSE))</f>
        <v>150</v>
      </c>
      <c r="I20" s="163">
        <f>+IF(VLOOKUP(I$1,Lecturas!$N$1:$AA$20,$AC20,FALSE)=0,"",VLOOKUP(I$1,Lecturas!$N$1:$AA$20,$AC20,FALSE))</f>
        <v>150</v>
      </c>
      <c r="J20" s="156" t="str">
        <f>+IF(VLOOKUP(J$1,Lecturas!$N$1:$AA$20,$AC20,FALSE)=0,"",VLOOKUP(J$1,Lecturas!$N$1:$AA$20,$AC20,FALSE))</f>
        <v/>
      </c>
      <c r="K20" s="156" t="str">
        <f>+IF(VLOOKUP(K$1,Lecturas!$N$1:$AA$20,$AC20,FALSE)=0,"",VLOOKUP(K$1,Lecturas!$N$1:$AA$20,$AC20,FALSE))</f>
        <v/>
      </c>
      <c r="L20" s="156" t="str">
        <f>+IF(VLOOKUP(L$1,Lecturas!$N$1:$AA$20,$AC20,FALSE)=0,"",VLOOKUP(L$1,Lecturas!$N$1:$AA$20,$AC20,FALSE))</f>
        <v/>
      </c>
      <c r="M20" s="163">
        <f>+IF(VLOOKUP(M$1,Lecturas!$N$1:$AA$20,$AC20,FALSE)=0,"",VLOOKUP(M$1,Lecturas!$N$1:$AA$20,$AC20,FALSE))</f>
        <v>2500</v>
      </c>
      <c r="N20" s="163">
        <f>+IF(VLOOKUP(N$1,Lecturas!$N$1:$AA$20,$AC20,FALSE)=0,"",VLOOKUP(N$1,Lecturas!$N$1:$AA$20,$AC20,FALSE))</f>
        <v>2000</v>
      </c>
      <c r="O20" s="163">
        <f>+IF(VLOOKUP(O$1,Lecturas!$N$1:$AA$20,$AC20,FALSE)=0,"",VLOOKUP(O$1,Lecturas!$N$1:$AA$20,$AC20,FALSE))</f>
        <v>3000</v>
      </c>
      <c r="P20" s="156" t="str">
        <f>+IF(VLOOKUP(P$1,Lecturas!$N$1:$AA$20,$AC20,FALSE)=0,"",VLOOKUP(P$1,Lecturas!$N$1:$AA$20,$AC20,FALSE))</f>
        <v/>
      </c>
      <c r="Q20" s="156" t="str">
        <f>+IF(VLOOKUP(Q$1,Lecturas!$N$1:$AA$20,$AC20,FALSE)=0,"",VLOOKUP(Q$1,Lecturas!$N$1:$AA$20,$AC20,FALSE))</f>
        <v/>
      </c>
      <c r="R20" s="156" t="str">
        <f>+IF(VLOOKUP(R$1,Lecturas!$N$1:$AA$20,$AC20,FALSE)=0,"",VLOOKUP(R$1,Lecturas!$N$1:$AA$20,$AC20,FALSE))</f>
        <v/>
      </c>
      <c r="S20" s="163" t="str">
        <f>+IF(VLOOKUP(S$1,Lecturas!$N$1:$AA$20,$AC20,FALSE)=0,"",VLOOKUP(S$1,Lecturas!$N$1:$AA$20,$AC20,FALSE))</f>
        <v/>
      </c>
      <c r="T20" s="163" t="str">
        <f>+IF(VLOOKUP(T$1,Lecturas!$N$1:$AA$20,$AC20,FALSE)=0,"",VLOOKUP(T$1,Lecturas!$N$1:$AA$20,$AC20,FALSE))</f>
        <v/>
      </c>
      <c r="U20" s="163" t="str">
        <f>+IF(VLOOKUP(U$1,Lecturas!$N$1:$AA$20,$AC20,FALSE)=0,"",VLOOKUP(U$1,Lecturas!$N$1:$AA$20,$AC20,FALSE))</f>
        <v/>
      </c>
      <c r="V20" s="156" t="str">
        <f>+IF(VLOOKUP(V$1,Lecturas!$N$1:$AA$20,$AC20,FALSE)=0,"",VLOOKUP(V$1,Lecturas!$N$1:$AA$20,$AC20,FALSE))</f>
        <v/>
      </c>
      <c r="W20" s="156" t="str">
        <f>+IF(VLOOKUP(W$1,Lecturas!$N$1:$AA$20,$AC20,FALSE)=0,"",VLOOKUP(W$1,Lecturas!$N$1:$AA$20,$AC20,FALSE))</f>
        <v/>
      </c>
      <c r="X20" s="156" t="str">
        <f>+IF(VLOOKUP(X$1,Lecturas!$N$1:$AA$20,$AC20,FALSE)=0,"",VLOOKUP(X$1,Lecturas!$N$1:$AA$20,$AC20,FALSE))</f>
        <v/>
      </c>
      <c r="Y20" s="163">
        <f>+IF(VLOOKUP(Y$1,Lecturas!$N$1:$AA$20,$AC20,FALSE)=0,"",VLOOKUP(Y$1,Lecturas!$N$1:$AA$20,$AC20,FALSE))</f>
        <v>15000</v>
      </c>
      <c r="Z20" s="48"/>
      <c r="AA20" s="48"/>
      <c r="AB20" s="48"/>
      <c r="AC20" s="148">
        <f>+'CARGA DE DATOS'!AF21</f>
        <v>4</v>
      </c>
    </row>
    <row r="21" spans="1:29" x14ac:dyDescent="0.25">
      <c r="A21" s="148">
        <f>+'CARGA DE DATOS'!A22</f>
        <v>20</v>
      </c>
      <c r="B21" s="48" t="str">
        <f>+IF(RESULTADOS!H21="","",RESULTADOS!H21)</f>
        <v/>
      </c>
      <c r="C21" s="48" t="str">
        <f>+IF(RESULTADOS!D21="","",RESULTADOS!D21)</f>
        <v/>
      </c>
      <c r="D21" s="160" t="str">
        <f>+IF('CARGA DE DATOS'!K22="Cooperativa","COOP",IF(Salida!AT22="true","PROSU","GD"))</f>
        <v>GD</v>
      </c>
      <c r="E21" s="160" t="s">
        <v>9147</v>
      </c>
      <c r="F21" s="160" t="str">
        <f>+IF(OR(D21="COOP",'CARGA DE DATOS'!K22="GUMA"),"15.02.2022",IF('CARGA DE DATOS'!K22="GUME","05.02.2022","10.02.2022"))</f>
        <v>10.02.2022</v>
      </c>
      <c r="G21" s="163">
        <f>+IF(VLOOKUP(G$1,Lecturas!$N$1:$AA$20,$AC21,FALSE)=0,"",VLOOKUP(G$1,Lecturas!$N$1:$AA$20,$AC21,FALSE))</f>
        <v>150</v>
      </c>
      <c r="H21" s="163">
        <f>+IF(VLOOKUP(H$1,Lecturas!$N$1:$AA$20,$AC21,FALSE)=0,"",VLOOKUP(H$1,Lecturas!$N$1:$AA$20,$AC21,FALSE))</f>
        <v>300</v>
      </c>
      <c r="I21" s="163">
        <f>+IF(VLOOKUP(I$1,Lecturas!$N$1:$AA$20,$AC21,FALSE)=0,"",VLOOKUP(I$1,Lecturas!$N$1:$AA$20,$AC21,FALSE))</f>
        <v>350</v>
      </c>
      <c r="J21" s="156" t="str">
        <f>+IF(VLOOKUP(J$1,Lecturas!$N$1:$AA$20,$AC21,FALSE)=0,"",VLOOKUP(J$1,Lecturas!$N$1:$AA$20,$AC21,FALSE))</f>
        <v/>
      </c>
      <c r="K21" s="156" t="str">
        <f>+IF(VLOOKUP(K$1,Lecturas!$N$1:$AA$20,$AC21,FALSE)=0,"",VLOOKUP(K$1,Lecturas!$N$1:$AA$20,$AC21,FALSE))</f>
        <v/>
      </c>
      <c r="L21" s="156" t="str">
        <f>+IF(VLOOKUP(L$1,Lecturas!$N$1:$AA$20,$AC21,FALSE)=0,"",VLOOKUP(L$1,Lecturas!$N$1:$AA$20,$AC21,FALSE))</f>
        <v/>
      </c>
      <c r="M21" s="163">
        <f>+IF(VLOOKUP(M$1,Lecturas!$N$1:$AA$20,$AC21,FALSE)=0,"",VLOOKUP(M$1,Lecturas!$N$1:$AA$20,$AC21,FALSE))</f>
        <v>2500</v>
      </c>
      <c r="N21" s="163">
        <f>+IF(VLOOKUP(N$1,Lecturas!$N$1:$AA$20,$AC21,FALSE)=0,"",VLOOKUP(N$1,Lecturas!$N$1:$AA$20,$AC21,FALSE))</f>
        <v>2000</v>
      </c>
      <c r="O21" s="163">
        <f>+IF(VLOOKUP(O$1,Lecturas!$N$1:$AA$20,$AC21,FALSE)=0,"",VLOOKUP(O$1,Lecturas!$N$1:$AA$20,$AC21,FALSE))</f>
        <v>3000</v>
      </c>
      <c r="P21" s="156" t="str">
        <f>+IF(VLOOKUP(P$1,Lecturas!$N$1:$AA$20,$AC21,FALSE)=0,"",VLOOKUP(P$1,Lecturas!$N$1:$AA$20,$AC21,FALSE))</f>
        <v/>
      </c>
      <c r="Q21" s="156" t="str">
        <f>+IF(VLOOKUP(Q$1,Lecturas!$N$1:$AA$20,$AC21,FALSE)=0,"",VLOOKUP(Q$1,Lecturas!$N$1:$AA$20,$AC21,FALSE))</f>
        <v/>
      </c>
      <c r="R21" s="156" t="str">
        <f>+IF(VLOOKUP(R$1,Lecturas!$N$1:$AA$20,$AC21,FALSE)=0,"",VLOOKUP(R$1,Lecturas!$N$1:$AA$20,$AC21,FALSE))</f>
        <v/>
      </c>
      <c r="S21" s="163" t="str">
        <f>+IF(VLOOKUP(S$1,Lecturas!$N$1:$AA$20,$AC21,FALSE)=0,"",VLOOKUP(S$1,Lecturas!$N$1:$AA$20,$AC21,FALSE))</f>
        <v/>
      </c>
      <c r="T21" s="163" t="str">
        <f>+IF(VLOOKUP(T$1,Lecturas!$N$1:$AA$20,$AC21,FALSE)=0,"",VLOOKUP(T$1,Lecturas!$N$1:$AA$20,$AC21,FALSE))</f>
        <v/>
      </c>
      <c r="U21" s="163" t="str">
        <f>+IF(VLOOKUP(U$1,Lecturas!$N$1:$AA$20,$AC21,FALSE)=0,"",VLOOKUP(U$1,Lecturas!$N$1:$AA$20,$AC21,FALSE))</f>
        <v/>
      </c>
      <c r="V21" s="156" t="str">
        <f>+IF(VLOOKUP(V$1,Lecturas!$N$1:$AA$20,$AC21,FALSE)=0,"",VLOOKUP(V$1,Lecturas!$N$1:$AA$20,$AC21,FALSE))</f>
        <v/>
      </c>
      <c r="W21" s="156" t="str">
        <f>+IF(VLOOKUP(W$1,Lecturas!$N$1:$AA$20,$AC21,FALSE)=0,"",VLOOKUP(W$1,Lecturas!$N$1:$AA$20,$AC21,FALSE))</f>
        <v/>
      </c>
      <c r="X21" s="156" t="str">
        <f>+IF(VLOOKUP(X$1,Lecturas!$N$1:$AA$20,$AC21,FALSE)=0,"",VLOOKUP(X$1,Lecturas!$N$1:$AA$20,$AC21,FALSE))</f>
        <v/>
      </c>
      <c r="Y21" s="163">
        <f>+IF(VLOOKUP(Y$1,Lecturas!$N$1:$AA$20,$AC21,FALSE)=0,"",VLOOKUP(Y$1,Lecturas!$N$1:$AA$20,$AC21,FALSE))</f>
        <v>2460</v>
      </c>
      <c r="Z21" s="48"/>
      <c r="AA21" s="48"/>
      <c r="AB21" s="48"/>
      <c r="AC21" s="148">
        <f>+'CARGA DE DATOS'!AF22</f>
        <v>5</v>
      </c>
    </row>
    <row r="22" spans="1:29" x14ac:dyDescent="0.25">
      <c r="A22" s="148">
        <f>+'CARGA DE DATOS'!A23</f>
        <v>21</v>
      </c>
      <c r="B22" s="48" t="str">
        <f>+IF(RESULTADOS!H22="","",RESULTADOS!H22)</f>
        <v/>
      </c>
      <c r="C22" s="48" t="str">
        <f>+IF(RESULTADOS!D22="","",RESULTADOS!D22)</f>
        <v/>
      </c>
      <c r="D22" s="160" t="str">
        <f>+IF('CARGA DE DATOS'!K23="Cooperativa","COOP",IF(Salida!AT23="true","PROSU","GD"))</f>
        <v>GD</v>
      </c>
      <c r="E22" s="160" t="s">
        <v>9147</v>
      </c>
      <c r="F22" s="160" t="str">
        <f>+IF(OR(D22="COOP",'CARGA DE DATOS'!K23="GUMA"),"15.02.2022",IF('CARGA DE DATOS'!K23="GUME","05.02.2022","10.02.2022"))</f>
        <v>10.02.2022</v>
      </c>
      <c r="G22" s="163">
        <f>+IF(VLOOKUP(G$1,Lecturas!$N$1:$AA$20,$AC22,FALSE)=0,"",VLOOKUP(G$1,Lecturas!$N$1:$AA$20,$AC22,FALSE))</f>
        <v>1500</v>
      </c>
      <c r="H22" s="163">
        <f>+IF(VLOOKUP(H$1,Lecturas!$N$1:$AA$20,$AC22,FALSE)=0,"",VLOOKUP(H$1,Lecturas!$N$1:$AA$20,$AC22,FALSE))</f>
        <v>300</v>
      </c>
      <c r="I22" s="163">
        <f>+IF(VLOOKUP(I$1,Lecturas!$N$1:$AA$20,$AC22,FALSE)=0,"",VLOOKUP(I$1,Lecturas!$N$1:$AA$20,$AC22,FALSE))</f>
        <v>350</v>
      </c>
      <c r="J22" s="156" t="str">
        <f>+IF(VLOOKUP(J$1,Lecturas!$N$1:$AA$20,$AC22,FALSE)=0,"",VLOOKUP(J$1,Lecturas!$N$1:$AA$20,$AC22,FALSE))</f>
        <v/>
      </c>
      <c r="K22" s="156" t="str">
        <f>+IF(VLOOKUP(K$1,Lecturas!$N$1:$AA$20,$AC22,FALSE)=0,"",VLOOKUP(K$1,Lecturas!$N$1:$AA$20,$AC22,FALSE))</f>
        <v/>
      </c>
      <c r="L22" s="156" t="str">
        <f>+IF(VLOOKUP(L$1,Lecturas!$N$1:$AA$20,$AC22,FALSE)=0,"",VLOOKUP(L$1,Lecturas!$N$1:$AA$20,$AC22,FALSE))</f>
        <v/>
      </c>
      <c r="M22" s="163">
        <f>+IF(VLOOKUP(M$1,Lecturas!$N$1:$AA$20,$AC22,FALSE)=0,"",VLOOKUP(M$1,Lecturas!$N$1:$AA$20,$AC22,FALSE))</f>
        <v>2500</v>
      </c>
      <c r="N22" s="163">
        <f>+IF(VLOOKUP(N$1,Lecturas!$N$1:$AA$20,$AC22,FALSE)=0,"",VLOOKUP(N$1,Lecturas!$N$1:$AA$20,$AC22,FALSE))</f>
        <v>2000</v>
      </c>
      <c r="O22" s="163">
        <f>+IF(VLOOKUP(O$1,Lecturas!$N$1:$AA$20,$AC22,FALSE)=0,"",VLOOKUP(O$1,Lecturas!$N$1:$AA$20,$AC22,FALSE))</f>
        <v>3000</v>
      </c>
      <c r="P22" s="156" t="str">
        <f>+IF(VLOOKUP(P$1,Lecturas!$N$1:$AA$20,$AC22,FALSE)=0,"",VLOOKUP(P$1,Lecturas!$N$1:$AA$20,$AC22,FALSE))</f>
        <v/>
      </c>
      <c r="Q22" s="156" t="str">
        <f>+IF(VLOOKUP(Q$1,Lecturas!$N$1:$AA$20,$AC22,FALSE)=0,"",VLOOKUP(Q$1,Lecturas!$N$1:$AA$20,$AC22,FALSE))</f>
        <v/>
      </c>
      <c r="R22" s="156" t="str">
        <f>+IF(VLOOKUP(R$1,Lecturas!$N$1:$AA$20,$AC22,FALSE)=0,"",VLOOKUP(R$1,Lecturas!$N$1:$AA$20,$AC22,FALSE))</f>
        <v/>
      </c>
      <c r="S22" s="163" t="str">
        <f>+IF(VLOOKUP(S$1,Lecturas!$N$1:$AA$20,$AC22,FALSE)=0,"",VLOOKUP(S$1,Lecturas!$N$1:$AA$20,$AC22,FALSE))</f>
        <v/>
      </c>
      <c r="T22" s="163" t="str">
        <f>+IF(VLOOKUP(T$1,Lecturas!$N$1:$AA$20,$AC22,FALSE)=0,"",VLOOKUP(T$1,Lecturas!$N$1:$AA$20,$AC22,FALSE))</f>
        <v/>
      </c>
      <c r="U22" s="163" t="str">
        <f>+IF(VLOOKUP(U$1,Lecturas!$N$1:$AA$20,$AC22,FALSE)=0,"",VLOOKUP(U$1,Lecturas!$N$1:$AA$20,$AC22,FALSE))</f>
        <v/>
      </c>
      <c r="V22" s="156" t="str">
        <f>+IF(VLOOKUP(V$1,Lecturas!$N$1:$AA$20,$AC22,FALSE)=0,"",VLOOKUP(V$1,Lecturas!$N$1:$AA$20,$AC22,FALSE))</f>
        <v/>
      </c>
      <c r="W22" s="156" t="str">
        <f>+IF(VLOOKUP(W$1,Lecturas!$N$1:$AA$20,$AC22,FALSE)=0,"",VLOOKUP(W$1,Lecturas!$N$1:$AA$20,$AC22,FALSE))</f>
        <v/>
      </c>
      <c r="X22" s="156" t="str">
        <f>+IF(VLOOKUP(X$1,Lecturas!$N$1:$AA$20,$AC22,FALSE)=0,"",VLOOKUP(X$1,Lecturas!$N$1:$AA$20,$AC22,FALSE))</f>
        <v/>
      </c>
      <c r="Y22" s="163">
        <f>+IF(VLOOKUP(Y$1,Lecturas!$N$1:$AA$20,$AC22,FALSE)=0,"",VLOOKUP(Y$1,Lecturas!$N$1:$AA$20,$AC22,FALSE))</f>
        <v>6500</v>
      </c>
      <c r="Z22" s="48"/>
      <c r="AA22" s="48"/>
      <c r="AB22" s="48"/>
      <c r="AC22" s="148">
        <f>+'CARGA DE DATOS'!AF23</f>
        <v>9</v>
      </c>
    </row>
    <row r="23" spans="1:29" x14ac:dyDescent="0.25">
      <c r="A23" s="148">
        <f>+'CARGA DE DATOS'!A24</f>
        <v>22</v>
      </c>
      <c r="B23" s="48" t="str">
        <f>+IF(RESULTADOS!H23="","",RESULTADOS!H23)</f>
        <v/>
      </c>
      <c r="C23" s="48" t="str">
        <f>+IF(RESULTADOS!D23="","",RESULTADOS!D23)</f>
        <v/>
      </c>
      <c r="D23" s="160" t="str">
        <f>+IF('CARGA DE DATOS'!K24="Cooperativa","COOP",IF(Salida!AT24="true","PROSU","GD"))</f>
        <v>GD</v>
      </c>
      <c r="E23" s="160" t="s">
        <v>9147</v>
      </c>
      <c r="F23" s="160" t="str">
        <f>+IF(OR(D23="COOP",'CARGA DE DATOS'!K24="GUMA"),"15.02.2022",IF('CARGA DE DATOS'!K24="GUME","05.02.2022","10.02.2022"))</f>
        <v>10.02.2022</v>
      </c>
      <c r="G23" s="163">
        <f>+IF(VLOOKUP(G$1,Lecturas!$N$1:$AA$20,$AC23,FALSE)=0,"",VLOOKUP(G$1,Lecturas!$N$1:$AA$20,$AC23,FALSE))</f>
        <v>150</v>
      </c>
      <c r="H23" s="163">
        <f>+IF(VLOOKUP(H$1,Lecturas!$N$1:$AA$20,$AC23,FALSE)=0,"",VLOOKUP(H$1,Lecturas!$N$1:$AA$20,$AC23,FALSE))</f>
        <v>150</v>
      </c>
      <c r="I23" s="163">
        <f>+IF(VLOOKUP(I$1,Lecturas!$N$1:$AA$20,$AC23,FALSE)=0,"",VLOOKUP(I$1,Lecturas!$N$1:$AA$20,$AC23,FALSE))</f>
        <v>150</v>
      </c>
      <c r="J23" s="156" t="str">
        <f>+IF(VLOOKUP(J$1,Lecturas!$N$1:$AA$20,$AC23,FALSE)=0,"",VLOOKUP(J$1,Lecturas!$N$1:$AA$20,$AC23,FALSE))</f>
        <v/>
      </c>
      <c r="K23" s="156" t="str">
        <f>+IF(VLOOKUP(K$1,Lecturas!$N$1:$AA$20,$AC23,FALSE)=0,"",VLOOKUP(K$1,Lecturas!$N$1:$AA$20,$AC23,FALSE))</f>
        <v/>
      </c>
      <c r="L23" s="156" t="str">
        <f>+IF(VLOOKUP(L$1,Lecturas!$N$1:$AA$20,$AC23,FALSE)=0,"",VLOOKUP(L$1,Lecturas!$N$1:$AA$20,$AC23,FALSE))</f>
        <v/>
      </c>
      <c r="M23" s="163">
        <f>+IF(VLOOKUP(M$1,Lecturas!$N$1:$AA$20,$AC23,FALSE)=0,"",VLOOKUP(M$1,Lecturas!$N$1:$AA$20,$AC23,FALSE))</f>
        <v>2500</v>
      </c>
      <c r="N23" s="163">
        <f>+IF(VLOOKUP(N$1,Lecturas!$N$1:$AA$20,$AC23,FALSE)=0,"",VLOOKUP(N$1,Lecturas!$N$1:$AA$20,$AC23,FALSE))</f>
        <v>2000</v>
      </c>
      <c r="O23" s="163">
        <f>+IF(VLOOKUP(O$1,Lecturas!$N$1:$AA$20,$AC23,FALSE)=0,"",VLOOKUP(O$1,Lecturas!$N$1:$AA$20,$AC23,FALSE))</f>
        <v>3000</v>
      </c>
      <c r="P23" s="156" t="str">
        <f>+IF(VLOOKUP(P$1,Lecturas!$N$1:$AA$20,$AC23,FALSE)=0,"",VLOOKUP(P$1,Lecturas!$N$1:$AA$20,$AC23,FALSE))</f>
        <v/>
      </c>
      <c r="Q23" s="156" t="str">
        <f>+IF(VLOOKUP(Q$1,Lecturas!$N$1:$AA$20,$AC23,FALSE)=0,"",VLOOKUP(Q$1,Lecturas!$N$1:$AA$20,$AC23,FALSE))</f>
        <v/>
      </c>
      <c r="R23" s="156" t="str">
        <f>+IF(VLOOKUP(R$1,Lecturas!$N$1:$AA$20,$AC23,FALSE)=0,"",VLOOKUP(R$1,Lecturas!$N$1:$AA$20,$AC23,FALSE))</f>
        <v/>
      </c>
      <c r="S23" s="163" t="str">
        <f>+IF(VLOOKUP(S$1,Lecturas!$N$1:$AA$20,$AC23,FALSE)=0,"",VLOOKUP(S$1,Lecturas!$N$1:$AA$20,$AC23,FALSE))</f>
        <v/>
      </c>
      <c r="T23" s="163" t="str">
        <f>+IF(VLOOKUP(T$1,Lecturas!$N$1:$AA$20,$AC23,FALSE)=0,"",VLOOKUP(T$1,Lecturas!$N$1:$AA$20,$AC23,FALSE))</f>
        <v/>
      </c>
      <c r="U23" s="163" t="str">
        <f>+IF(VLOOKUP(U$1,Lecturas!$N$1:$AA$20,$AC23,FALSE)=0,"",VLOOKUP(U$1,Lecturas!$N$1:$AA$20,$AC23,FALSE))</f>
        <v/>
      </c>
      <c r="V23" s="156" t="str">
        <f>+IF(VLOOKUP(V$1,Lecturas!$N$1:$AA$20,$AC23,FALSE)=0,"",VLOOKUP(V$1,Lecturas!$N$1:$AA$20,$AC23,FALSE))</f>
        <v/>
      </c>
      <c r="W23" s="156" t="str">
        <f>+IF(VLOOKUP(W$1,Lecturas!$N$1:$AA$20,$AC23,FALSE)=0,"",VLOOKUP(W$1,Lecturas!$N$1:$AA$20,$AC23,FALSE))</f>
        <v/>
      </c>
      <c r="X23" s="156" t="str">
        <f>+IF(VLOOKUP(X$1,Lecturas!$N$1:$AA$20,$AC23,FALSE)=0,"",VLOOKUP(X$1,Lecturas!$N$1:$AA$20,$AC23,FALSE))</f>
        <v/>
      </c>
      <c r="Y23" s="163">
        <f>+IF(VLOOKUP(Y$1,Lecturas!$N$1:$AA$20,$AC23,FALSE)=0,"",VLOOKUP(Y$1,Lecturas!$N$1:$AA$20,$AC23,FALSE))</f>
        <v>5000</v>
      </c>
      <c r="Z23" s="48"/>
      <c r="AA23" s="48"/>
      <c r="AB23" s="48"/>
      <c r="AC23" s="148">
        <f>+'CARGA DE DATOS'!AF24</f>
        <v>2</v>
      </c>
    </row>
    <row r="24" spans="1:29" x14ac:dyDescent="0.25">
      <c r="A24" s="148">
        <f>+'CARGA DE DATOS'!A25</f>
        <v>23</v>
      </c>
      <c r="B24" s="48" t="str">
        <f>+IF(RESULTADOS!H24="","",RESULTADOS!H24)</f>
        <v/>
      </c>
      <c r="C24" s="48" t="str">
        <f>+IF(RESULTADOS!D24="","",RESULTADOS!D24)</f>
        <v/>
      </c>
      <c r="D24" s="160" t="str">
        <f>+IF('CARGA DE DATOS'!K25="Cooperativa","COOP",IF(Salida!AT25="true","PROSU","GD"))</f>
        <v>GD</v>
      </c>
      <c r="E24" s="160" t="s">
        <v>9147</v>
      </c>
      <c r="F24" s="160" t="str">
        <f>+IF(OR(D24="COOP",'CARGA DE DATOS'!K25="GUMA"),"15.02.2022",IF('CARGA DE DATOS'!K25="GUME","05.02.2022","10.02.2022"))</f>
        <v>10.02.2022</v>
      </c>
      <c r="G24" s="163">
        <f>+IF(VLOOKUP(G$1,Lecturas!$N$1:$AA$20,$AC24,FALSE)=0,"",VLOOKUP(G$1,Lecturas!$N$1:$AA$20,$AC24,FALSE))</f>
        <v>150</v>
      </c>
      <c r="H24" s="163">
        <f>+IF(VLOOKUP(H$1,Lecturas!$N$1:$AA$20,$AC24,FALSE)=0,"",VLOOKUP(H$1,Lecturas!$N$1:$AA$20,$AC24,FALSE))</f>
        <v>300</v>
      </c>
      <c r="I24" s="163">
        <f>+IF(VLOOKUP(I$1,Lecturas!$N$1:$AA$20,$AC24,FALSE)=0,"",VLOOKUP(I$1,Lecturas!$N$1:$AA$20,$AC24,FALSE))</f>
        <v>150</v>
      </c>
      <c r="J24" s="156" t="str">
        <f>+IF(VLOOKUP(J$1,Lecturas!$N$1:$AA$20,$AC24,FALSE)=0,"",VLOOKUP(J$1,Lecturas!$N$1:$AA$20,$AC24,FALSE))</f>
        <v/>
      </c>
      <c r="K24" s="156" t="str">
        <f>+IF(VLOOKUP(K$1,Lecturas!$N$1:$AA$20,$AC24,FALSE)=0,"",VLOOKUP(K$1,Lecturas!$N$1:$AA$20,$AC24,FALSE))</f>
        <v/>
      </c>
      <c r="L24" s="156" t="str">
        <f>+IF(VLOOKUP(L$1,Lecturas!$N$1:$AA$20,$AC24,FALSE)=0,"",VLOOKUP(L$1,Lecturas!$N$1:$AA$20,$AC24,FALSE))</f>
        <v/>
      </c>
      <c r="M24" s="163">
        <f>+IF(VLOOKUP(M$1,Lecturas!$N$1:$AA$20,$AC24,FALSE)=0,"",VLOOKUP(M$1,Lecturas!$N$1:$AA$20,$AC24,FALSE))</f>
        <v>2500</v>
      </c>
      <c r="N24" s="163">
        <f>+IF(VLOOKUP(N$1,Lecturas!$N$1:$AA$20,$AC24,FALSE)=0,"",VLOOKUP(N$1,Lecturas!$N$1:$AA$20,$AC24,FALSE))</f>
        <v>2000</v>
      </c>
      <c r="O24" s="163">
        <f>+IF(VLOOKUP(O$1,Lecturas!$N$1:$AA$20,$AC24,FALSE)=0,"",VLOOKUP(O$1,Lecturas!$N$1:$AA$20,$AC24,FALSE))</f>
        <v>3000</v>
      </c>
      <c r="P24" s="156" t="str">
        <f>+IF(VLOOKUP(P$1,Lecturas!$N$1:$AA$20,$AC24,FALSE)=0,"",VLOOKUP(P$1,Lecturas!$N$1:$AA$20,$AC24,FALSE))</f>
        <v/>
      </c>
      <c r="Q24" s="156" t="str">
        <f>+IF(VLOOKUP(Q$1,Lecturas!$N$1:$AA$20,$AC24,FALSE)=0,"",VLOOKUP(Q$1,Lecturas!$N$1:$AA$20,$AC24,FALSE))</f>
        <v/>
      </c>
      <c r="R24" s="156" t="str">
        <f>+IF(VLOOKUP(R$1,Lecturas!$N$1:$AA$20,$AC24,FALSE)=0,"",VLOOKUP(R$1,Lecturas!$N$1:$AA$20,$AC24,FALSE))</f>
        <v/>
      </c>
      <c r="S24" s="163" t="str">
        <f>+IF(VLOOKUP(S$1,Lecturas!$N$1:$AA$20,$AC24,FALSE)=0,"",VLOOKUP(S$1,Lecturas!$N$1:$AA$20,$AC24,FALSE))</f>
        <v/>
      </c>
      <c r="T24" s="163" t="str">
        <f>+IF(VLOOKUP(T$1,Lecturas!$N$1:$AA$20,$AC24,FALSE)=0,"",VLOOKUP(T$1,Lecturas!$N$1:$AA$20,$AC24,FALSE))</f>
        <v/>
      </c>
      <c r="U24" s="163" t="str">
        <f>+IF(VLOOKUP(U$1,Lecturas!$N$1:$AA$20,$AC24,FALSE)=0,"",VLOOKUP(U$1,Lecturas!$N$1:$AA$20,$AC24,FALSE))</f>
        <v/>
      </c>
      <c r="V24" s="156" t="str">
        <f>+IF(VLOOKUP(V$1,Lecturas!$N$1:$AA$20,$AC24,FALSE)=0,"",VLOOKUP(V$1,Lecturas!$N$1:$AA$20,$AC24,FALSE))</f>
        <v/>
      </c>
      <c r="W24" s="156" t="str">
        <f>+IF(VLOOKUP(W$1,Lecturas!$N$1:$AA$20,$AC24,FALSE)=0,"",VLOOKUP(W$1,Lecturas!$N$1:$AA$20,$AC24,FALSE))</f>
        <v/>
      </c>
      <c r="X24" s="156" t="str">
        <f>+IF(VLOOKUP(X$1,Lecturas!$N$1:$AA$20,$AC24,FALSE)=0,"",VLOOKUP(X$1,Lecturas!$N$1:$AA$20,$AC24,FALSE))</f>
        <v/>
      </c>
      <c r="Y24" s="163">
        <f>+IF(VLOOKUP(Y$1,Lecturas!$N$1:$AA$20,$AC24,FALSE)=0,"",VLOOKUP(Y$1,Lecturas!$N$1:$AA$20,$AC24,FALSE))</f>
        <v>5000</v>
      </c>
      <c r="Z24" s="48"/>
      <c r="AA24" s="48"/>
      <c r="AB24" s="48"/>
      <c r="AC24" s="148">
        <f>+'CARGA DE DATOS'!AF25</f>
        <v>3</v>
      </c>
    </row>
    <row r="25" spans="1:29" x14ac:dyDescent="0.25">
      <c r="A25" s="148">
        <f>+'CARGA DE DATOS'!A26</f>
        <v>24</v>
      </c>
      <c r="B25" s="48" t="str">
        <f>+IF(RESULTADOS!H25="","",RESULTADOS!H25)</f>
        <v/>
      </c>
      <c r="C25" s="48" t="str">
        <f>+IF(RESULTADOS!D25="","",RESULTADOS!D25)</f>
        <v/>
      </c>
      <c r="D25" s="160" t="str">
        <f>+IF('CARGA DE DATOS'!K26="Cooperativa","COOP",IF(Salida!AT26="true","PROSU","GD"))</f>
        <v>GD</v>
      </c>
      <c r="E25" s="160" t="s">
        <v>9147</v>
      </c>
      <c r="F25" s="160" t="str">
        <f>+IF(OR(D25="COOP",'CARGA DE DATOS'!K26="GUMA"),"15.02.2022",IF('CARGA DE DATOS'!K26="GUME","05.02.2022","10.02.2022"))</f>
        <v>10.02.2022</v>
      </c>
      <c r="G25" s="163">
        <f>+IF(VLOOKUP(G$1,Lecturas!$N$1:$AA$20,$AC25,FALSE)=0,"",VLOOKUP(G$1,Lecturas!$N$1:$AA$20,$AC25,FALSE))</f>
        <v>150</v>
      </c>
      <c r="H25" s="163">
        <f>+IF(VLOOKUP(H$1,Lecturas!$N$1:$AA$20,$AC25,FALSE)=0,"",VLOOKUP(H$1,Lecturas!$N$1:$AA$20,$AC25,FALSE))</f>
        <v>150</v>
      </c>
      <c r="I25" s="163">
        <f>+IF(VLOOKUP(I$1,Lecturas!$N$1:$AA$20,$AC25,FALSE)=0,"",VLOOKUP(I$1,Lecturas!$N$1:$AA$20,$AC25,FALSE))</f>
        <v>150</v>
      </c>
      <c r="J25" s="156" t="str">
        <f>+IF(VLOOKUP(J$1,Lecturas!$N$1:$AA$20,$AC25,FALSE)=0,"",VLOOKUP(J$1,Lecturas!$N$1:$AA$20,$AC25,FALSE))</f>
        <v/>
      </c>
      <c r="K25" s="156" t="str">
        <f>+IF(VLOOKUP(K$1,Lecturas!$N$1:$AA$20,$AC25,FALSE)=0,"",VLOOKUP(K$1,Lecturas!$N$1:$AA$20,$AC25,FALSE))</f>
        <v/>
      </c>
      <c r="L25" s="156" t="str">
        <f>+IF(VLOOKUP(L$1,Lecturas!$N$1:$AA$20,$AC25,FALSE)=0,"",VLOOKUP(L$1,Lecturas!$N$1:$AA$20,$AC25,FALSE))</f>
        <v/>
      </c>
      <c r="M25" s="163">
        <f>+IF(VLOOKUP(M$1,Lecturas!$N$1:$AA$20,$AC25,FALSE)=0,"",VLOOKUP(M$1,Lecturas!$N$1:$AA$20,$AC25,FALSE))</f>
        <v>2500</v>
      </c>
      <c r="N25" s="163">
        <f>+IF(VLOOKUP(N$1,Lecturas!$N$1:$AA$20,$AC25,FALSE)=0,"",VLOOKUP(N$1,Lecturas!$N$1:$AA$20,$AC25,FALSE))</f>
        <v>2000</v>
      </c>
      <c r="O25" s="163">
        <f>+IF(VLOOKUP(O$1,Lecturas!$N$1:$AA$20,$AC25,FALSE)=0,"",VLOOKUP(O$1,Lecturas!$N$1:$AA$20,$AC25,FALSE))</f>
        <v>3000</v>
      </c>
      <c r="P25" s="156" t="str">
        <f>+IF(VLOOKUP(P$1,Lecturas!$N$1:$AA$20,$AC25,FALSE)=0,"",VLOOKUP(P$1,Lecturas!$N$1:$AA$20,$AC25,FALSE))</f>
        <v/>
      </c>
      <c r="Q25" s="156" t="str">
        <f>+IF(VLOOKUP(Q$1,Lecturas!$N$1:$AA$20,$AC25,FALSE)=0,"",VLOOKUP(Q$1,Lecturas!$N$1:$AA$20,$AC25,FALSE))</f>
        <v/>
      </c>
      <c r="R25" s="156" t="str">
        <f>+IF(VLOOKUP(R$1,Lecturas!$N$1:$AA$20,$AC25,FALSE)=0,"",VLOOKUP(R$1,Lecturas!$N$1:$AA$20,$AC25,FALSE))</f>
        <v/>
      </c>
      <c r="S25" s="163" t="str">
        <f>+IF(VLOOKUP(S$1,Lecturas!$N$1:$AA$20,$AC25,FALSE)=0,"",VLOOKUP(S$1,Lecturas!$N$1:$AA$20,$AC25,FALSE))</f>
        <v/>
      </c>
      <c r="T25" s="163" t="str">
        <f>+IF(VLOOKUP(T$1,Lecturas!$N$1:$AA$20,$AC25,FALSE)=0,"",VLOOKUP(T$1,Lecturas!$N$1:$AA$20,$AC25,FALSE))</f>
        <v/>
      </c>
      <c r="U25" s="163" t="str">
        <f>+IF(VLOOKUP(U$1,Lecturas!$N$1:$AA$20,$AC25,FALSE)=0,"",VLOOKUP(U$1,Lecturas!$N$1:$AA$20,$AC25,FALSE))</f>
        <v/>
      </c>
      <c r="V25" s="156" t="str">
        <f>+IF(VLOOKUP(V$1,Lecturas!$N$1:$AA$20,$AC25,FALSE)=0,"",VLOOKUP(V$1,Lecturas!$N$1:$AA$20,$AC25,FALSE))</f>
        <v/>
      </c>
      <c r="W25" s="156" t="str">
        <f>+IF(VLOOKUP(W$1,Lecturas!$N$1:$AA$20,$AC25,FALSE)=0,"",VLOOKUP(W$1,Lecturas!$N$1:$AA$20,$AC25,FALSE))</f>
        <v/>
      </c>
      <c r="X25" s="156" t="str">
        <f>+IF(VLOOKUP(X$1,Lecturas!$N$1:$AA$20,$AC25,FALSE)=0,"",VLOOKUP(X$1,Lecturas!$N$1:$AA$20,$AC25,FALSE))</f>
        <v/>
      </c>
      <c r="Y25" s="163">
        <f>+IF(VLOOKUP(Y$1,Lecturas!$N$1:$AA$20,$AC25,FALSE)=0,"",VLOOKUP(Y$1,Lecturas!$N$1:$AA$20,$AC25,FALSE))</f>
        <v>15000</v>
      </c>
      <c r="Z25" s="48"/>
      <c r="AA25" s="48"/>
      <c r="AB25" s="48"/>
      <c r="AC25" s="148">
        <f>+'CARGA DE DATOS'!AF26</f>
        <v>4</v>
      </c>
    </row>
    <row r="26" spans="1:29" x14ac:dyDescent="0.25">
      <c r="A26" s="148">
        <f>+'CARGA DE DATOS'!A27</f>
        <v>25</v>
      </c>
      <c r="B26" s="48" t="str">
        <f>+IF(RESULTADOS!H26="","",RESULTADOS!H26)</f>
        <v/>
      </c>
      <c r="C26" s="48" t="str">
        <f>+IF(RESULTADOS!D26="","",RESULTADOS!D26)</f>
        <v/>
      </c>
      <c r="D26" s="160" t="str">
        <f>+IF('CARGA DE DATOS'!K27="Cooperativa","COOP",IF(Salida!AT27="true","PROSU","GD"))</f>
        <v>GD</v>
      </c>
      <c r="E26" s="160" t="s">
        <v>9147</v>
      </c>
      <c r="F26" s="160" t="str">
        <f>+IF(OR(D26="COOP",'CARGA DE DATOS'!K27="GUMA"),"15.02.2022",IF('CARGA DE DATOS'!K27="GUME","05.02.2022","10.02.2022"))</f>
        <v>10.02.2022</v>
      </c>
      <c r="G26" s="163">
        <f>+IF(VLOOKUP(G$1,Lecturas!$N$1:$AA$20,$AC26,FALSE)=0,"",VLOOKUP(G$1,Lecturas!$N$1:$AA$20,$AC26,FALSE))</f>
        <v>150</v>
      </c>
      <c r="H26" s="163">
        <f>+IF(VLOOKUP(H$1,Lecturas!$N$1:$AA$20,$AC26,FALSE)=0,"",VLOOKUP(H$1,Lecturas!$N$1:$AA$20,$AC26,FALSE))</f>
        <v>300</v>
      </c>
      <c r="I26" s="163">
        <f>+IF(VLOOKUP(I$1,Lecturas!$N$1:$AA$20,$AC26,FALSE)=0,"",VLOOKUP(I$1,Lecturas!$N$1:$AA$20,$AC26,FALSE))</f>
        <v>350</v>
      </c>
      <c r="J26" s="156" t="str">
        <f>+IF(VLOOKUP(J$1,Lecturas!$N$1:$AA$20,$AC26,FALSE)=0,"",VLOOKUP(J$1,Lecturas!$N$1:$AA$20,$AC26,FALSE))</f>
        <v/>
      </c>
      <c r="K26" s="156" t="str">
        <f>+IF(VLOOKUP(K$1,Lecturas!$N$1:$AA$20,$AC26,FALSE)=0,"",VLOOKUP(K$1,Lecturas!$N$1:$AA$20,$AC26,FALSE))</f>
        <v/>
      </c>
      <c r="L26" s="156" t="str">
        <f>+IF(VLOOKUP(L$1,Lecturas!$N$1:$AA$20,$AC26,FALSE)=0,"",VLOOKUP(L$1,Lecturas!$N$1:$AA$20,$AC26,FALSE))</f>
        <v/>
      </c>
      <c r="M26" s="163">
        <f>+IF(VLOOKUP(M$1,Lecturas!$N$1:$AA$20,$AC26,FALSE)=0,"",VLOOKUP(M$1,Lecturas!$N$1:$AA$20,$AC26,FALSE))</f>
        <v>2500</v>
      </c>
      <c r="N26" s="163">
        <f>+IF(VLOOKUP(N$1,Lecturas!$N$1:$AA$20,$AC26,FALSE)=0,"",VLOOKUP(N$1,Lecturas!$N$1:$AA$20,$AC26,FALSE))</f>
        <v>2000</v>
      </c>
      <c r="O26" s="163">
        <f>+IF(VLOOKUP(O$1,Lecturas!$N$1:$AA$20,$AC26,FALSE)=0,"",VLOOKUP(O$1,Lecturas!$N$1:$AA$20,$AC26,FALSE))</f>
        <v>3000</v>
      </c>
      <c r="P26" s="156" t="str">
        <f>+IF(VLOOKUP(P$1,Lecturas!$N$1:$AA$20,$AC26,FALSE)=0,"",VLOOKUP(P$1,Lecturas!$N$1:$AA$20,$AC26,FALSE))</f>
        <v/>
      </c>
      <c r="Q26" s="156" t="str">
        <f>+IF(VLOOKUP(Q$1,Lecturas!$N$1:$AA$20,$AC26,FALSE)=0,"",VLOOKUP(Q$1,Lecturas!$N$1:$AA$20,$AC26,FALSE))</f>
        <v/>
      </c>
      <c r="R26" s="156" t="str">
        <f>+IF(VLOOKUP(R$1,Lecturas!$N$1:$AA$20,$AC26,FALSE)=0,"",VLOOKUP(R$1,Lecturas!$N$1:$AA$20,$AC26,FALSE))</f>
        <v/>
      </c>
      <c r="S26" s="163" t="str">
        <f>+IF(VLOOKUP(S$1,Lecturas!$N$1:$AA$20,$AC26,FALSE)=0,"",VLOOKUP(S$1,Lecturas!$N$1:$AA$20,$AC26,FALSE))</f>
        <v/>
      </c>
      <c r="T26" s="163" t="str">
        <f>+IF(VLOOKUP(T$1,Lecturas!$N$1:$AA$20,$AC26,FALSE)=0,"",VLOOKUP(T$1,Lecturas!$N$1:$AA$20,$AC26,FALSE))</f>
        <v/>
      </c>
      <c r="U26" s="163" t="str">
        <f>+IF(VLOOKUP(U$1,Lecturas!$N$1:$AA$20,$AC26,FALSE)=0,"",VLOOKUP(U$1,Lecturas!$N$1:$AA$20,$AC26,FALSE))</f>
        <v/>
      </c>
      <c r="V26" s="156" t="str">
        <f>+IF(VLOOKUP(V$1,Lecturas!$N$1:$AA$20,$AC26,FALSE)=0,"",VLOOKUP(V$1,Lecturas!$N$1:$AA$20,$AC26,FALSE))</f>
        <v/>
      </c>
      <c r="W26" s="156" t="str">
        <f>+IF(VLOOKUP(W$1,Lecturas!$N$1:$AA$20,$AC26,FALSE)=0,"",VLOOKUP(W$1,Lecturas!$N$1:$AA$20,$AC26,FALSE))</f>
        <v/>
      </c>
      <c r="X26" s="156" t="str">
        <f>+IF(VLOOKUP(X$1,Lecturas!$N$1:$AA$20,$AC26,FALSE)=0,"",VLOOKUP(X$1,Lecturas!$N$1:$AA$20,$AC26,FALSE))</f>
        <v/>
      </c>
      <c r="Y26" s="163">
        <f>+IF(VLOOKUP(Y$1,Lecturas!$N$1:$AA$20,$AC26,FALSE)=0,"",VLOOKUP(Y$1,Lecturas!$N$1:$AA$20,$AC26,FALSE))</f>
        <v>2460</v>
      </c>
      <c r="Z26" s="48"/>
      <c r="AA26" s="48"/>
      <c r="AB26" s="48"/>
      <c r="AC26" s="148">
        <f>+'CARGA DE DATOS'!AF27</f>
        <v>5</v>
      </c>
    </row>
    <row r="27" spans="1:29" x14ac:dyDescent="0.25">
      <c r="A27" s="148">
        <f>+'CARGA DE DATOS'!A28</f>
        <v>26</v>
      </c>
      <c r="B27" s="48" t="str">
        <f>+IF(RESULTADOS!H27="","",RESULTADOS!H27)</f>
        <v/>
      </c>
      <c r="C27" s="48" t="str">
        <f>+IF(RESULTADOS!D27="","",RESULTADOS!D27)</f>
        <v/>
      </c>
      <c r="D27" s="160" t="str">
        <f>+IF('CARGA DE DATOS'!K28="Cooperativa","COOP",IF(Salida!AT28="true","PROSU","GD"))</f>
        <v>GD</v>
      </c>
      <c r="E27" s="160" t="s">
        <v>9147</v>
      </c>
      <c r="F27" s="160" t="str">
        <f>+IF(OR(D27="COOP",'CARGA DE DATOS'!K28="GUMA"),"15.02.2022",IF('CARGA DE DATOS'!K28="GUME","05.02.2022","10.02.2022"))</f>
        <v>10.02.2022</v>
      </c>
      <c r="G27" s="163">
        <f>+IF(VLOOKUP(G$1,Lecturas!$N$1:$AA$20,$AC27,FALSE)=0,"",VLOOKUP(G$1,Lecturas!$N$1:$AA$20,$AC27,FALSE))</f>
        <v>150</v>
      </c>
      <c r="H27" s="163">
        <f>+IF(VLOOKUP(H$1,Lecturas!$N$1:$AA$20,$AC27,FALSE)=0,"",VLOOKUP(H$1,Lecturas!$N$1:$AA$20,$AC27,FALSE))</f>
        <v>150</v>
      </c>
      <c r="I27" s="163">
        <f>+IF(VLOOKUP(I$1,Lecturas!$N$1:$AA$20,$AC27,FALSE)=0,"",VLOOKUP(I$1,Lecturas!$N$1:$AA$20,$AC27,FALSE))</f>
        <v>150</v>
      </c>
      <c r="J27" s="156" t="str">
        <f>+IF(VLOOKUP(J$1,Lecturas!$N$1:$AA$20,$AC27,FALSE)=0,"",VLOOKUP(J$1,Lecturas!$N$1:$AA$20,$AC27,FALSE))</f>
        <v/>
      </c>
      <c r="K27" s="156" t="str">
        <f>+IF(VLOOKUP(K$1,Lecturas!$N$1:$AA$20,$AC27,FALSE)=0,"",VLOOKUP(K$1,Lecturas!$N$1:$AA$20,$AC27,FALSE))</f>
        <v/>
      </c>
      <c r="L27" s="156" t="str">
        <f>+IF(VLOOKUP(L$1,Lecturas!$N$1:$AA$20,$AC27,FALSE)=0,"",VLOOKUP(L$1,Lecturas!$N$1:$AA$20,$AC27,FALSE))</f>
        <v/>
      </c>
      <c r="M27" s="163">
        <f>+IF(VLOOKUP(M$1,Lecturas!$N$1:$AA$20,$AC27,FALSE)=0,"",VLOOKUP(M$1,Lecturas!$N$1:$AA$20,$AC27,FALSE))</f>
        <v>2500</v>
      </c>
      <c r="N27" s="163">
        <f>+IF(VLOOKUP(N$1,Lecturas!$N$1:$AA$20,$AC27,FALSE)=0,"",VLOOKUP(N$1,Lecturas!$N$1:$AA$20,$AC27,FALSE))</f>
        <v>2000</v>
      </c>
      <c r="O27" s="163">
        <f>+IF(VLOOKUP(O$1,Lecturas!$N$1:$AA$20,$AC27,FALSE)=0,"",VLOOKUP(O$1,Lecturas!$N$1:$AA$20,$AC27,FALSE))</f>
        <v>3000</v>
      </c>
      <c r="P27" s="156" t="str">
        <f>+IF(VLOOKUP(P$1,Lecturas!$N$1:$AA$20,$AC27,FALSE)=0,"",VLOOKUP(P$1,Lecturas!$N$1:$AA$20,$AC27,FALSE))</f>
        <v/>
      </c>
      <c r="Q27" s="156" t="str">
        <f>+IF(VLOOKUP(Q$1,Lecturas!$N$1:$AA$20,$AC27,FALSE)=0,"",VLOOKUP(Q$1,Lecturas!$N$1:$AA$20,$AC27,FALSE))</f>
        <v/>
      </c>
      <c r="R27" s="156" t="str">
        <f>+IF(VLOOKUP(R$1,Lecturas!$N$1:$AA$20,$AC27,FALSE)=0,"",VLOOKUP(R$1,Lecturas!$N$1:$AA$20,$AC27,FALSE))</f>
        <v/>
      </c>
      <c r="S27" s="163" t="str">
        <f>+IF(VLOOKUP(S$1,Lecturas!$N$1:$AA$20,$AC27,FALSE)=0,"",VLOOKUP(S$1,Lecturas!$N$1:$AA$20,$AC27,FALSE))</f>
        <v/>
      </c>
      <c r="T27" s="163" t="str">
        <f>+IF(VLOOKUP(T$1,Lecturas!$N$1:$AA$20,$AC27,FALSE)=0,"",VLOOKUP(T$1,Lecturas!$N$1:$AA$20,$AC27,FALSE))</f>
        <v/>
      </c>
      <c r="U27" s="163" t="str">
        <f>+IF(VLOOKUP(U$1,Lecturas!$N$1:$AA$20,$AC27,FALSE)=0,"",VLOOKUP(U$1,Lecturas!$N$1:$AA$20,$AC27,FALSE))</f>
        <v/>
      </c>
      <c r="V27" s="156" t="str">
        <f>+IF(VLOOKUP(V$1,Lecturas!$N$1:$AA$20,$AC27,FALSE)=0,"",VLOOKUP(V$1,Lecturas!$N$1:$AA$20,$AC27,FALSE))</f>
        <v/>
      </c>
      <c r="W27" s="156" t="str">
        <f>+IF(VLOOKUP(W$1,Lecturas!$N$1:$AA$20,$AC27,FALSE)=0,"",VLOOKUP(W$1,Lecturas!$N$1:$AA$20,$AC27,FALSE))</f>
        <v/>
      </c>
      <c r="X27" s="156" t="str">
        <f>+IF(VLOOKUP(X$1,Lecturas!$N$1:$AA$20,$AC27,FALSE)=0,"",VLOOKUP(X$1,Lecturas!$N$1:$AA$20,$AC27,FALSE))</f>
        <v/>
      </c>
      <c r="Y27" s="163">
        <f>+IF(VLOOKUP(Y$1,Lecturas!$N$1:$AA$20,$AC27,FALSE)=0,"",VLOOKUP(Y$1,Lecturas!$N$1:$AA$20,$AC27,FALSE))</f>
        <v>5000</v>
      </c>
      <c r="Z27" s="48"/>
      <c r="AA27" s="48"/>
      <c r="AB27" s="48"/>
      <c r="AC27" s="148">
        <f>+'CARGA DE DATOS'!AF28</f>
        <v>2</v>
      </c>
    </row>
    <row r="28" spans="1:29" x14ac:dyDescent="0.25">
      <c r="A28" s="148">
        <f>+'CARGA DE DATOS'!A29</f>
        <v>27</v>
      </c>
      <c r="B28" s="48" t="str">
        <f>+IF(RESULTADOS!H28="","",RESULTADOS!H28)</f>
        <v/>
      </c>
      <c r="C28" s="48" t="str">
        <f>+IF(RESULTADOS!D28="","",RESULTADOS!D28)</f>
        <v/>
      </c>
      <c r="D28" s="160" t="str">
        <f>+IF('CARGA DE DATOS'!K29="Cooperativa","COOP",IF(Salida!AT29="true","PROSU","GD"))</f>
        <v>GD</v>
      </c>
      <c r="E28" s="160" t="s">
        <v>9147</v>
      </c>
      <c r="F28" s="160" t="str">
        <f>+IF(OR(D28="COOP",'CARGA DE DATOS'!K29="GUMA"),"15.02.2022",IF('CARGA DE DATOS'!K29="GUME","05.02.2022","10.02.2022"))</f>
        <v>10.02.2022</v>
      </c>
      <c r="G28" s="163">
        <f>+IF(VLOOKUP(G$1,Lecturas!$N$1:$AA$20,$AC28,FALSE)=0,"",VLOOKUP(G$1,Lecturas!$N$1:$AA$20,$AC28,FALSE))</f>
        <v>150</v>
      </c>
      <c r="H28" s="163">
        <f>+IF(VLOOKUP(H$1,Lecturas!$N$1:$AA$20,$AC28,FALSE)=0,"",VLOOKUP(H$1,Lecturas!$N$1:$AA$20,$AC28,FALSE))</f>
        <v>300</v>
      </c>
      <c r="I28" s="163">
        <f>+IF(VLOOKUP(I$1,Lecturas!$N$1:$AA$20,$AC28,FALSE)=0,"",VLOOKUP(I$1,Lecturas!$N$1:$AA$20,$AC28,FALSE))</f>
        <v>350</v>
      </c>
      <c r="J28" s="156" t="str">
        <f>+IF(VLOOKUP(J$1,Lecturas!$N$1:$AA$20,$AC28,FALSE)=0,"",VLOOKUP(J$1,Lecturas!$N$1:$AA$20,$AC28,FALSE))</f>
        <v/>
      </c>
      <c r="K28" s="156" t="str">
        <f>+IF(VLOOKUP(K$1,Lecturas!$N$1:$AA$20,$AC28,FALSE)=0,"",VLOOKUP(K$1,Lecturas!$N$1:$AA$20,$AC28,FALSE))</f>
        <v/>
      </c>
      <c r="L28" s="156" t="str">
        <f>+IF(VLOOKUP(L$1,Lecturas!$N$1:$AA$20,$AC28,FALSE)=0,"",VLOOKUP(L$1,Lecturas!$N$1:$AA$20,$AC28,FALSE))</f>
        <v/>
      </c>
      <c r="M28" s="163">
        <f>+IF(VLOOKUP(M$1,Lecturas!$N$1:$AA$20,$AC28,FALSE)=0,"",VLOOKUP(M$1,Lecturas!$N$1:$AA$20,$AC28,FALSE))</f>
        <v>2500</v>
      </c>
      <c r="N28" s="163">
        <f>+IF(VLOOKUP(N$1,Lecturas!$N$1:$AA$20,$AC28,FALSE)=0,"",VLOOKUP(N$1,Lecturas!$N$1:$AA$20,$AC28,FALSE))</f>
        <v>2000</v>
      </c>
      <c r="O28" s="163">
        <f>+IF(VLOOKUP(O$1,Lecturas!$N$1:$AA$20,$AC28,FALSE)=0,"",VLOOKUP(O$1,Lecturas!$N$1:$AA$20,$AC28,FALSE))</f>
        <v>3000</v>
      </c>
      <c r="P28" s="156" t="str">
        <f>+IF(VLOOKUP(P$1,Lecturas!$N$1:$AA$20,$AC28,FALSE)=0,"",VLOOKUP(P$1,Lecturas!$N$1:$AA$20,$AC28,FALSE))</f>
        <v/>
      </c>
      <c r="Q28" s="156" t="str">
        <f>+IF(VLOOKUP(Q$1,Lecturas!$N$1:$AA$20,$AC28,FALSE)=0,"",VLOOKUP(Q$1,Lecturas!$N$1:$AA$20,$AC28,FALSE))</f>
        <v/>
      </c>
      <c r="R28" s="156" t="str">
        <f>+IF(VLOOKUP(R$1,Lecturas!$N$1:$AA$20,$AC28,FALSE)=0,"",VLOOKUP(R$1,Lecturas!$N$1:$AA$20,$AC28,FALSE))</f>
        <v/>
      </c>
      <c r="S28" s="163" t="str">
        <f>+IF(VLOOKUP(S$1,Lecturas!$N$1:$AA$20,$AC28,FALSE)=0,"",VLOOKUP(S$1,Lecturas!$N$1:$AA$20,$AC28,FALSE))</f>
        <v/>
      </c>
      <c r="T28" s="163" t="str">
        <f>+IF(VLOOKUP(T$1,Lecturas!$N$1:$AA$20,$AC28,FALSE)=0,"",VLOOKUP(T$1,Lecturas!$N$1:$AA$20,$AC28,FALSE))</f>
        <v/>
      </c>
      <c r="U28" s="163" t="str">
        <f>+IF(VLOOKUP(U$1,Lecturas!$N$1:$AA$20,$AC28,FALSE)=0,"",VLOOKUP(U$1,Lecturas!$N$1:$AA$20,$AC28,FALSE))</f>
        <v/>
      </c>
      <c r="V28" s="156" t="str">
        <f>+IF(VLOOKUP(V$1,Lecturas!$N$1:$AA$20,$AC28,FALSE)=0,"",VLOOKUP(V$1,Lecturas!$N$1:$AA$20,$AC28,FALSE))</f>
        <v/>
      </c>
      <c r="W28" s="156" t="str">
        <f>+IF(VLOOKUP(W$1,Lecturas!$N$1:$AA$20,$AC28,FALSE)=0,"",VLOOKUP(W$1,Lecturas!$N$1:$AA$20,$AC28,FALSE))</f>
        <v/>
      </c>
      <c r="X28" s="156" t="str">
        <f>+IF(VLOOKUP(X$1,Lecturas!$N$1:$AA$20,$AC28,FALSE)=0,"",VLOOKUP(X$1,Lecturas!$N$1:$AA$20,$AC28,FALSE))</f>
        <v/>
      </c>
      <c r="Y28" s="163">
        <f>+IF(VLOOKUP(Y$1,Lecturas!$N$1:$AA$20,$AC28,FALSE)=0,"",VLOOKUP(Y$1,Lecturas!$N$1:$AA$20,$AC28,FALSE))</f>
        <v>2460</v>
      </c>
      <c r="Z28" s="48"/>
      <c r="AA28" s="48"/>
      <c r="AB28" s="48"/>
      <c r="AC28" s="148">
        <f>+'CARGA DE DATOS'!AF29</f>
        <v>5</v>
      </c>
    </row>
    <row r="29" spans="1:29" x14ac:dyDescent="0.25">
      <c r="A29" s="148">
        <f>+'CARGA DE DATOS'!A30</f>
        <v>28</v>
      </c>
      <c r="B29" s="48" t="str">
        <f>+IF(RESULTADOS!H29="","",RESULTADOS!H29)</f>
        <v/>
      </c>
      <c r="C29" s="48" t="str">
        <f>+IF(RESULTADOS!D29="","",RESULTADOS!D29)</f>
        <v/>
      </c>
      <c r="D29" s="160" t="str">
        <f>+IF('CARGA DE DATOS'!K30="Cooperativa","COOP",IF(Salida!AT30="true","PROSU","GD"))</f>
        <v>GD</v>
      </c>
      <c r="E29" s="160" t="s">
        <v>9147</v>
      </c>
      <c r="F29" s="160" t="str">
        <f>+IF(OR(D29="COOP",'CARGA DE DATOS'!K30="GUMA"),"15.02.2022",IF('CARGA DE DATOS'!K30="GUME","05.02.2022","10.02.2022"))</f>
        <v>10.02.2022</v>
      </c>
      <c r="G29" s="163">
        <f>+IF(VLOOKUP(G$1,Lecturas!$N$1:$AA$20,$AC29,FALSE)=0,"",VLOOKUP(G$1,Lecturas!$N$1:$AA$20,$AC29,FALSE))</f>
        <v>1000</v>
      </c>
      <c r="H29" s="163">
        <f>+IF(VLOOKUP(H$1,Lecturas!$N$1:$AA$20,$AC29,FALSE)=0,"",VLOOKUP(H$1,Lecturas!$N$1:$AA$20,$AC29,FALSE))</f>
        <v>150</v>
      </c>
      <c r="I29" s="163">
        <f>+IF(VLOOKUP(I$1,Lecturas!$N$1:$AA$20,$AC29,FALSE)=0,"",VLOOKUP(I$1,Lecturas!$N$1:$AA$20,$AC29,FALSE))</f>
        <v>350</v>
      </c>
      <c r="J29" s="156" t="str">
        <f>+IF(VLOOKUP(J$1,Lecturas!$N$1:$AA$20,$AC29,FALSE)=0,"",VLOOKUP(J$1,Lecturas!$N$1:$AA$20,$AC29,FALSE))</f>
        <v/>
      </c>
      <c r="K29" s="156" t="str">
        <f>+IF(VLOOKUP(K$1,Lecturas!$N$1:$AA$20,$AC29,FALSE)=0,"",VLOOKUP(K$1,Lecturas!$N$1:$AA$20,$AC29,FALSE))</f>
        <v/>
      </c>
      <c r="L29" s="156" t="str">
        <f>+IF(VLOOKUP(L$1,Lecturas!$N$1:$AA$20,$AC29,FALSE)=0,"",VLOOKUP(L$1,Lecturas!$N$1:$AA$20,$AC29,FALSE))</f>
        <v/>
      </c>
      <c r="M29" s="163">
        <f>+IF(VLOOKUP(M$1,Lecturas!$N$1:$AA$20,$AC29,FALSE)=0,"",VLOOKUP(M$1,Lecturas!$N$1:$AA$20,$AC29,FALSE))</f>
        <v>2500</v>
      </c>
      <c r="N29" s="163">
        <f>+IF(VLOOKUP(N$1,Lecturas!$N$1:$AA$20,$AC29,FALSE)=0,"",VLOOKUP(N$1,Lecturas!$N$1:$AA$20,$AC29,FALSE))</f>
        <v>2000</v>
      </c>
      <c r="O29" s="163">
        <f>+IF(VLOOKUP(O$1,Lecturas!$N$1:$AA$20,$AC29,FALSE)=0,"",VLOOKUP(O$1,Lecturas!$N$1:$AA$20,$AC29,FALSE))</f>
        <v>3000</v>
      </c>
      <c r="P29" s="156" t="str">
        <f>+IF(VLOOKUP(P$1,Lecturas!$N$1:$AA$20,$AC29,FALSE)=0,"",VLOOKUP(P$1,Lecturas!$N$1:$AA$20,$AC29,FALSE))</f>
        <v/>
      </c>
      <c r="Q29" s="156" t="str">
        <f>+IF(VLOOKUP(Q$1,Lecturas!$N$1:$AA$20,$AC29,FALSE)=0,"",VLOOKUP(Q$1,Lecturas!$N$1:$AA$20,$AC29,FALSE))</f>
        <v/>
      </c>
      <c r="R29" s="156" t="str">
        <f>+IF(VLOOKUP(R$1,Lecturas!$N$1:$AA$20,$AC29,FALSE)=0,"",VLOOKUP(R$1,Lecturas!$N$1:$AA$20,$AC29,FALSE))</f>
        <v/>
      </c>
      <c r="S29" s="163" t="str">
        <f>+IF(VLOOKUP(S$1,Lecturas!$N$1:$AA$20,$AC29,FALSE)=0,"",VLOOKUP(S$1,Lecturas!$N$1:$AA$20,$AC29,FALSE))</f>
        <v/>
      </c>
      <c r="T29" s="163" t="str">
        <f>+IF(VLOOKUP(T$1,Lecturas!$N$1:$AA$20,$AC29,FALSE)=0,"",VLOOKUP(T$1,Lecturas!$N$1:$AA$20,$AC29,FALSE))</f>
        <v/>
      </c>
      <c r="U29" s="163" t="str">
        <f>+IF(VLOOKUP(U$1,Lecturas!$N$1:$AA$20,$AC29,FALSE)=0,"",VLOOKUP(U$1,Lecturas!$N$1:$AA$20,$AC29,FALSE))</f>
        <v/>
      </c>
      <c r="V29" s="156" t="str">
        <f>+IF(VLOOKUP(V$1,Lecturas!$N$1:$AA$20,$AC29,FALSE)=0,"",VLOOKUP(V$1,Lecturas!$N$1:$AA$20,$AC29,FALSE))</f>
        <v/>
      </c>
      <c r="W29" s="156" t="str">
        <f>+IF(VLOOKUP(W$1,Lecturas!$N$1:$AA$20,$AC29,FALSE)=0,"",VLOOKUP(W$1,Lecturas!$N$1:$AA$20,$AC29,FALSE))</f>
        <v/>
      </c>
      <c r="X29" s="156" t="str">
        <f>+IF(VLOOKUP(X$1,Lecturas!$N$1:$AA$20,$AC29,FALSE)=0,"",VLOOKUP(X$1,Lecturas!$N$1:$AA$20,$AC29,FALSE))</f>
        <v/>
      </c>
      <c r="Y29" s="163">
        <f>+IF(VLOOKUP(Y$1,Lecturas!$N$1:$AA$20,$AC29,FALSE)=0,"",VLOOKUP(Y$1,Lecturas!$N$1:$AA$20,$AC29,FALSE))</f>
        <v>7500</v>
      </c>
      <c r="Z29" s="48"/>
      <c r="AA29" s="48"/>
      <c r="AB29" s="48"/>
      <c r="AC29" s="148">
        <f>+'CARGA DE DATOS'!AF30</f>
        <v>6</v>
      </c>
    </row>
    <row r="30" spans="1:29" x14ac:dyDescent="0.25">
      <c r="A30" s="148">
        <f>+'CARGA DE DATOS'!A31</f>
        <v>29</v>
      </c>
      <c r="B30" s="48" t="str">
        <f>+IF(RESULTADOS!H30="","",RESULTADOS!H30)</f>
        <v/>
      </c>
      <c r="C30" s="48" t="str">
        <f>+IF(RESULTADOS!D30="","",RESULTADOS!D30)</f>
        <v/>
      </c>
      <c r="D30" s="160" t="str">
        <f>+IF('CARGA DE DATOS'!K31="Cooperativa","COOP",IF(Salida!AT31="true","PROSU","GD"))</f>
        <v>GD</v>
      </c>
      <c r="E30" s="160" t="s">
        <v>9147</v>
      </c>
      <c r="F30" s="160" t="str">
        <f>+IF(OR(D30="COOP",'CARGA DE DATOS'!K31="GUMA"),"15.02.2022",IF('CARGA DE DATOS'!K31="GUME","05.02.2022","10.02.2022"))</f>
        <v>10.02.2022</v>
      </c>
      <c r="G30" s="163">
        <f>+IF(VLOOKUP(G$1,Lecturas!$N$1:$AA$20,$AC30,FALSE)=0,"",VLOOKUP(G$1,Lecturas!$N$1:$AA$20,$AC30,FALSE))</f>
        <v>1500</v>
      </c>
      <c r="H30" s="163">
        <f>+IF(VLOOKUP(H$1,Lecturas!$N$1:$AA$20,$AC30,FALSE)=0,"",VLOOKUP(H$1,Lecturas!$N$1:$AA$20,$AC30,FALSE))</f>
        <v>1550</v>
      </c>
      <c r="I30" s="163">
        <f>+IF(VLOOKUP(I$1,Lecturas!$N$1:$AA$20,$AC30,FALSE)=0,"",VLOOKUP(I$1,Lecturas!$N$1:$AA$20,$AC30,FALSE))</f>
        <v>1550</v>
      </c>
      <c r="J30" s="156" t="str">
        <f>+IF(VLOOKUP(J$1,Lecturas!$N$1:$AA$20,$AC30,FALSE)=0,"",VLOOKUP(J$1,Lecturas!$N$1:$AA$20,$AC30,FALSE))</f>
        <v/>
      </c>
      <c r="K30" s="156" t="str">
        <f>+IF(VLOOKUP(K$1,Lecturas!$N$1:$AA$20,$AC30,FALSE)=0,"",VLOOKUP(K$1,Lecturas!$N$1:$AA$20,$AC30,FALSE))</f>
        <v/>
      </c>
      <c r="L30" s="156" t="str">
        <f>+IF(VLOOKUP(L$1,Lecturas!$N$1:$AA$20,$AC30,FALSE)=0,"",VLOOKUP(L$1,Lecturas!$N$1:$AA$20,$AC30,FALSE))</f>
        <v/>
      </c>
      <c r="M30" s="163">
        <f>+IF(VLOOKUP(M$1,Lecturas!$N$1:$AA$20,$AC30,FALSE)=0,"",VLOOKUP(M$1,Lecturas!$N$1:$AA$20,$AC30,FALSE))</f>
        <v>2500</v>
      </c>
      <c r="N30" s="163">
        <f>+IF(VLOOKUP(N$1,Lecturas!$N$1:$AA$20,$AC30,FALSE)=0,"",VLOOKUP(N$1,Lecturas!$N$1:$AA$20,$AC30,FALSE))</f>
        <v>2000</v>
      </c>
      <c r="O30" s="163">
        <f>+IF(VLOOKUP(O$1,Lecturas!$N$1:$AA$20,$AC30,FALSE)=0,"",VLOOKUP(O$1,Lecturas!$N$1:$AA$20,$AC30,FALSE))</f>
        <v>3000</v>
      </c>
      <c r="P30" s="156" t="str">
        <f>+IF(VLOOKUP(P$1,Lecturas!$N$1:$AA$20,$AC30,FALSE)=0,"",VLOOKUP(P$1,Lecturas!$N$1:$AA$20,$AC30,FALSE))</f>
        <v/>
      </c>
      <c r="Q30" s="156" t="str">
        <f>+IF(VLOOKUP(Q$1,Lecturas!$N$1:$AA$20,$AC30,FALSE)=0,"",VLOOKUP(Q$1,Lecturas!$N$1:$AA$20,$AC30,FALSE))</f>
        <v/>
      </c>
      <c r="R30" s="156" t="str">
        <f>+IF(VLOOKUP(R$1,Lecturas!$N$1:$AA$20,$AC30,FALSE)=0,"",VLOOKUP(R$1,Lecturas!$N$1:$AA$20,$AC30,FALSE))</f>
        <v/>
      </c>
      <c r="S30" s="163" t="str">
        <f>+IF(VLOOKUP(S$1,Lecturas!$N$1:$AA$20,$AC30,FALSE)=0,"",VLOOKUP(S$1,Lecturas!$N$1:$AA$20,$AC30,FALSE))</f>
        <v/>
      </c>
      <c r="T30" s="163" t="str">
        <f>+IF(VLOOKUP(T$1,Lecturas!$N$1:$AA$20,$AC30,FALSE)=0,"",VLOOKUP(T$1,Lecturas!$N$1:$AA$20,$AC30,FALSE))</f>
        <v/>
      </c>
      <c r="U30" s="163" t="str">
        <f>+IF(VLOOKUP(U$1,Lecturas!$N$1:$AA$20,$AC30,FALSE)=0,"",VLOOKUP(U$1,Lecturas!$N$1:$AA$20,$AC30,FALSE))</f>
        <v/>
      </c>
      <c r="V30" s="156" t="str">
        <f>+IF(VLOOKUP(V$1,Lecturas!$N$1:$AA$20,$AC30,FALSE)=0,"",VLOOKUP(V$1,Lecturas!$N$1:$AA$20,$AC30,FALSE))</f>
        <v/>
      </c>
      <c r="W30" s="156" t="str">
        <f>+IF(VLOOKUP(W$1,Lecturas!$N$1:$AA$20,$AC30,FALSE)=0,"",VLOOKUP(W$1,Lecturas!$N$1:$AA$20,$AC30,FALSE))</f>
        <v/>
      </c>
      <c r="X30" s="156" t="str">
        <f>+IF(VLOOKUP(X$1,Lecturas!$N$1:$AA$20,$AC30,FALSE)=0,"",VLOOKUP(X$1,Lecturas!$N$1:$AA$20,$AC30,FALSE))</f>
        <v/>
      </c>
      <c r="Y30" s="163">
        <f>+IF(VLOOKUP(Y$1,Lecturas!$N$1:$AA$20,$AC30,FALSE)=0,"",VLOOKUP(Y$1,Lecturas!$N$1:$AA$20,$AC30,FALSE))</f>
        <v>7500</v>
      </c>
      <c r="Z30" s="48"/>
      <c r="AA30" s="48"/>
      <c r="AB30" s="48"/>
      <c r="AC30" s="148">
        <f>+'CARGA DE DATOS'!AF31</f>
        <v>7</v>
      </c>
    </row>
    <row r="31" spans="1:29" x14ac:dyDescent="0.25">
      <c r="A31" s="148">
        <f>+'CARGA DE DATOS'!A32</f>
        <v>30</v>
      </c>
      <c r="B31" s="48" t="str">
        <f>+IF(RESULTADOS!H31="","",RESULTADOS!H31)</f>
        <v/>
      </c>
      <c r="C31" s="48" t="str">
        <f>+IF(RESULTADOS!D31="","",RESULTADOS!D31)</f>
        <v/>
      </c>
      <c r="D31" s="160" t="str">
        <f>+IF('CARGA DE DATOS'!K32="Cooperativa","COOP",IF(Salida!AT32="true","PROSU","GD"))</f>
        <v>GD</v>
      </c>
      <c r="E31" s="160" t="s">
        <v>9147</v>
      </c>
      <c r="F31" s="160" t="str">
        <f>+IF(OR(D31="COOP",'CARGA DE DATOS'!K32="GUMA"),"15.02.2022",IF('CARGA DE DATOS'!K32="GUME","05.02.2022","10.02.2022"))</f>
        <v>10.02.2022</v>
      </c>
      <c r="G31" s="163">
        <f>+IF(VLOOKUP(G$1,Lecturas!$N$1:$AA$20,$AC31,FALSE)=0,"",VLOOKUP(G$1,Lecturas!$N$1:$AA$20,$AC31,FALSE))</f>
        <v>150</v>
      </c>
      <c r="H31" s="163">
        <f>+IF(VLOOKUP(H$1,Lecturas!$N$1:$AA$20,$AC31,FALSE)=0,"",VLOOKUP(H$1,Lecturas!$N$1:$AA$20,$AC31,FALSE))</f>
        <v>300</v>
      </c>
      <c r="I31" s="163">
        <f>+IF(VLOOKUP(I$1,Lecturas!$N$1:$AA$20,$AC31,FALSE)=0,"",VLOOKUP(I$1,Lecturas!$N$1:$AA$20,$AC31,FALSE))</f>
        <v>350</v>
      </c>
      <c r="J31" s="156" t="str">
        <f>+IF(VLOOKUP(J$1,Lecturas!$N$1:$AA$20,$AC31,FALSE)=0,"",VLOOKUP(J$1,Lecturas!$N$1:$AA$20,$AC31,FALSE))</f>
        <v/>
      </c>
      <c r="K31" s="156" t="str">
        <f>+IF(VLOOKUP(K$1,Lecturas!$N$1:$AA$20,$AC31,FALSE)=0,"",VLOOKUP(K$1,Lecturas!$N$1:$AA$20,$AC31,FALSE))</f>
        <v/>
      </c>
      <c r="L31" s="156" t="str">
        <f>+IF(VLOOKUP(L$1,Lecturas!$N$1:$AA$20,$AC31,FALSE)=0,"",VLOOKUP(L$1,Lecturas!$N$1:$AA$20,$AC31,FALSE))</f>
        <v/>
      </c>
      <c r="M31" s="163">
        <f>+IF(VLOOKUP(M$1,Lecturas!$N$1:$AA$20,$AC31,FALSE)=0,"",VLOOKUP(M$1,Lecturas!$N$1:$AA$20,$AC31,FALSE))</f>
        <v>2500</v>
      </c>
      <c r="N31" s="163">
        <f>+IF(VLOOKUP(N$1,Lecturas!$N$1:$AA$20,$AC31,FALSE)=0,"",VLOOKUP(N$1,Lecturas!$N$1:$AA$20,$AC31,FALSE))</f>
        <v>2000</v>
      </c>
      <c r="O31" s="163">
        <f>+IF(VLOOKUP(O$1,Lecturas!$N$1:$AA$20,$AC31,FALSE)=0,"",VLOOKUP(O$1,Lecturas!$N$1:$AA$20,$AC31,FALSE))</f>
        <v>3000</v>
      </c>
      <c r="P31" s="156" t="str">
        <f>+IF(VLOOKUP(P$1,Lecturas!$N$1:$AA$20,$AC31,FALSE)=0,"",VLOOKUP(P$1,Lecturas!$N$1:$AA$20,$AC31,FALSE))</f>
        <v/>
      </c>
      <c r="Q31" s="156" t="str">
        <f>+IF(VLOOKUP(Q$1,Lecturas!$N$1:$AA$20,$AC31,FALSE)=0,"",VLOOKUP(Q$1,Lecturas!$N$1:$AA$20,$AC31,FALSE))</f>
        <v/>
      </c>
      <c r="R31" s="156" t="str">
        <f>+IF(VLOOKUP(R$1,Lecturas!$N$1:$AA$20,$AC31,FALSE)=0,"",VLOOKUP(R$1,Lecturas!$N$1:$AA$20,$AC31,FALSE))</f>
        <v/>
      </c>
      <c r="S31" s="163" t="str">
        <f>+IF(VLOOKUP(S$1,Lecturas!$N$1:$AA$20,$AC31,FALSE)=0,"",VLOOKUP(S$1,Lecturas!$N$1:$AA$20,$AC31,FALSE))</f>
        <v/>
      </c>
      <c r="T31" s="163" t="str">
        <f>+IF(VLOOKUP(T$1,Lecturas!$N$1:$AA$20,$AC31,FALSE)=0,"",VLOOKUP(T$1,Lecturas!$N$1:$AA$20,$AC31,FALSE))</f>
        <v/>
      </c>
      <c r="U31" s="163" t="str">
        <f>+IF(VLOOKUP(U$1,Lecturas!$N$1:$AA$20,$AC31,FALSE)=0,"",VLOOKUP(U$1,Lecturas!$N$1:$AA$20,$AC31,FALSE))</f>
        <v/>
      </c>
      <c r="V31" s="156" t="str">
        <f>+IF(VLOOKUP(V$1,Lecturas!$N$1:$AA$20,$AC31,FALSE)=0,"",VLOOKUP(V$1,Lecturas!$N$1:$AA$20,$AC31,FALSE))</f>
        <v/>
      </c>
      <c r="W31" s="156" t="str">
        <f>+IF(VLOOKUP(W$1,Lecturas!$N$1:$AA$20,$AC31,FALSE)=0,"",VLOOKUP(W$1,Lecturas!$N$1:$AA$20,$AC31,FALSE))</f>
        <v/>
      </c>
      <c r="X31" s="156" t="str">
        <f>+IF(VLOOKUP(X$1,Lecturas!$N$1:$AA$20,$AC31,FALSE)=0,"",VLOOKUP(X$1,Lecturas!$N$1:$AA$20,$AC31,FALSE))</f>
        <v/>
      </c>
      <c r="Y31" s="163">
        <f>+IF(VLOOKUP(Y$1,Lecturas!$N$1:$AA$20,$AC31,FALSE)=0,"",VLOOKUP(Y$1,Lecturas!$N$1:$AA$20,$AC31,FALSE))</f>
        <v>500</v>
      </c>
      <c r="Z31" s="48"/>
      <c r="AA31" s="48"/>
      <c r="AB31" s="48"/>
      <c r="AC31" s="148">
        <f>+'CARGA DE DATOS'!AF32</f>
        <v>8</v>
      </c>
    </row>
    <row r="32" spans="1:29" x14ac:dyDescent="0.25">
      <c r="A32" s="148">
        <f>+'CARGA DE DATOS'!A33</f>
        <v>31</v>
      </c>
      <c r="B32" s="48" t="str">
        <f>+IF(RESULTADOS!H32="","",RESULTADOS!H32)</f>
        <v/>
      </c>
      <c r="C32" s="48" t="str">
        <f>+IF(RESULTADOS!D32="","",RESULTADOS!D32)</f>
        <v/>
      </c>
      <c r="D32" s="160" t="str">
        <f>+IF('CARGA DE DATOS'!K33="Cooperativa","COOP",IF(Salida!AT33="true","PROSU","GD"))</f>
        <v>GD</v>
      </c>
      <c r="E32" s="160" t="s">
        <v>9147</v>
      </c>
      <c r="F32" s="160" t="str">
        <f>+IF(OR(D32="COOP",'CARGA DE DATOS'!K33="GUMA"),"15.02.2022",IF('CARGA DE DATOS'!K33="GUME","05.02.2022","10.02.2022"))</f>
        <v>10.02.2022</v>
      </c>
      <c r="G32" s="163">
        <f>+IF(VLOOKUP(G$1,Lecturas!$N$1:$AA$20,$AC32,FALSE)=0,"",VLOOKUP(G$1,Lecturas!$N$1:$AA$20,$AC32,FALSE))</f>
        <v>1500</v>
      </c>
      <c r="H32" s="163">
        <f>+IF(VLOOKUP(H$1,Lecturas!$N$1:$AA$20,$AC32,FALSE)=0,"",VLOOKUP(H$1,Lecturas!$N$1:$AA$20,$AC32,FALSE))</f>
        <v>300</v>
      </c>
      <c r="I32" s="163">
        <f>+IF(VLOOKUP(I$1,Lecturas!$N$1:$AA$20,$AC32,FALSE)=0,"",VLOOKUP(I$1,Lecturas!$N$1:$AA$20,$AC32,FALSE))</f>
        <v>350</v>
      </c>
      <c r="J32" s="156" t="str">
        <f>+IF(VLOOKUP(J$1,Lecturas!$N$1:$AA$20,$AC32,FALSE)=0,"",VLOOKUP(J$1,Lecturas!$N$1:$AA$20,$AC32,FALSE))</f>
        <v/>
      </c>
      <c r="K32" s="156" t="str">
        <f>+IF(VLOOKUP(K$1,Lecturas!$N$1:$AA$20,$AC32,FALSE)=0,"",VLOOKUP(K$1,Lecturas!$N$1:$AA$20,$AC32,FALSE))</f>
        <v/>
      </c>
      <c r="L32" s="156" t="str">
        <f>+IF(VLOOKUP(L$1,Lecturas!$N$1:$AA$20,$AC32,FALSE)=0,"",VLOOKUP(L$1,Lecturas!$N$1:$AA$20,$AC32,FALSE))</f>
        <v/>
      </c>
      <c r="M32" s="163">
        <f>+IF(VLOOKUP(M$1,Lecturas!$N$1:$AA$20,$AC32,FALSE)=0,"",VLOOKUP(M$1,Lecturas!$N$1:$AA$20,$AC32,FALSE))</f>
        <v>2500</v>
      </c>
      <c r="N32" s="163">
        <f>+IF(VLOOKUP(N$1,Lecturas!$N$1:$AA$20,$AC32,FALSE)=0,"",VLOOKUP(N$1,Lecturas!$N$1:$AA$20,$AC32,FALSE))</f>
        <v>2000</v>
      </c>
      <c r="O32" s="163">
        <f>+IF(VLOOKUP(O$1,Lecturas!$N$1:$AA$20,$AC32,FALSE)=0,"",VLOOKUP(O$1,Lecturas!$N$1:$AA$20,$AC32,FALSE))</f>
        <v>3000</v>
      </c>
      <c r="P32" s="156" t="str">
        <f>+IF(VLOOKUP(P$1,Lecturas!$N$1:$AA$20,$AC32,FALSE)=0,"",VLOOKUP(P$1,Lecturas!$N$1:$AA$20,$AC32,FALSE))</f>
        <v/>
      </c>
      <c r="Q32" s="156" t="str">
        <f>+IF(VLOOKUP(Q$1,Lecturas!$N$1:$AA$20,$AC32,FALSE)=0,"",VLOOKUP(Q$1,Lecturas!$N$1:$AA$20,$AC32,FALSE))</f>
        <v/>
      </c>
      <c r="R32" s="156" t="str">
        <f>+IF(VLOOKUP(R$1,Lecturas!$N$1:$AA$20,$AC32,FALSE)=0,"",VLOOKUP(R$1,Lecturas!$N$1:$AA$20,$AC32,FALSE))</f>
        <v/>
      </c>
      <c r="S32" s="163" t="str">
        <f>+IF(VLOOKUP(S$1,Lecturas!$N$1:$AA$20,$AC32,FALSE)=0,"",VLOOKUP(S$1,Lecturas!$N$1:$AA$20,$AC32,FALSE))</f>
        <v/>
      </c>
      <c r="T32" s="163" t="str">
        <f>+IF(VLOOKUP(T$1,Lecturas!$N$1:$AA$20,$AC32,FALSE)=0,"",VLOOKUP(T$1,Lecturas!$N$1:$AA$20,$AC32,FALSE))</f>
        <v/>
      </c>
      <c r="U32" s="163" t="str">
        <f>+IF(VLOOKUP(U$1,Lecturas!$N$1:$AA$20,$AC32,FALSE)=0,"",VLOOKUP(U$1,Lecturas!$N$1:$AA$20,$AC32,FALSE))</f>
        <v/>
      </c>
      <c r="V32" s="156" t="str">
        <f>+IF(VLOOKUP(V$1,Lecturas!$N$1:$AA$20,$AC32,FALSE)=0,"",VLOOKUP(V$1,Lecturas!$N$1:$AA$20,$AC32,FALSE))</f>
        <v/>
      </c>
      <c r="W32" s="156" t="str">
        <f>+IF(VLOOKUP(W$1,Lecturas!$N$1:$AA$20,$AC32,FALSE)=0,"",VLOOKUP(W$1,Lecturas!$N$1:$AA$20,$AC32,FALSE))</f>
        <v/>
      </c>
      <c r="X32" s="156" t="str">
        <f>+IF(VLOOKUP(X$1,Lecturas!$N$1:$AA$20,$AC32,FALSE)=0,"",VLOOKUP(X$1,Lecturas!$N$1:$AA$20,$AC32,FALSE))</f>
        <v/>
      </c>
      <c r="Y32" s="163">
        <f>+IF(VLOOKUP(Y$1,Lecturas!$N$1:$AA$20,$AC32,FALSE)=0,"",VLOOKUP(Y$1,Lecturas!$N$1:$AA$20,$AC32,FALSE))</f>
        <v>6500</v>
      </c>
      <c r="Z32" s="48"/>
      <c r="AA32" s="48"/>
      <c r="AB32" s="48"/>
      <c r="AC32" s="148">
        <f>+'CARGA DE DATOS'!AF33</f>
        <v>9</v>
      </c>
    </row>
    <row r="33" spans="1:29" x14ac:dyDescent="0.25">
      <c r="A33" s="148">
        <f>+'CARGA DE DATOS'!A34</f>
        <v>32</v>
      </c>
      <c r="B33" s="48" t="str">
        <f>+IF(RESULTADOS!H33="","",RESULTADOS!H33)</f>
        <v/>
      </c>
      <c r="C33" s="48" t="str">
        <f>+IF(RESULTADOS!D33="","",RESULTADOS!D33)</f>
        <v/>
      </c>
      <c r="D33" s="160" t="str">
        <f>+IF('CARGA DE DATOS'!K34="Cooperativa","COOP",IF(Salida!AT34="true","PROSU","GD"))</f>
        <v>GD</v>
      </c>
      <c r="E33" s="160" t="s">
        <v>9147</v>
      </c>
      <c r="F33" s="160" t="str">
        <f>+IF(OR(D33="COOP",'CARGA DE DATOS'!K34="GUMA"),"15.02.2022",IF('CARGA DE DATOS'!K34="GUME","05.02.2022","10.02.2022"))</f>
        <v>10.02.2022</v>
      </c>
      <c r="G33" s="163">
        <f>+IF(VLOOKUP(G$1,Lecturas!$N$1:$AA$20,$AC33,FALSE)=0,"",VLOOKUP(G$1,Lecturas!$N$1:$AA$20,$AC33,FALSE))</f>
        <v>150</v>
      </c>
      <c r="H33" s="163">
        <f>+IF(VLOOKUP(H$1,Lecturas!$N$1:$AA$20,$AC33,FALSE)=0,"",VLOOKUP(H$1,Lecturas!$N$1:$AA$20,$AC33,FALSE))</f>
        <v>150</v>
      </c>
      <c r="I33" s="163">
        <f>+IF(VLOOKUP(I$1,Lecturas!$N$1:$AA$20,$AC33,FALSE)=0,"",VLOOKUP(I$1,Lecturas!$N$1:$AA$20,$AC33,FALSE))</f>
        <v>150</v>
      </c>
      <c r="J33" s="156" t="str">
        <f>+IF(VLOOKUP(J$1,Lecturas!$N$1:$AA$20,$AC33,FALSE)=0,"",VLOOKUP(J$1,Lecturas!$N$1:$AA$20,$AC33,FALSE))</f>
        <v/>
      </c>
      <c r="K33" s="156" t="str">
        <f>+IF(VLOOKUP(K$1,Lecturas!$N$1:$AA$20,$AC33,FALSE)=0,"",VLOOKUP(K$1,Lecturas!$N$1:$AA$20,$AC33,FALSE))</f>
        <v/>
      </c>
      <c r="L33" s="156" t="str">
        <f>+IF(VLOOKUP(L$1,Lecturas!$N$1:$AA$20,$AC33,FALSE)=0,"",VLOOKUP(L$1,Lecturas!$N$1:$AA$20,$AC33,FALSE))</f>
        <v/>
      </c>
      <c r="M33" s="163">
        <f>+IF(VLOOKUP(M$1,Lecturas!$N$1:$AA$20,$AC33,FALSE)=0,"",VLOOKUP(M$1,Lecturas!$N$1:$AA$20,$AC33,FALSE))</f>
        <v>2500</v>
      </c>
      <c r="N33" s="163">
        <f>+IF(VLOOKUP(N$1,Lecturas!$N$1:$AA$20,$AC33,FALSE)=0,"",VLOOKUP(N$1,Lecturas!$N$1:$AA$20,$AC33,FALSE))</f>
        <v>2000</v>
      </c>
      <c r="O33" s="163">
        <f>+IF(VLOOKUP(O$1,Lecturas!$N$1:$AA$20,$AC33,FALSE)=0,"",VLOOKUP(O$1,Lecturas!$N$1:$AA$20,$AC33,FALSE))</f>
        <v>3000</v>
      </c>
      <c r="P33" s="156" t="str">
        <f>+IF(VLOOKUP(P$1,Lecturas!$N$1:$AA$20,$AC33,FALSE)=0,"",VLOOKUP(P$1,Lecturas!$N$1:$AA$20,$AC33,FALSE))</f>
        <v/>
      </c>
      <c r="Q33" s="156" t="str">
        <f>+IF(VLOOKUP(Q$1,Lecturas!$N$1:$AA$20,$AC33,FALSE)=0,"",VLOOKUP(Q$1,Lecturas!$N$1:$AA$20,$AC33,FALSE))</f>
        <v/>
      </c>
      <c r="R33" s="156" t="str">
        <f>+IF(VLOOKUP(R$1,Lecturas!$N$1:$AA$20,$AC33,FALSE)=0,"",VLOOKUP(R$1,Lecturas!$N$1:$AA$20,$AC33,FALSE))</f>
        <v/>
      </c>
      <c r="S33" s="163" t="str">
        <f>+IF(VLOOKUP(S$1,Lecturas!$N$1:$AA$20,$AC33,FALSE)=0,"",VLOOKUP(S$1,Lecturas!$N$1:$AA$20,$AC33,FALSE))</f>
        <v/>
      </c>
      <c r="T33" s="163" t="str">
        <f>+IF(VLOOKUP(T$1,Lecturas!$N$1:$AA$20,$AC33,FALSE)=0,"",VLOOKUP(T$1,Lecturas!$N$1:$AA$20,$AC33,FALSE))</f>
        <v/>
      </c>
      <c r="U33" s="163" t="str">
        <f>+IF(VLOOKUP(U$1,Lecturas!$N$1:$AA$20,$AC33,FALSE)=0,"",VLOOKUP(U$1,Lecturas!$N$1:$AA$20,$AC33,FALSE))</f>
        <v/>
      </c>
      <c r="V33" s="156" t="str">
        <f>+IF(VLOOKUP(V$1,Lecturas!$N$1:$AA$20,$AC33,FALSE)=0,"",VLOOKUP(V$1,Lecturas!$N$1:$AA$20,$AC33,FALSE))</f>
        <v/>
      </c>
      <c r="W33" s="156" t="str">
        <f>+IF(VLOOKUP(W$1,Lecturas!$N$1:$AA$20,$AC33,FALSE)=0,"",VLOOKUP(W$1,Lecturas!$N$1:$AA$20,$AC33,FALSE))</f>
        <v/>
      </c>
      <c r="X33" s="156" t="str">
        <f>+IF(VLOOKUP(X$1,Lecturas!$N$1:$AA$20,$AC33,FALSE)=0,"",VLOOKUP(X$1,Lecturas!$N$1:$AA$20,$AC33,FALSE))</f>
        <v/>
      </c>
      <c r="Y33" s="163">
        <f>+IF(VLOOKUP(Y$1,Lecturas!$N$1:$AA$20,$AC33,FALSE)=0,"",VLOOKUP(Y$1,Lecturas!$N$1:$AA$20,$AC33,FALSE))</f>
        <v>5000</v>
      </c>
      <c r="Z33" s="48"/>
      <c r="AA33" s="48"/>
      <c r="AB33" s="48"/>
      <c r="AC33" s="148">
        <f>+'CARGA DE DATOS'!AF34</f>
        <v>2</v>
      </c>
    </row>
    <row r="34" spans="1:29" x14ac:dyDescent="0.25">
      <c r="A34" s="148">
        <f>+'CARGA DE DATOS'!A35</f>
        <v>33</v>
      </c>
      <c r="B34" s="48" t="str">
        <f>+IF(RESULTADOS!H34="","",RESULTADOS!H34)</f>
        <v/>
      </c>
      <c r="C34" s="48" t="str">
        <f>+IF(RESULTADOS!D34="","",RESULTADOS!D34)</f>
        <v/>
      </c>
      <c r="D34" s="160" t="str">
        <f>+IF('CARGA DE DATOS'!K35="Cooperativa","COOP",IF(Salida!AT35="true","PROSU","GD"))</f>
        <v>GD</v>
      </c>
      <c r="E34" s="160" t="s">
        <v>9147</v>
      </c>
      <c r="F34" s="160" t="str">
        <f>+IF(OR(D34="COOP",'CARGA DE DATOS'!K35="GUMA"),"15.02.2022",IF('CARGA DE DATOS'!K35="GUME","05.02.2022","10.02.2022"))</f>
        <v>10.02.2022</v>
      </c>
      <c r="G34" s="163">
        <f>+IF(VLOOKUP(G$1,Lecturas!$N$1:$AA$20,$AC34,FALSE)=0,"",VLOOKUP(G$1,Lecturas!$N$1:$AA$20,$AC34,FALSE))</f>
        <v>150</v>
      </c>
      <c r="H34" s="163">
        <f>+IF(VLOOKUP(H$1,Lecturas!$N$1:$AA$20,$AC34,FALSE)=0,"",VLOOKUP(H$1,Lecturas!$N$1:$AA$20,$AC34,FALSE))</f>
        <v>300</v>
      </c>
      <c r="I34" s="163">
        <f>+IF(VLOOKUP(I$1,Lecturas!$N$1:$AA$20,$AC34,FALSE)=0,"",VLOOKUP(I$1,Lecturas!$N$1:$AA$20,$AC34,FALSE))</f>
        <v>350</v>
      </c>
      <c r="J34" s="156" t="str">
        <f>+IF(VLOOKUP(J$1,Lecturas!$N$1:$AA$20,$AC34,FALSE)=0,"",VLOOKUP(J$1,Lecturas!$N$1:$AA$20,$AC34,FALSE))</f>
        <v/>
      </c>
      <c r="K34" s="156" t="str">
        <f>+IF(VLOOKUP(K$1,Lecturas!$N$1:$AA$20,$AC34,FALSE)=0,"",VLOOKUP(K$1,Lecturas!$N$1:$AA$20,$AC34,FALSE))</f>
        <v/>
      </c>
      <c r="L34" s="156" t="str">
        <f>+IF(VLOOKUP(L$1,Lecturas!$N$1:$AA$20,$AC34,FALSE)=0,"",VLOOKUP(L$1,Lecturas!$N$1:$AA$20,$AC34,FALSE))</f>
        <v/>
      </c>
      <c r="M34" s="163">
        <f>+IF(VLOOKUP(M$1,Lecturas!$N$1:$AA$20,$AC34,FALSE)=0,"",VLOOKUP(M$1,Lecturas!$N$1:$AA$20,$AC34,FALSE))</f>
        <v>2500</v>
      </c>
      <c r="N34" s="163">
        <f>+IF(VLOOKUP(N$1,Lecturas!$N$1:$AA$20,$AC34,FALSE)=0,"",VLOOKUP(N$1,Lecturas!$N$1:$AA$20,$AC34,FALSE))</f>
        <v>2000</v>
      </c>
      <c r="O34" s="163">
        <f>+IF(VLOOKUP(O$1,Lecturas!$N$1:$AA$20,$AC34,FALSE)=0,"",VLOOKUP(O$1,Lecturas!$N$1:$AA$20,$AC34,FALSE))</f>
        <v>3000</v>
      </c>
      <c r="P34" s="156" t="str">
        <f>+IF(VLOOKUP(P$1,Lecturas!$N$1:$AA$20,$AC34,FALSE)=0,"",VLOOKUP(P$1,Lecturas!$N$1:$AA$20,$AC34,FALSE))</f>
        <v/>
      </c>
      <c r="Q34" s="156" t="str">
        <f>+IF(VLOOKUP(Q$1,Lecturas!$N$1:$AA$20,$AC34,FALSE)=0,"",VLOOKUP(Q$1,Lecturas!$N$1:$AA$20,$AC34,FALSE))</f>
        <v/>
      </c>
      <c r="R34" s="156" t="str">
        <f>+IF(VLOOKUP(R$1,Lecturas!$N$1:$AA$20,$AC34,FALSE)=0,"",VLOOKUP(R$1,Lecturas!$N$1:$AA$20,$AC34,FALSE))</f>
        <v/>
      </c>
      <c r="S34" s="163" t="str">
        <f>+IF(VLOOKUP(S$1,Lecturas!$N$1:$AA$20,$AC34,FALSE)=0,"",VLOOKUP(S$1,Lecturas!$N$1:$AA$20,$AC34,FALSE))</f>
        <v/>
      </c>
      <c r="T34" s="163" t="str">
        <f>+IF(VLOOKUP(T$1,Lecturas!$N$1:$AA$20,$AC34,FALSE)=0,"",VLOOKUP(T$1,Lecturas!$N$1:$AA$20,$AC34,FALSE))</f>
        <v/>
      </c>
      <c r="U34" s="163" t="str">
        <f>+IF(VLOOKUP(U$1,Lecturas!$N$1:$AA$20,$AC34,FALSE)=0,"",VLOOKUP(U$1,Lecturas!$N$1:$AA$20,$AC34,FALSE))</f>
        <v/>
      </c>
      <c r="V34" s="156" t="str">
        <f>+IF(VLOOKUP(V$1,Lecturas!$N$1:$AA$20,$AC34,FALSE)=0,"",VLOOKUP(V$1,Lecturas!$N$1:$AA$20,$AC34,FALSE))</f>
        <v/>
      </c>
      <c r="W34" s="156" t="str">
        <f>+IF(VLOOKUP(W$1,Lecturas!$N$1:$AA$20,$AC34,FALSE)=0,"",VLOOKUP(W$1,Lecturas!$N$1:$AA$20,$AC34,FALSE))</f>
        <v/>
      </c>
      <c r="X34" s="156" t="str">
        <f>+IF(VLOOKUP(X$1,Lecturas!$N$1:$AA$20,$AC34,FALSE)=0,"",VLOOKUP(X$1,Lecturas!$N$1:$AA$20,$AC34,FALSE))</f>
        <v/>
      </c>
      <c r="Y34" s="163">
        <f>+IF(VLOOKUP(Y$1,Lecturas!$N$1:$AA$20,$AC34,FALSE)=0,"",VLOOKUP(Y$1,Lecturas!$N$1:$AA$20,$AC34,FALSE))</f>
        <v>2460</v>
      </c>
      <c r="Z34" s="48"/>
      <c r="AA34" s="48"/>
      <c r="AB34" s="48"/>
      <c r="AC34" s="148">
        <f>+'CARGA DE DATOS'!AF35</f>
        <v>5</v>
      </c>
    </row>
    <row r="35" spans="1:29" x14ac:dyDescent="0.25">
      <c r="A35" s="148">
        <f>+'CARGA DE DATOS'!A36</f>
        <v>34</v>
      </c>
      <c r="B35" s="48" t="str">
        <f>+IF(RESULTADOS!H35="","",RESULTADOS!H35)</f>
        <v/>
      </c>
      <c r="C35" s="48" t="str">
        <f>+IF(RESULTADOS!D35="","",RESULTADOS!D35)</f>
        <v/>
      </c>
      <c r="D35" s="160" t="str">
        <f>+IF('CARGA DE DATOS'!K36="Cooperativa","COOP",IF(Salida!AT36="true","PROSU","GD"))</f>
        <v>GD</v>
      </c>
      <c r="E35" s="160" t="s">
        <v>9147</v>
      </c>
      <c r="F35" s="160" t="str">
        <f>+IF(OR(D35="COOP",'CARGA DE DATOS'!K36="GUMA"),"15.02.2022",IF('CARGA DE DATOS'!K36="GUME","05.02.2022","10.02.2022"))</f>
        <v>10.02.2022</v>
      </c>
      <c r="G35" s="163">
        <f>+IF(VLOOKUP(G$1,Lecturas!$N$1:$AA$20,$AC35,FALSE)=0,"",VLOOKUP(G$1,Lecturas!$N$1:$AA$20,$AC35,FALSE))</f>
        <v>150</v>
      </c>
      <c r="H35" s="163">
        <f>+IF(VLOOKUP(H$1,Lecturas!$N$1:$AA$20,$AC35,FALSE)=0,"",VLOOKUP(H$1,Lecturas!$N$1:$AA$20,$AC35,FALSE))</f>
        <v>150</v>
      </c>
      <c r="I35" s="163">
        <f>+IF(VLOOKUP(I$1,Lecturas!$N$1:$AA$20,$AC35,FALSE)=0,"",VLOOKUP(I$1,Lecturas!$N$1:$AA$20,$AC35,FALSE))</f>
        <v>150</v>
      </c>
      <c r="J35" s="156" t="str">
        <f>+IF(VLOOKUP(J$1,Lecturas!$N$1:$AA$20,$AC35,FALSE)=0,"",VLOOKUP(J$1,Lecturas!$N$1:$AA$20,$AC35,FALSE))</f>
        <v/>
      </c>
      <c r="K35" s="156" t="str">
        <f>+IF(VLOOKUP(K$1,Lecturas!$N$1:$AA$20,$AC35,FALSE)=0,"",VLOOKUP(K$1,Lecturas!$N$1:$AA$20,$AC35,FALSE))</f>
        <v/>
      </c>
      <c r="L35" s="156" t="str">
        <f>+IF(VLOOKUP(L$1,Lecturas!$N$1:$AA$20,$AC35,FALSE)=0,"",VLOOKUP(L$1,Lecturas!$N$1:$AA$20,$AC35,FALSE))</f>
        <v/>
      </c>
      <c r="M35" s="163">
        <f>+IF(VLOOKUP(M$1,Lecturas!$N$1:$AA$20,$AC35,FALSE)=0,"",VLOOKUP(M$1,Lecturas!$N$1:$AA$20,$AC35,FALSE))</f>
        <v>2500</v>
      </c>
      <c r="N35" s="163">
        <f>+IF(VLOOKUP(N$1,Lecturas!$N$1:$AA$20,$AC35,FALSE)=0,"",VLOOKUP(N$1,Lecturas!$N$1:$AA$20,$AC35,FALSE))</f>
        <v>2000</v>
      </c>
      <c r="O35" s="163">
        <f>+IF(VLOOKUP(O$1,Lecturas!$N$1:$AA$20,$AC35,FALSE)=0,"",VLOOKUP(O$1,Lecturas!$N$1:$AA$20,$AC35,FALSE))</f>
        <v>3000</v>
      </c>
      <c r="P35" s="156" t="str">
        <f>+IF(VLOOKUP(P$1,Lecturas!$N$1:$AA$20,$AC35,FALSE)=0,"",VLOOKUP(P$1,Lecturas!$N$1:$AA$20,$AC35,FALSE))</f>
        <v/>
      </c>
      <c r="Q35" s="156" t="str">
        <f>+IF(VLOOKUP(Q$1,Lecturas!$N$1:$AA$20,$AC35,FALSE)=0,"",VLOOKUP(Q$1,Lecturas!$N$1:$AA$20,$AC35,FALSE))</f>
        <v/>
      </c>
      <c r="R35" s="156" t="str">
        <f>+IF(VLOOKUP(R$1,Lecturas!$N$1:$AA$20,$AC35,FALSE)=0,"",VLOOKUP(R$1,Lecturas!$N$1:$AA$20,$AC35,FALSE))</f>
        <v/>
      </c>
      <c r="S35" s="163" t="str">
        <f>+IF(VLOOKUP(S$1,Lecturas!$N$1:$AA$20,$AC35,FALSE)=0,"",VLOOKUP(S$1,Lecturas!$N$1:$AA$20,$AC35,FALSE))</f>
        <v/>
      </c>
      <c r="T35" s="163" t="str">
        <f>+IF(VLOOKUP(T$1,Lecturas!$N$1:$AA$20,$AC35,FALSE)=0,"",VLOOKUP(T$1,Lecturas!$N$1:$AA$20,$AC35,FALSE))</f>
        <v/>
      </c>
      <c r="U35" s="163" t="str">
        <f>+IF(VLOOKUP(U$1,Lecturas!$N$1:$AA$20,$AC35,FALSE)=0,"",VLOOKUP(U$1,Lecturas!$N$1:$AA$20,$AC35,FALSE))</f>
        <v/>
      </c>
      <c r="V35" s="156" t="str">
        <f>+IF(VLOOKUP(V$1,Lecturas!$N$1:$AA$20,$AC35,FALSE)=0,"",VLOOKUP(V$1,Lecturas!$N$1:$AA$20,$AC35,FALSE))</f>
        <v/>
      </c>
      <c r="W35" s="156" t="str">
        <f>+IF(VLOOKUP(W$1,Lecturas!$N$1:$AA$20,$AC35,FALSE)=0,"",VLOOKUP(W$1,Lecturas!$N$1:$AA$20,$AC35,FALSE))</f>
        <v/>
      </c>
      <c r="X35" s="156" t="str">
        <f>+IF(VLOOKUP(X$1,Lecturas!$N$1:$AA$20,$AC35,FALSE)=0,"",VLOOKUP(X$1,Lecturas!$N$1:$AA$20,$AC35,FALSE))</f>
        <v/>
      </c>
      <c r="Y35" s="163">
        <f>+IF(VLOOKUP(Y$1,Lecturas!$N$1:$AA$20,$AC35,FALSE)=0,"",VLOOKUP(Y$1,Lecturas!$N$1:$AA$20,$AC35,FALSE))</f>
        <v>5000</v>
      </c>
      <c r="Z35" s="48"/>
      <c r="AA35" s="48"/>
      <c r="AB35" s="48"/>
      <c r="AC35" s="148">
        <f>+'CARGA DE DATOS'!AF36</f>
        <v>2</v>
      </c>
    </row>
    <row r="36" spans="1:29" x14ac:dyDescent="0.25">
      <c r="A36" s="148">
        <f>+'CARGA DE DATOS'!A37</f>
        <v>35</v>
      </c>
      <c r="B36" s="48" t="str">
        <f>+IF(RESULTADOS!H36="","",RESULTADOS!H36)</f>
        <v/>
      </c>
      <c r="C36" s="48" t="str">
        <f>+IF(RESULTADOS!D36="","",RESULTADOS!D36)</f>
        <v/>
      </c>
      <c r="D36" s="160" t="str">
        <f>+IF('CARGA DE DATOS'!K37="Cooperativa","COOP",IF(Salida!AT37="true","PROSU","GD"))</f>
        <v>GD</v>
      </c>
      <c r="E36" s="160" t="s">
        <v>9147</v>
      </c>
      <c r="F36" s="160" t="str">
        <f>+IF(OR(D36="COOP",'CARGA DE DATOS'!K37="GUMA"),"15.02.2022",IF('CARGA DE DATOS'!K37="GUME","05.02.2022","10.02.2022"))</f>
        <v>10.02.2022</v>
      </c>
      <c r="G36" s="163">
        <f>+IF(VLOOKUP(G$1,Lecturas!$N$1:$AA$20,$AC36,FALSE)=0,"",VLOOKUP(G$1,Lecturas!$N$1:$AA$20,$AC36,FALSE))</f>
        <v>150</v>
      </c>
      <c r="H36" s="163">
        <f>+IF(VLOOKUP(H$1,Lecturas!$N$1:$AA$20,$AC36,FALSE)=0,"",VLOOKUP(H$1,Lecturas!$N$1:$AA$20,$AC36,FALSE))</f>
        <v>300</v>
      </c>
      <c r="I36" s="163">
        <f>+IF(VLOOKUP(I$1,Lecturas!$N$1:$AA$20,$AC36,FALSE)=0,"",VLOOKUP(I$1,Lecturas!$N$1:$AA$20,$AC36,FALSE))</f>
        <v>350</v>
      </c>
      <c r="J36" s="156" t="str">
        <f>+IF(VLOOKUP(J$1,Lecturas!$N$1:$AA$20,$AC36,FALSE)=0,"",VLOOKUP(J$1,Lecturas!$N$1:$AA$20,$AC36,FALSE))</f>
        <v/>
      </c>
      <c r="K36" s="156" t="str">
        <f>+IF(VLOOKUP(K$1,Lecturas!$N$1:$AA$20,$AC36,FALSE)=0,"",VLOOKUP(K$1,Lecturas!$N$1:$AA$20,$AC36,FALSE))</f>
        <v/>
      </c>
      <c r="L36" s="156" t="str">
        <f>+IF(VLOOKUP(L$1,Lecturas!$N$1:$AA$20,$AC36,FALSE)=0,"",VLOOKUP(L$1,Lecturas!$N$1:$AA$20,$AC36,FALSE))</f>
        <v/>
      </c>
      <c r="M36" s="163">
        <f>+IF(VLOOKUP(M$1,Lecturas!$N$1:$AA$20,$AC36,FALSE)=0,"",VLOOKUP(M$1,Lecturas!$N$1:$AA$20,$AC36,FALSE))</f>
        <v>2500</v>
      </c>
      <c r="N36" s="163">
        <f>+IF(VLOOKUP(N$1,Lecturas!$N$1:$AA$20,$AC36,FALSE)=0,"",VLOOKUP(N$1,Lecturas!$N$1:$AA$20,$AC36,FALSE))</f>
        <v>2000</v>
      </c>
      <c r="O36" s="163">
        <f>+IF(VLOOKUP(O$1,Lecturas!$N$1:$AA$20,$AC36,FALSE)=0,"",VLOOKUP(O$1,Lecturas!$N$1:$AA$20,$AC36,FALSE))</f>
        <v>3000</v>
      </c>
      <c r="P36" s="156" t="str">
        <f>+IF(VLOOKUP(P$1,Lecturas!$N$1:$AA$20,$AC36,FALSE)=0,"",VLOOKUP(P$1,Lecturas!$N$1:$AA$20,$AC36,FALSE))</f>
        <v/>
      </c>
      <c r="Q36" s="156" t="str">
        <f>+IF(VLOOKUP(Q$1,Lecturas!$N$1:$AA$20,$AC36,FALSE)=0,"",VLOOKUP(Q$1,Lecturas!$N$1:$AA$20,$AC36,FALSE))</f>
        <v/>
      </c>
      <c r="R36" s="156" t="str">
        <f>+IF(VLOOKUP(R$1,Lecturas!$N$1:$AA$20,$AC36,FALSE)=0,"",VLOOKUP(R$1,Lecturas!$N$1:$AA$20,$AC36,FALSE))</f>
        <v/>
      </c>
      <c r="S36" s="163" t="str">
        <f>+IF(VLOOKUP(S$1,Lecturas!$N$1:$AA$20,$AC36,FALSE)=0,"",VLOOKUP(S$1,Lecturas!$N$1:$AA$20,$AC36,FALSE))</f>
        <v/>
      </c>
      <c r="T36" s="163" t="str">
        <f>+IF(VLOOKUP(T$1,Lecturas!$N$1:$AA$20,$AC36,FALSE)=0,"",VLOOKUP(T$1,Lecturas!$N$1:$AA$20,$AC36,FALSE))</f>
        <v/>
      </c>
      <c r="U36" s="163" t="str">
        <f>+IF(VLOOKUP(U$1,Lecturas!$N$1:$AA$20,$AC36,FALSE)=0,"",VLOOKUP(U$1,Lecturas!$N$1:$AA$20,$AC36,FALSE))</f>
        <v/>
      </c>
      <c r="V36" s="156" t="str">
        <f>+IF(VLOOKUP(V$1,Lecturas!$N$1:$AA$20,$AC36,FALSE)=0,"",VLOOKUP(V$1,Lecturas!$N$1:$AA$20,$AC36,FALSE))</f>
        <v/>
      </c>
      <c r="W36" s="156" t="str">
        <f>+IF(VLOOKUP(W$1,Lecturas!$N$1:$AA$20,$AC36,FALSE)=0,"",VLOOKUP(W$1,Lecturas!$N$1:$AA$20,$AC36,FALSE))</f>
        <v/>
      </c>
      <c r="X36" s="156" t="str">
        <f>+IF(VLOOKUP(X$1,Lecturas!$N$1:$AA$20,$AC36,FALSE)=0,"",VLOOKUP(X$1,Lecturas!$N$1:$AA$20,$AC36,FALSE))</f>
        <v/>
      </c>
      <c r="Y36" s="163">
        <f>+IF(VLOOKUP(Y$1,Lecturas!$N$1:$AA$20,$AC36,FALSE)=0,"",VLOOKUP(Y$1,Lecturas!$N$1:$AA$20,$AC36,FALSE))</f>
        <v>2460</v>
      </c>
      <c r="Z36" s="48"/>
      <c r="AA36" s="48"/>
      <c r="AB36" s="48"/>
      <c r="AC36" s="148">
        <f>+'CARGA DE DATOS'!AF37</f>
        <v>5</v>
      </c>
    </row>
    <row r="37" spans="1:29" x14ac:dyDescent="0.25">
      <c r="A37" s="148">
        <f>+'CARGA DE DATOS'!A38</f>
        <v>36</v>
      </c>
      <c r="B37" s="48" t="str">
        <f>+IF(RESULTADOS!H37="","",RESULTADOS!H37)</f>
        <v/>
      </c>
      <c r="C37" s="48" t="str">
        <f>+IF(RESULTADOS!D37="","",RESULTADOS!D37)</f>
        <v/>
      </c>
      <c r="D37" s="160" t="str">
        <f>+IF('CARGA DE DATOS'!K38="Cooperativa","COOP",IF(Salida!AT38="true","PROSU","GD"))</f>
        <v>GD</v>
      </c>
      <c r="E37" s="160" t="s">
        <v>9147</v>
      </c>
      <c r="F37" s="160" t="str">
        <f>+IF(OR(D37="COOP",'CARGA DE DATOS'!K38="GUMA"),"15.02.2022",IF('CARGA DE DATOS'!K38="GUME","05.02.2022","10.02.2022"))</f>
        <v>10.02.2022</v>
      </c>
      <c r="G37" s="163">
        <f>+IF(VLOOKUP(G$1,Lecturas!$N$1:$AA$20,$AC37,FALSE)=0,"",VLOOKUP(G$1,Lecturas!$N$1:$AA$20,$AC37,FALSE))</f>
        <v>150</v>
      </c>
      <c r="H37" s="163">
        <f>+IF(VLOOKUP(H$1,Lecturas!$N$1:$AA$20,$AC37,FALSE)=0,"",VLOOKUP(H$1,Lecturas!$N$1:$AA$20,$AC37,FALSE))</f>
        <v>150</v>
      </c>
      <c r="I37" s="163">
        <f>+IF(VLOOKUP(I$1,Lecturas!$N$1:$AA$20,$AC37,FALSE)=0,"",VLOOKUP(I$1,Lecturas!$N$1:$AA$20,$AC37,FALSE))</f>
        <v>150</v>
      </c>
      <c r="J37" s="156" t="str">
        <f>+IF(VLOOKUP(J$1,Lecturas!$N$1:$AA$20,$AC37,FALSE)=0,"",VLOOKUP(J$1,Lecturas!$N$1:$AA$20,$AC37,FALSE))</f>
        <v/>
      </c>
      <c r="K37" s="156" t="str">
        <f>+IF(VLOOKUP(K$1,Lecturas!$N$1:$AA$20,$AC37,FALSE)=0,"",VLOOKUP(K$1,Lecturas!$N$1:$AA$20,$AC37,FALSE))</f>
        <v/>
      </c>
      <c r="L37" s="156" t="str">
        <f>+IF(VLOOKUP(L$1,Lecturas!$N$1:$AA$20,$AC37,FALSE)=0,"",VLOOKUP(L$1,Lecturas!$N$1:$AA$20,$AC37,FALSE))</f>
        <v/>
      </c>
      <c r="M37" s="163">
        <f>+IF(VLOOKUP(M$1,Lecturas!$N$1:$AA$20,$AC37,FALSE)=0,"",VLOOKUP(M$1,Lecturas!$N$1:$AA$20,$AC37,FALSE))</f>
        <v>2500</v>
      </c>
      <c r="N37" s="163">
        <f>+IF(VLOOKUP(N$1,Lecturas!$N$1:$AA$20,$AC37,FALSE)=0,"",VLOOKUP(N$1,Lecturas!$N$1:$AA$20,$AC37,FALSE))</f>
        <v>2000</v>
      </c>
      <c r="O37" s="163">
        <f>+IF(VLOOKUP(O$1,Lecturas!$N$1:$AA$20,$AC37,FALSE)=0,"",VLOOKUP(O$1,Lecturas!$N$1:$AA$20,$AC37,FALSE))</f>
        <v>3000</v>
      </c>
      <c r="P37" s="156" t="str">
        <f>+IF(VLOOKUP(P$1,Lecturas!$N$1:$AA$20,$AC37,FALSE)=0,"",VLOOKUP(P$1,Lecturas!$N$1:$AA$20,$AC37,FALSE))</f>
        <v/>
      </c>
      <c r="Q37" s="156" t="str">
        <f>+IF(VLOOKUP(Q$1,Lecturas!$N$1:$AA$20,$AC37,FALSE)=0,"",VLOOKUP(Q$1,Lecturas!$N$1:$AA$20,$AC37,FALSE))</f>
        <v/>
      </c>
      <c r="R37" s="156" t="str">
        <f>+IF(VLOOKUP(R$1,Lecturas!$N$1:$AA$20,$AC37,FALSE)=0,"",VLOOKUP(R$1,Lecturas!$N$1:$AA$20,$AC37,FALSE))</f>
        <v/>
      </c>
      <c r="S37" s="163" t="str">
        <f>+IF(VLOOKUP(S$1,Lecturas!$N$1:$AA$20,$AC37,FALSE)=0,"",VLOOKUP(S$1,Lecturas!$N$1:$AA$20,$AC37,FALSE))</f>
        <v/>
      </c>
      <c r="T37" s="163" t="str">
        <f>+IF(VLOOKUP(T$1,Lecturas!$N$1:$AA$20,$AC37,FALSE)=0,"",VLOOKUP(T$1,Lecturas!$N$1:$AA$20,$AC37,FALSE))</f>
        <v/>
      </c>
      <c r="U37" s="163" t="str">
        <f>+IF(VLOOKUP(U$1,Lecturas!$N$1:$AA$20,$AC37,FALSE)=0,"",VLOOKUP(U$1,Lecturas!$N$1:$AA$20,$AC37,FALSE))</f>
        <v/>
      </c>
      <c r="V37" s="156" t="str">
        <f>+IF(VLOOKUP(V$1,Lecturas!$N$1:$AA$20,$AC37,FALSE)=0,"",VLOOKUP(V$1,Lecturas!$N$1:$AA$20,$AC37,FALSE))</f>
        <v/>
      </c>
      <c r="W37" s="156" t="str">
        <f>+IF(VLOOKUP(W$1,Lecturas!$N$1:$AA$20,$AC37,FALSE)=0,"",VLOOKUP(W$1,Lecturas!$N$1:$AA$20,$AC37,FALSE))</f>
        <v/>
      </c>
      <c r="X37" s="156" t="str">
        <f>+IF(VLOOKUP(X$1,Lecturas!$N$1:$AA$20,$AC37,FALSE)=0,"",VLOOKUP(X$1,Lecturas!$N$1:$AA$20,$AC37,FALSE))</f>
        <v/>
      </c>
      <c r="Y37" s="163">
        <f>+IF(VLOOKUP(Y$1,Lecturas!$N$1:$AA$20,$AC37,FALSE)=0,"",VLOOKUP(Y$1,Lecturas!$N$1:$AA$20,$AC37,FALSE))</f>
        <v>5000</v>
      </c>
      <c r="Z37" s="48"/>
      <c r="AA37" s="48"/>
      <c r="AB37" s="48"/>
      <c r="AC37" s="148">
        <f>+'CARGA DE DATOS'!AF38</f>
        <v>2</v>
      </c>
    </row>
    <row r="38" spans="1:29" x14ac:dyDescent="0.25">
      <c r="A38" s="148">
        <f>+'CARGA DE DATOS'!A39</f>
        <v>37</v>
      </c>
      <c r="B38" s="48" t="str">
        <f>+IF(RESULTADOS!H38="","",RESULTADOS!H38)</f>
        <v/>
      </c>
      <c r="C38" s="48" t="str">
        <f>+IF(RESULTADOS!D38="","",RESULTADOS!D38)</f>
        <v/>
      </c>
      <c r="D38" s="160" t="str">
        <f>+IF('CARGA DE DATOS'!K39="Cooperativa","COOP",IF(Salida!AT39="true","PROSU","GD"))</f>
        <v>GD</v>
      </c>
      <c r="E38" s="160" t="s">
        <v>9147</v>
      </c>
      <c r="F38" s="160" t="str">
        <f>+IF(OR(D38="COOP",'CARGA DE DATOS'!K39="GUMA"),"15.02.2022",IF('CARGA DE DATOS'!K39="GUME","05.02.2022","10.02.2022"))</f>
        <v>10.02.2022</v>
      </c>
      <c r="G38" s="163">
        <f>+IF(VLOOKUP(G$1,Lecturas!$N$1:$AA$20,$AC38,FALSE)=0,"",VLOOKUP(G$1,Lecturas!$N$1:$AA$20,$AC38,FALSE))</f>
        <v>150</v>
      </c>
      <c r="H38" s="163">
        <f>+IF(VLOOKUP(H$1,Lecturas!$N$1:$AA$20,$AC38,FALSE)=0,"",VLOOKUP(H$1,Lecturas!$N$1:$AA$20,$AC38,FALSE))</f>
        <v>300</v>
      </c>
      <c r="I38" s="163">
        <f>+IF(VLOOKUP(I$1,Lecturas!$N$1:$AA$20,$AC38,FALSE)=0,"",VLOOKUP(I$1,Lecturas!$N$1:$AA$20,$AC38,FALSE))</f>
        <v>350</v>
      </c>
      <c r="J38" s="156" t="str">
        <f>+IF(VLOOKUP(J$1,Lecturas!$N$1:$AA$20,$AC38,FALSE)=0,"",VLOOKUP(J$1,Lecturas!$N$1:$AA$20,$AC38,FALSE))</f>
        <v/>
      </c>
      <c r="K38" s="156" t="str">
        <f>+IF(VLOOKUP(K$1,Lecturas!$N$1:$AA$20,$AC38,FALSE)=0,"",VLOOKUP(K$1,Lecturas!$N$1:$AA$20,$AC38,FALSE))</f>
        <v/>
      </c>
      <c r="L38" s="156" t="str">
        <f>+IF(VLOOKUP(L$1,Lecturas!$N$1:$AA$20,$AC38,FALSE)=0,"",VLOOKUP(L$1,Lecturas!$N$1:$AA$20,$AC38,FALSE))</f>
        <v/>
      </c>
      <c r="M38" s="163">
        <f>+IF(VLOOKUP(M$1,Lecturas!$N$1:$AA$20,$AC38,FALSE)=0,"",VLOOKUP(M$1,Lecturas!$N$1:$AA$20,$AC38,FALSE))</f>
        <v>2500</v>
      </c>
      <c r="N38" s="163">
        <f>+IF(VLOOKUP(N$1,Lecturas!$N$1:$AA$20,$AC38,FALSE)=0,"",VLOOKUP(N$1,Lecturas!$N$1:$AA$20,$AC38,FALSE))</f>
        <v>2000</v>
      </c>
      <c r="O38" s="163">
        <f>+IF(VLOOKUP(O$1,Lecturas!$N$1:$AA$20,$AC38,FALSE)=0,"",VLOOKUP(O$1,Lecturas!$N$1:$AA$20,$AC38,FALSE))</f>
        <v>3000</v>
      </c>
      <c r="P38" s="156" t="str">
        <f>+IF(VLOOKUP(P$1,Lecturas!$N$1:$AA$20,$AC38,FALSE)=0,"",VLOOKUP(P$1,Lecturas!$N$1:$AA$20,$AC38,FALSE))</f>
        <v/>
      </c>
      <c r="Q38" s="156" t="str">
        <f>+IF(VLOOKUP(Q$1,Lecturas!$N$1:$AA$20,$AC38,FALSE)=0,"",VLOOKUP(Q$1,Lecturas!$N$1:$AA$20,$AC38,FALSE))</f>
        <v/>
      </c>
      <c r="R38" s="156" t="str">
        <f>+IF(VLOOKUP(R$1,Lecturas!$N$1:$AA$20,$AC38,FALSE)=0,"",VLOOKUP(R$1,Lecturas!$N$1:$AA$20,$AC38,FALSE))</f>
        <v/>
      </c>
      <c r="S38" s="163" t="str">
        <f>+IF(VLOOKUP(S$1,Lecturas!$N$1:$AA$20,$AC38,FALSE)=0,"",VLOOKUP(S$1,Lecturas!$N$1:$AA$20,$AC38,FALSE))</f>
        <v/>
      </c>
      <c r="T38" s="163" t="str">
        <f>+IF(VLOOKUP(T$1,Lecturas!$N$1:$AA$20,$AC38,FALSE)=0,"",VLOOKUP(T$1,Lecturas!$N$1:$AA$20,$AC38,FALSE))</f>
        <v/>
      </c>
      <c r="U38" s="163" t="str">
        <f>+IF(VLOOKUP(U$1,Lecturas!$N$1:$AA$20,$AC38,FALSE)=0,"",VLOOKUP(U$1,Lecturas!$N$1:$AA$20,$AC38,FALSE))</f>
        <v/>
      </c>
      <c r="V38" s="156" t="str">
        <f>+IF(VLOOKUP(V$1,Lecturas!$N$1:$AA$20,$AC38,FALSE)=0,"",VLOOKUP(V$1,Lecturas!$N$1:$AA$20,$AC38,FALSE))</f>
        <v/>
      </c>
      <c r="W38" s="156" t="str">
        <f>+IF(VLOOKUP(W$1,Lecturas!$N$1:$AA$20,$AC38,FALSE)=0,"",VLOOKUP(W$1,Lecturas!$N$1:$AA$20,$AC38,FALSE))</f>
        <v/>
      </c>
      <c r="X38" s="156" t="str">
        <f>+IF(VLOOKUP(X$1,Lecturas!$N$1:$AA$20,$AC38,FALSE)=0,"",VLOOKUP(X$1,Lecturas!$N$1:$AA$20,$AC38,FALSE))</f>
        <v/>
      </c>
      <c r="Y38" s="163">
        <f>+IF(VLOOKUP(Y$1,Lecturas!$N$1:$AA$20,$AC38,FALSE)=0,"",VLOOKUP(Y$1,Lecturas!$N$1:$AA$20,$AC38,FALSE))</f>
        <v>2460</v>
      </c>
      <c r="Z38" s="48"/>
      <c r="AA38" s="48"/>
      <c r="AB38" s="48"/>
      <c r="AC38" s="148">
        <f>+'CARGA DE DATOS'!AF39</f>
        <v>5</v>
      </c>
    </row>
    <row r="39" spans="1:29" x14ac:dyDescent="0.25">
      <c r="A39" s="148">
        <f>+'CARGA DE DATOS'!A40</f>
        <v>38</v>
      </c>
      <c r="B39" s="48" t="str">
        <f>+IF(RESULTADOS!H39="","",RESULTADOS!H39)</f>
        <v/>
      </c>
      <c r="C39" s="48" t="str">
        <f>+IF(RESULTADOS!D39="","",RESULTADOS!D39)</f>
        <v/>
      </c>
      <c r="D39" s="160" t="str">
        <f>+IF('CARGA DE DATOS'!K40="Cooperativa","COOP",IF(Salida!AT40="true","PROSU","GD"))</f>
        <v>GD</v>
      </c>
      <c r="E39" s="160" t="s">
        <v>9147</v>
      </c>
      <c r="F39" s="160" t="str">
        <f>+IF(OR(D39="COOP",'CARGA DE DATOS'!K40="GUMA"),"15.02.2022",IF('CARGA DE DATOS'!K40="GUME","05.02.2022","10.02.2022"))</f>
        <v>10.02.2022</v>
      </c>
      <c r="G39" s="163">
        <f>+IF(VLOOKUP(G$1,Lecturas!$N$1:$AA$20,$AC39,FALSE)=0,"",VLOOKUP(G$1,Lecturas!$N$1:$AA$20,$AC39,FALSE))</f>
        <v>1500</v>
      </c>
      <c r="H39" s="163">
        <f>+IF(VLOOKUP(H$1,Lecturas!$N$1:$AA$20,$AC39,FALSE)=0,"",VLOOKUP(H$1,Lecturas!$N$1:$AA$20,$AC39,FALSE))</f>
        <v>1550</v>
      </c>
      <c r="I39" s="163">
        <f>+IF(VLOOKUP(I$1,Lecturas!$N$1:$AA$20,$AC39,FALSE)=0,"",VLOOKUP(I$1,Lecturas!$N$1:$AA$20,$AC39,FALSE))</f>
        <v>1550</v>
      </c>
      <c r="J39" s="156" t="str">
        <f>+IF(VLOOKUP(J$1,Lecturas!$N$1:$AA$20,$AC39,FALSE)=0,"",VLOOKUP(J$1,Lecturas!$N$1:$AA$20,$AC39,FALSE))</f>
        <v/>
      </c>
      <c r="K39" s="156" t="str">
        <f>+IF(VLOOKUP(K$1,Lecturas!$N$1:$AA$20,$AC39,FALSE)=0,"",VLOOKUP(K$1,Lecturas!$N$1:$AA$20,$AC39,FALSE))</f>
        <v/>
      </c>
      <c r="L39" s="156" t="str">
        <f>+IF(VLOOKUP(L$1,Lecturas!$N$1:$AA$20,$AC39,FALSE)=0,"",VLOOKUP(L$1,Lecturas!$N$1:$AA$20,$AC39,FALSE))</f>
        <v/>
      </c>
      <c r="M39" s="163">
        <f>+IF(VLOOKUP(M$1,Lecturas!$N$1:$AA$20,$AC39,FALSE)=0,"",VLOOKUP(M$1,Lecturas!$N$1:$AA$20,$AC39,FALSE))</f>
        <v>2500</v>
      </c>
      <c r="N39" s="163">
        <f>+IF(VLOOKUP(N$1,Lecturas!$N$1:$AA$20,$AC39,FALSE)=0,"",VLOOKUP(N$1,Lecturas!$N$1:$AA$20,$AC39,FALSE))</f>
        <v>2000</v>
      </c>
      <c r="O39" s="163">
        <f>+IF(VLOOKUP(O$1,Lecturas!$N$1:$AA$20,$AC39,FALSE)=0,"",VLOOKUP(O$1,Lecturas!$N$1:$AA$20,$AC39,FALSE))</f>
        <v>3000</v>
      </c>
      <c r="P39" s="156" t="str">
        <f>+IF(VLOOKUP(P$1,Lecturas!$N$1:$AA$20,$AC39,FALSE)=0,"",VLOOKUP(P$1,Lecturas!$N$1:$AA$20,$AC39,FALSE))</f>
        <v/>
      </c>
      <c r="Q39" s="156" t="str">
        <f>+IF(VLOOKUP(Q$1,Lecturas!$N$1:$AA$20,$AC39,FALSE)=0,"",VLOOKUP(Q$1,Lecturas!$N$1:$AA$20,$AC39,FALSE))</f>
        <v/>
      </c>
      <c r="R39" s="156" t="str">
        <f>+IF(VLOOKUP(R$1,Lecturas!$N$1:$AA$20,$AC39,FALSE)=0,"",VLOOKUP(R$1,Lecturas!$N$1:$AA$20,$AC39,FALSE))</f>
        <v/>
      </c>
      <c r="S39" s="163" t="str">
        <f>+IF(VLOOKUP(S$1,Lecturas!$N$1:$AA$20,$AC39,FALSE)=0,"",VLOOKUP(S$1,Lecturas!$N$1:$AA$20,$AC39,FALSE))</f>
        <v/>
      </c>
      <c r="T39" s="163" t="str">
        <f>+IF(VLOOKUP(T$1,Lecturas!$N$1:$AA$20,$AC39,FALSE)=0,"",VLOOKUP(T$1,Lecturas!$N$1:$AA$20,$AC39,FALSE))</f>
        <v/>
      </c>
      <c r="U39" s="163" t="str">
        <f>+IF(VLOOKUP(U$1,Lecturas!$N$1:$AA$20,$AC39,FALSE)=0,"",VLOOKUP(U$1,Lecturas!$N$1:$AA$20,$AC39,FALSE))</f>
        <v/>
      </c>
      <c r="V39" s="156" t="str">
        <f>+IF(VLOOKUP(V$1,Lecturas!$N$1:$AA$20,$AC39,FALSE)=0,"",VLOOKUP(V$1,Lecturas!$N$1:$AA$20,$AC39,FALSE))</f>
        <v/>
      </c>
      <c r="W39" s="156" t="str">
        <f>+IF(VLOOKUP(W$1,Lecturas!$N$1:$AA$20,$AC39,FALSE)=0,"",VLOOKUP(W$1,Lecturas!$N$1:$AA$20,$AC39,FALSE))</f>
        <v/>
      </c>
      <c r="X39" s="156" t="str">
        <f>+IF(VLOOKUP(X$1,Lecturas!$N$1:$AA$20,$AC39,FALSE)=0,"",VLOOKUP(X$1,Lecturas!$N$1:$AA$20,$AC39,FALSE))</f>
        <v/>
      </c>
      <c r="Y39" s="163">
        <f>+IF(VLOOKUP(Y$1,Lecturas!$N$1:$AA$20,$AC39,FALSE)=0,"",VLOOKUP(Y$1,Lecturas!$N$1:$AA$20,$AC39,FALSE))</f>
        <v>7500</v>
      </c>
      <c r="Z39" s="48"/>
      <c r="AA39" s="48"/>
      <c r="AB39" s="48"/>
      <c r="AC39" s="148">
        <f>+'CARGA DE DATOS'!AF40</f>
        <v>7</v>
      </c>
    </row>
    <row r="40" spans="1:29" x14ac:dyDescent="0.25">
      <c r="A40" s="148">
        <f>+'CARGA DE DATOS'!A41</f>
        <v>39</v>
      </c>
      <c r="B40" s="48" t="str">
        <f>+IF(RESULTADOS!H40="","",RESULTADOS!H40)</f>
        <v/>
      </c>
      <c r="C40" s="48" t="str">
        <f>+IF(RESULTADOS!D40="","",RESULTADOS!D40)</f>
        <v/>
      </c>
      <c r="D40" s="160" t="str">
        <f>+IF('CARGA DE DATOS'!K41="Cooperativa","COOP",IF(Salida!AT41="true","PROSU","GD"))</f>
        <v>GD</v>
      </c>
      <c r="E40" s="160" t="s">
        <v>9147</v>
      </c>
      <c r="F40" s="160" t="str">
        <f>+IF(OR(D40="COOP",'CARGA DE DATOS'!K41="GUMA"),"15.02.2022",IF('CARGA DE DATOS'!K41="GUME","05.02.2022","10.02.2022"))</f>
        <v>10.02.2022</v>
      </c>
      <c r="G40" s="163">
        <f>+IF(VLOOKUP(G$1,Lecturas!$N$1:$AA$20,$AC40,FALSE)=0,"",VLOOKUP(G$1,Lecturas!$N$1:$AA$20,$AC40,FALSE))</f>
        <v>1000</v>
      </c>
      <c r="H40" s="163">
        <f>+IF(VLOOKUP(H$1,Lecturas!$N$1:$AA$20,$AC40,FALSE)=0,"",VLOOKUP(H$1,Lecturas!$N$1:$AA$20,$AC40,FALSE))</f>
        <v>150</v>
      </c>
      <c r="I40" s="163">
        <f>+IF(VLOOKUP(I$1,Lecturas!$N$1:$AA$20,$AC40,FALSE)=0,"",VLOOKUP(I$1,Lecturas!$N$1:$AA$20,$AC40,FALSE))</f>
        <v>350</v>
      </c>
      <c r="J40" s="156" t="str">
        <f>+IF(VLOOKUP(J$1,Lecturas!$N$1:$AA$20,$AC40,FALSE)=0,"",VLOOKUP(J$1,Lecturas!$N$1:$AA$20,$AC40,FALSE))</f>
        <v/>
      </c>
      <c r="K40" s="156" t="str">
        <f>+IF(VLOOKUP(K$1,Lecturas!$N$1:$AA$20,$AC40,FALSE)=0,"",VLOOKUP(K$1,Lecturas!$N$1:$AA$20,$AC40,FALSE))</f>
        <v/>
      </c>
      <c r="L40" s="156" t="str">
        <f>+IF(VLOOKUP(L$1,Lecturas!$N$1:$AA$20,$AC40,FALSE)=0,"",VLOOKUP(L$1,Lecturas!$N$1:$AA$20,$AC40,FALSE))</f>
        <v/>
      </c>
      <c r="M40" s="163">
        <f>+IF(VLOOKUP(M$1,Lecturas!$N$1:$AA$20,$AC40,FALSE)=0,"",VLOOKUP(M$1,Lecturas!$N$1:$AA$20,$AC40,FALSE))</f>
        <v>2500</v>
      </c>
      <c r="N40" s="163">
        <f>+IF(VLOOKUP(N$1,Lecturas!$N$1:$AA$20,$AC40,FALSE)=0,"",VLOOKUP(N$1,Lecturas!$N$1:$AA$20,$AC40,FALSE))</f>
        <v>2000</v>
      </c>
      <c r="O40" s="163">
        <f>+IF(VLOOKUP(O$1,Lecturas!$N$1:$AA$20,$AC40,FALSE)=0,"",VLOOKUP(O$1,Lecturas!$N$1:$AA$20,$AC40,FALSE))</f>
        <v>3000</v>
      </c>
      <c r="P40" s="156" t="str">
        <f>+IF(VLOOKUP(P$1,Lecturas!$N$1:$AA$20,$AC40,FALSE)=0,"",VLOOKUP(P$1,Lecturas!$N$1:$AA$20,$AC40,FALSE))</f>
        <v/>
      </c>
      <c r="Q40" s="156" t="str">
        <f>+IF(VLOOKUP(Q$1,Lecturas!$N$1:$AA$20,$AC40,FALSE)=0,"",VLOOKUP(Q$1,Lecturas!$N$1:$AA$20,$AC40,FALSE))</f>
        <v/>
      </c>
      <c r="R40" s="156" t="str">
        <f>+IF(VLOOKUP(R$1,Lecturas!$N$1:$AA$20,$AC40,FALSE)=0,"",VLOOKUP(R$1,Lecturas!$N$1:$AA$20,$AC40,FALSE))</f>
        <v/>
      </c>
      <c r="S40" s="163" t="str">
        <f>+IF(VLOOKUP(S$1,Lecturas!$N$1:$AA$20,$AC40,FALSE)=0,"",VLOOKUP(S$1,Lecturas!$N$1:$AA$20,$AC40,FALSE))</f>
        <v/>
      </c>
      <c r="T40" s="163" t="str">
        <f>+IF(VLOOKUP(T$1,Lecturas!$N$1:$AA$20,$AC40,FALSE)=0,"",VLOOKUP(T$1,Lecturas!$N$1:$AA$20,$AC40,FALSE))</f>
        <v/>
      </c>
      <c r="U40" s="163" t="str">
        <f>+IF(VLOOKUP(U$1,Lecturas!$N$1:$AA$20,$AC40,FALSE)=0,"",VLOOKUP(U$1,Lecturas!$N$1:$AA$20,$AC40,FALSE))</f>
        <v/>
      </c>
      <c r="V40" s="156" t="str">
        <f>+IF(VLOOKUP(V$1,Lecturas!$N$1:$AA$20,$AC40,FALSE)=0,"",VLOOKUP(V$1,Lecturas!$N$1:$AA$20,$AC40,FALSE))</f>
        <v/>
      </c>
      <c r="W40" s="156" t="str">
        <f>+IF(VLOOKUP(W$1,Lecturas!$N$1:$AA$20,$AC40,FALSE)=0,"",VLOOKUP(W$1,Lecturas!$N$1:$AA$20,$AC40,FALSE))</f>
        <v/>
      </c>
      <c r="X40" s="156" t="str">
        <f>+IF(VLOOKUP(X$1,Lecturas!$N$1:$AA$20,$AC40,FALSE)=0,"",VLOOKUP(X$1,Lecturas!$N$1:$AA$20,$AC40,FALSE))</f>
        <v/>
      </c>
      <c r="Y40" s="163">
        <f>+IF(VLOOKUP(Y$1,Lecturas!$N$1:$AA$20,$AC40,FALSE)=0,"",VLOOKUP(Y$1,Lecturas!$N$1:$AA$20,$AC40,FALSE))</f>
        <v>7500</v>
      </c>
      <c r="Z40" s="48"/>
      <c r="AA40" s="48"/>
      <c r="AB40" s="48"/>
      <c r="AC40" s="148">
        <f>+'CARGA DE DATOS'!AF41</f>
        <v>6</v>
      </c>
    </row>
    <row r="41" spans="1:29" x14ac:dyDescent="0.25">
      <c r="A41" s="148">
        <f>+'CARGA DE DATOS'!A42</f>
        <v>40</v>
      </c>
      <c r="B41" s="48" t="str">
        <f>+IF(RESULTADOS!H41="","",RESULTADOS!H41)</f>
        <v/>
      </c>
      <c r="C41" s="48" t="str">
        <f>+IF(RESULTADOS!D41="","",RESULTADOS!D41)</f>
        <v/>
      </c>
      <c r="D41" s="160" t="str">
        <f>+IF('CARGA DE DATOS'!K42="Cooperativa","COOP",IF(Salida!AT42="true","PROSU","GD"))</f>
        <v>GD</v>
      </c>
      <c r="E41" s="160" t="s">
        <v>9147</v>
      </c>
      <c r="F41" s="160" t="str">
        <f>+IF(OR(D41="COOP",'CARGA DE DATOS'!K42="GUMA"),"15.02.2022",IF('CARGA DE DATOS'!K42="GUME","05.02.2022","10.02.2022"))</f>
        <v>10.02.2022</v>
      </c>
      <c r="G41" s="163">
        <f>+IF(VLOOKUP(G$1,Lecturas!$N$1:$AA$20,$AC41,FALSE)=0,"",VLOOKUP(G$1,Lecturas!$N$1:$AA$20,$AC41,FALSE))</f>
        <v>1500</v>
      </c>
      <c r="H41" s="163">
        <f>+IF(VLOOKUP(H$1,Lecturas!$N$1:$AA$20,$AC41,FALSE)=0,"",VLOOKUP(H$1,Lecturas!$N$1:$AA$20,$AC41,FALSE))</f>
        <v>1550</v>
      </c>
      <c r="I41" s="163">
        <f>+IF(VLOOKUP(I$1,Lecturas!$N$1:$AA$20,$AC41,FALSE)=0,"",VLOOKUP(I$1,Lecturas!$N$1:$AA$20,$AC41,FALSE))</f>
        <v>1550</v>
      </c>
      <c r="J41" s="156" t="str">
        <f>+IF(VLOOKUP(J$1,Lecturas!$N$1:$AA$20,$AC41,FALSE)=0,"",VLOOKUP(J$1,Lecturas!$N$1:$AA$20,$AC41,FALSE))</f>
        <v/>
      </c>
      <c r="K41" s="156" t="str">
        <f>+IF(VLOOKUP(K$1,Lecturas!$N$1:$AA$20,$AC41,FALSE)=0,"",VLOOKUP(K$1,Lecturas!$N$1:$AA$20,$AC41,FALSE))</f>
        <v/>
      </c>
      <c r="L41" s="156" t="str">
        <f>+IF(VLOOKUP(L$1,Lecturas!$N$1:$AA$20,$AC41,FALSE)=0,"",VLOOKUP(L$1,Lecturas!$N$1:$AA$20,$AC41,FALSE))</f>
        <v/>
      </c>
      <c r="M41" s="163">
        <f>+IF(VLOOKUP(M$1,Lecturas!$N$1:$AA$20,$AC41,FALSE)=0,"",VLOOKUP(M$1,Lecturas!$N$1:$AA$20,$AC41,FALSE))</f>
        <v>2500</v>
      </c>
      <c r="N41" s="163">
        <f>+IF(VLOOKUP(N$1,Lecturas!$N$1:$AA$20,$AC41,FALSE)=0,"",VLOOKUP(N$1,Lecturas!$N$1:$AA$20,$AC41,FALSE))</f>
        <v>2000</v>
      </c>
      <c r="O41" s="163">
        <f>+IF(VLOOKUP(O$1,Lecturas!$N$1:$AA$20,$AC41,FALSE)=0,"",VLOOKUP(O$1,Lecturas!$N$1:$AA$20,$AC41,FALSE))</f>
        <v>3000</v>
      </c>
      <c r="P41" s="156" t="str">
        <f>+IF(VLOOKUP(P$1,Lecturas!$N$1:$AA$20,$AC41,FALSE)=0,"",VLOOKUP(P$1,Lecturas!$N$1:$AA$20,$AC41,FALSE))</f>
        <v/>
      </c>
      <c r="Q41" s="156" t="str">
        <f>+IF(VLOOKUP(Q$1,Lecturas!$N$1:$AA$20,$AC41,FALSE)=0,"",VLOOKUP(Q$1,Lecturas!$N$1:$AA$20,$AC41,FALSE))</f>
        <v/>
      </c>
      <c r="R41" s="156" t="str">
        <f>+IF(VLOOKUP(R$1,Lecturas!$N$1:$AA$20,$AC41,FALSE)=0,"",VLOOKUP(R$1,Lecturas!$N$1:$AA$20,$AC41,FALSE))</f>
        <v/>
      </c>
      <c r="S41" s="163" t="str">
        <f>+IF(VLOOKUP(S$1,Lecturas!$N$1:$AA$20,$AC41,FALSE)=0,"",VLOOKUP(S$1,Lecturas!$N$1:$AA$20,$AC41,FALSE))</f>
        <v/>
      </c>
      <c r="T41" s="163" t="str">
        <f>+IF(VLOOKUP(T$1,Lecturas!$N$1:$AA$20,$AC41,FALSE)=0,"",VLOOKUP(T$1,Lecturas!$N$1:$AA$20,$AC41,FALSE))</f>
        <v/>
      </c>
      <c r="U41" s="163" t="str">
        <f>+IF(VLOOKUP(U$1,Lecturas!$N$1:$AA$20,$AC41,FALSE)=0,"",VLOOKUP(U$1,Lecturas!$N$1:$AA$20,$AC41,FALSE))</f>
        <v/>
      </c>
      <c r="V41" s="156" t="str">
        <f>+IF(VLOOKUP(V$1,Lecturas!$N$1:$AA$20,$AC41,FALSE)=0,"",VLOOKUP(V$1,Lecturas!$N$1:$AA$20,$AC41,FALSE))</f>
        <v/>
      </c>
      <c r="W41" s="156" t="str">
        <f>+IF(VLOOKUP(W$1,Lecturas!$N$1:$AA$20,$AC41,FALSE)=0,"",VLOOKUP(W$1,Lecturas!$N$1:$AA$20,$AC41,FALSE))</f>
        <v/>
      </c>
      <c r="X41" s="156" t="str">
        <f>+IF(VLOOKUP(X$1,Lecturas!$N$1:$AA$20,$AC41,FALSE)=0,"",VLOOKUP(X$1,Lecturas!$N$1:$AA$20,$AC41,FALSE))</f>
        <v/>
      </c>
      <c r="Y41" s="163">
        <f>+IF(VLOOKUP(Y$1,Lecturas!$N$1:$AA$20,$AC41,FALSE)=0,"",VLOOKUP(Y$1,Lecturas!$N$1:$AA$20,$AC41,FALSE))</f>
        <v>7500</v>
      </c>
      <c r="Z41" s="48"/>
      <c r="AA41" s="48"/>
      <c r="AB41" s="48"/>
      <c r="AC41" s="148">
        <f>+'CARGA DE DATOS'!AF42</f>
        <v>7</v>
      </c>
    </row>
    <row r="42" spans="1:29" x14ac:dyDescent="0.25">
      <c r="A42" s="148">
        <f>+'CARGA DE DATOS'!A43</f>
        <v>41</v>
      </c>
      <c r="B42" s="48" t="str">
        <f>+IF(RESULTADOS!H42="","",RESULTADOS!H42)</f>
        <v/>
      </c>
      <c r="C42" s="48" t="str">
        <f>+IF(RESULTADOS!D42="","",RESULTADOS!D42)</f>
        <v/>
      </c>
      <c r="D42" s="160" t="str">
        <f>+IF('CARGA DE DATOS'!K43="Cooperativa","COOP",IF(Salida!AT43="true","PROSU","GD"))</f>
        <v>GD</v>
      </c>
      <c r="E42" s="160" t="s">
        <v>9147</v>
      </c>
      <c r="F42" s="160" t="str">
        <f>+IF(OR(D42="COOP",'CARGA DE DATOS'!K43="GUMA"),"15.02.2022",IF('CARGA DE DATOS'!K43="GUME","05.02.2022","10.02.2022"))</f>
        <v>10.02.2022</v>
      </c>
      <c r="G42" s="163">
        <f>+IF(VLOOKUP(G$1,Lecturas!$N$1:$AA$20,$AC42,FALSE)=0,"",VLOOKUP(G$1,Lecturas!$N$1:$AA$20,$AC42,FALSE))</f>
        <v>1500</v>
      </c>
      <c r="H42" s="163">
        <f>+IF(VLOOKUP(H$1,Lecturas!$N$1:$AA$20,$AC42,FALSE)=0,"",VLOOKUP(H$1,Lecturas!$N$1:$AA$20,$AC42,FALSE))</f>
        <v>1550</v>
      </c>
      <c r="I42" s="163">
        <f>+IF(VLOOKUP(I$1,Lecturas!$N$1:$AA$20,$AC42,FALSE)=0,"",VLOOKUP(I$1,Lecturas!$N$1:$AA$20,$AC42,FALSE))</f>
        <v>1550</v>
      </c>
      <c r="J42" s="156" t="str">
        <f>+IF(VLOOKUP(J$1,Lecturas!$N$1:$AA$20,$AC42,FALSE)=0,"",VLOOKUP(J$1,Lecturas!$N$1:$AA$20,$AC42,FALSE))</f>
        <v/>
      </c>
      <c r="K42" s="156" t="str">
        <f>+IF(VLOOKUP(K$1,Lecturas!$N$1:$AA$20,$AC42,FALSE)=0,"",VLOOKUP(K$1,Lecturas!$N$1:$AA$20,$AC42,FALSE))</f>
        <v/>
      </c>
      <c r="L42" s="156" t="str">
        <f>+IF(VLOOKUP(L$1,Lecturas!$N$1:$AA$20,$AC42,FALSE)=0,"",VLOOKUP(L$1,Lecturas!$N$1:$AA$20,$AC42,FALSE))</f>
        <v/>
      </c>
      <c r="M42" s="163">
        <f>+IF(VLOOKUP(M$1,Lecturas!$N$1:$AA$20,$AC42,FALSE)=0,"",VLOOKUP(M$1,Lecturas!$N$1:$AA$20,$AC42,FALSE))</f>
        <v>2500</v>
      </c>
      <c r="N42" s="163">
        <f>+IF(VLOOKUP(N$1,Lecturas!$N$1:$AA$20,$AC42,FALSE)=0,"",VLOOKUP(N$1,Lecturas!$N$1:$AA$20,$AC42,FALSE))</f>
        <v>2000</v>
      </c>
      <c r="O42" s="163">
        <f>+IF(VLOOKUP(O$1,Lecturas!$N$1:$AA$20,$AC42,FALSE)=0,"",VLOOKUP(O$1,Lecturas!$N$1:$AA$20,$AC42,FALSE))</f>
        <v>3000</v>
      </c>
      <c r="P42" s="156" t="str">
        <f>+IF(VLOOKUP(P$1,Lecturas!$N$1:$AA$20,$AC42,FALSE)=0,"",VLOOKUP(P$1,Lecturas!$N$1:$AA$20,$AC42,FALSE))</f>
        <v/>
      </c>
      <c r="Q42" s="156" t="str">
        <f>+IF(VLOOKUP(Q$1,Lecturas!$N$1:$AA$20,$AC42,FALSE)=0,"",VLOOKUP(Q$1,Lecturas!$N$1:$AA$20,$AC42,FALSE))</f>
        <v/>
      </c>
      <c r="R42" s="156" t="str">
        <f>+IF(VLOOKUP(R$1,Lecturas!$N$1:$AA$20,$AC42,FALSE)=0,"",VLOOKUP(R$1,Lecturas!$N$1:$AA$20,$AC42,FALSE))</f>
        <v/>
      </c>
      <c r="S42" s="163" t="str">
        <f>+IF(VLOOKUP(S$1,Lecturas!$N$1:$AA$20,$AC42,FALSE)=0,"",VLOOKUP(S$1,Lecturas!$N$1:$AA$20,$AC42,FALSE))</f>
        <v/>
      </c>
      <c r="T42" s="163" t="str">
        <f>+IF(VLOOKUP(T$1,Lecturas!$N$1:$AA$20,$AC42,FALSE)=0,"",VLOOKUP(T$1,Lecturas!$N$1:$AA$20,$AC42,FALSE))</f>
        <v/>
      </c>
      <c r="U42" s="163" t="str">
        <f>+IF(VLOOKUP(U$1,Lecturas!$N$1:$AA$20,$AC42,FALSE)=0,"",VLOOKUP(U$1,Lecturas!$N$1:$AA$20,$AC42,FALSE))</f>
        <v/>
      </c>
      <c r="V42" s="156" t="str">
        <f>+IF(VLOOKUP(V$1,Lecturas!$N$1:$AA$20,$AC42,FALSE)=0,"",VLOOKUP(V$1,Lecturas!$N$1:$AA$20,$AC42,FALSE))</f>
        <v/>
      </c>
      <c r="W42" s="156" t="str">
        <f>+IF(VLOOKUP(W$1,Lecturas!$N$1:$AA$20,$AC42,FALSE)=0,"",VLOOKUP(W$1,Lecturas!$N$1:$AA$20,$AC42,FALSE))</f>
        <v/>
      </c>
      <c r="X42" s="156" t="str">
        <f>+IF(VLOOKUP(X$1,Lecturas!$N$1:$AA$20,$AC42,FALSE)=0,"",VLOOKUP(X$1,Lecturas!$N$1:$AA$20,$AC42,FALSE))</f>
        <v/>
      </c>
      <c r="Y42" s="163">
        <f>+IF(VLOOKUP(Y$1,Lecturas!$N$1:$AA$20,$AC42,FALSE)=0,"",VLOOKUP(Y$1,Lecturas!$N$1:$AA$20,$AC42,FALSE))</f>
        <v>7500</v>
      </c>
      <c r="Z42" s="48"/>
      <c r="AA42" s="48"/>
      <c r="AB42" s="48"/>
      <c r="AC42" s="148">
        <f>+'CARGA DE DATOS'!AF43</f>
        <v>7</v>
      </c>
    </row>
    <row r="43" spans="1:29" x14ac:dyDescent="0.25">
      <c r="A43" s="148">
        <f>+'CARGA DE DATOS'!A44</f>
        <v>42</v>
      </c>
      <c r="B43" s="48" t="str">
        <f>+IF(RESULTADOS!H43="","",RESULTADOS!H43)</f>
        <v/>
      </c>
      <c r="C43" s="48" t="str">
        <f>+IF(RESULTADOS!D43="","",RESULTADOS!D43)</f>
        <v/>
      </c>
      <c r="D43" s="160" t="str">
        <f>+IF('CARGA DE DATOS'!K44="Cooperativa","COOP",IF(Salida!AT44="true","PROSU","GD"))</f>
        <v>GD</v>
      </c>
      <c r="E43" s="160" t="s">
        <v>9147</v>
      </c>
      <c r="F43" s="160" t="str">
        <f>+IF(OR(D43="COOP",'CARGA DE DATOS'!K44="GUMA"),"15.02.2022",IF('CARGA DE DATOS'!K44="GUME","05.02.2022","10.02.2022"))</f>
        <v>10.02.2022</v>
      </c>
      <c r="G43" s="163">
        <f>+IF(VLOOKUP(G$1,Lecturas!$N$1:$AA$20,$AC43,FALSE)=0,"",VLOOKUP(G$1,Lecturas!$N$1:$AA$20,$AC43,FALSE))</f>
        <v>150</v>
      </c>
      <c r="H43" s="163">
        <f>+IF(VLOOKUP(H$1,Lecturas!$N$1:$AA$20,$AC43,FALSE)=0,"",VLOOKUP(H$1,Lecturas!$N$1:$AA$20,$AC43,FALSE))</f>
        <v>300</v>
      </c>
      <c r="I43" s="163">
        <f>+IF(VLOOKUP(I$1,Lecturas!$N$1:$AA$20,$AC43,FALSE)=0,"",VLOOKUP(I$1,Lecturas!$N$1:$AA$20,$AC43,FALSE))</f>
        <v>350</v>
      </c>
      <c r="J43" s="156" t="str">
        <f>+IF(VLOOKUP(J$1,Lecturas!$N$1:$AA$20,$AC43,FALSE)=0,"",VLOOKUP(J$1,Lecturas!$N$1:$AA$20,$AC43,FALSE))</f>
        <v/>
      </c>
      <c r="K43" s="156" t="str">
        <f>+IF(VLOOKUP(K$1,Lecturas!$N$1:$AA$20,$AC43,FALSE)=0,"",VLOOKUP(K$1,Lecturas!$N$1:$AA$20,$AC43,FALSE))</f>
        <v/>
      </c>
      <c r="L43" s="156" t="str">
        <f>+IF(VLOOKUP(L$1,Lecturas!$N$1:$AA$20,$AC43,FALSE)=0,"",VLOOKUP(L$1,Lecturas!$N$1:$AA$20,$AC43,FALSE))</f>
        <v/>
      </c>
      <c r="M43" s="163">
        <f>+IF(VLOOKUP(M$1,Lecturas!$N$1:$AA$20,$AC43,FALSE)=0,"",VLOOKUP(M$1,Lecturas!$N$1:$AA$20,$AC43,FALSE))</f>
        <v>2500</v>
      </c>
      <c r="N43" s="163">
        <f>+IF(VLOOKUP(N$1,Lecturas!$N$1:$AA$20,$AC43,FALSE)=0,"",VLOOKUP(N$1,Lecturas!$N$1:$AA$20,$AC43,FALSE))</f>
        <v>2000</v>
      </c>
      <c r="O43" s="163">
        <f>+IF(VLOOKUP(O$1,Lecturas!$N$1:$AA$20,$AC43,FALSE)=0,"",VLOOKUP(O$1,Lecturas!$N$1:$AA$20,$AC43,FALSE))</f>
        <v>3000</v>
      </c>
      <c r="P43" s="156" t="str">
        <f>+IF(VLOOKUP(P$1,Lecturas!$N$1:$AA$20,$AC43,FALSE)=0,"",VLOOKUP(P$1,Lecturas!$N$1:$AA$20,$AC43,FALSE))</f>
        <v/>
      </c>
      <c r="Q43" s="156" t="str">
        <f>+IF(VLOOKUP(Q$1,Lecturas!$N$1:$AA$20,$AC43,FALSE)=0,"",VLOOKUP(Q$1,Lecturas!$N$1:$AA$20,$AC43,FALSE))</f>
        <v/>
      </c>
      <c r="R43" s="156" t="str">
        <f>+IF(VLOOKUP(R$1,Lecturas!$N$1:$AA$20,$AC43,FALSE)=0,"",VLOOKUP(R$1,Lecturas!$N$1:$AA$20,$AC43,FALSE))</f>
        <v/>
      </c>
      <c r="S43" s="163" t="str">
        <f>+IF(VLOOKUP(S$1,Lecturas!$N$1:$AA$20,$AC43,FALSE)=0,"",VLOOKUP(S$1,Lecturas!$N$1:$AA$20,$AC43,FALSE))</f>
        <v/>
      </c>
      <c r="T43" s="163" t="str">
        <f>+IF(VLOOKUP(T$1,Lecturas!$N$1:$AA$20,$AC43,FALSE)=0,"",VLOOKUP(T$1,Lecturas!$N$1:$AA$20,$AC43,FALSE))</f>
        <v/>
      </c>
      <c r="U43" s="163" t="str">
        <f>+IF(VLOOKUP(U$1,Lecturas!$N$1:$AA$20,$AC43,FALSE)=0,"",VLOOKUP(U$1,Lecturas!$N$1:$AA$20,$AC43,FALSE))</f>
        <v/>
      </c>
      <c r="V43" s="156" t="str">
        <f>+IF(VLOOKUP(V$1,Lecturas!$N$1:$AA$20,$AC43,FALSE)=0,"",VLOOKUP(V$1,Lecturas!$N$1:$AA$20,$AC43,FALSE))</f>
        <v/>
      </c>
      <c r="W43" s="156" t="str">
        <f>+IF(VLOOKUP(W$1,Lecturas!$N$1:$AA$20,$AC43,FALSE)=0,"",VLOOKUP(W$1,Lecturas!$N$1:$AA$20,$AC43,FALSE))</f>
        <v/>
      </c>
      <c r="X43" s="156" t="str">
        <f>+IF(VLOOKUP(X$1,Lecturas!$N$1:$AA$20,$AC43,FALSE)=0,"",VLOOKUP(X$1,Lecturas!$N$1:$AA$20,$AC43,FALSE))</f>
        <v/>
      </c>
      <c r="Y43" s="163">
        <f>+IF(VLOOKUP(Y$1,Lecturas!$N$1:$AA$20,$AC43,FALSE)=0,"",VLOOKUP(Y$1,Lecturas!$N$1:$AA$20,$AC43,FALSE))</f>
        <v>500</v>
      </c>
      <c r="Z43" s="48"/>
      <c r="AA43" s="48"/>
      <c r="AB43" s="48"/>
      <c r="AC43" s="148">
        <f>+'CARGA DE DATOS'!AF44</f>
        <v>8</v>
      </c>
    </row>
    <row r="44" spans="1:29" x14ac:dyDescent="0.25">
      <c r="A44" s="148">
        <f>+'CARGA DE DATOS'!A45</f>
        <v>43</v>
      </c>
      <c r="B44" s="48" t="str">
        <f>+IF(RESULTADOS!H44="","",RESULTADOS!H44)</f>
        <v/>
      </c>
      <c r="C44" s="48" t="str">
        <f>+IF(RESULTADOS!D44="","",RESULTADOS!D44)</f>
        <v/>
      </c>
      <c r="D44" s="160" t="str">
        <f>+IF('CARGA DE DATOS'!K45="Cooperativa","COOP",IF(Salida!AT45="true","PROSU","GD"))</f>
        <v>GD</v>
      </c>
      <c r="E44" s="160" t="s">
        <v>9147</v>
      </c>
      <c r="F44" s="160" t="str">
        <f>+IF(OR(D44="COOP",'CARGA DE DATOS'!K45="GUMA"),"15.02.2022",IF('CARGA DE DATOS'!K45="GUME","05.02.2022","10.02.2022"))</f>
        <v>10.02.2022</v>
      </c>
      <c r="G44" s="163">
        <f>+IF(VLOOKUP(G$1,Lecturas!$N$1:$AA$20,$AC44,FALSE)=0,"",VLOOKUP(G$1,Lecturas!$N$1:$AA$20,$AC44,FALSE))</f>
        <v>1000</v>
      </c>
      <c r="H44" s="163">
        <f>+IF(VLOOKUP(H$1,Lecturas!$N$1:$AA$20,$AC44,FALSE)=0,"",VLOOKUP(H$1,Lecturas!$N$1:$AA$20,$AC44,FALSE))</f>
        <v>150</v>
      </c>
      <c r="I44" s="163">
        <f>+IF(VLOOKUP(I$1,Lecturas!$N$1:$AA$20,$AC44,FALSE)=0,"",VLOOKUP(I$1,Lecturas!$N$1:$AA$20,$AC44,FALSE))</f>
        <v>350</v>
      </c>
      <c r="J44" s="156" t="str">
        <f>+IF(VLOOKUP(J$1,Lecturas!$N$1:$AA$20,$AC44,FALSE)=0,"",VLOOKUP(J$1,Lecturas!$N$1:$AA$20,$AC44,FALSE))</f>
        <v/>
      </c>
      <c r="K44" s="156" t="str">
        <f>+IF(VLOOKUP(K$1,Lecturas!$N$1:$AA$20,$AC44,FALSE)=0,"",VLOOKUP(K$1,Lecturas!$N$1:$AA$20,$AC44,FALSE))</f>
        <v/>
      </c>
      <c r="L44" s="156" t="str">
        <f>+IF(VLOOKUP(L$1,Lecturas!$N$1:$AA$20,$AC44,FALSE)=0,"",VLOOKUP(L$1,Lecturas!$N$1:$AA$20,$AC44,FALSE))</f>
        <v/>
      </c>
      <c r="M44" s="163">
        <f>+IF(VLOOKUP(M$1,Lecturas!$N$1:$AA$20,$AC44,FALSE)=0,"",VLOOKUP(M$1,Lecturas!$N$1:$AA$20,$AC44,FALSE))</f>
        <v>2500</v>
      </c>
      <c r="N44" s="163">
        <f>+IF(VLOOKUP(N$1,Lecturas!$N$1:$AA$20,$AC44,FALSE)=0,"",VLOOKUP(N$1,Lecturas!$N$1:$AA$20,$AC44,FALSE))</f>
        <v>2000</v>
      </c>
      <c r="O44" s="163">
        <f>+IF(VLOOKUP(O$1,Lecturas!$N$1:$AA$20,$AC44,FALSE)=0,"",VLOOKUP(O$1,Lecturas!$N$1:$AA$20,$AC44,FALSE))</f>
        <v>3000</v>
      </c>
      <c r="P44" s="156" t="str">
        <f>+IF(VLOOKUP(P$1,Lecturas!$N$1:$AA$20,$AC44,FALSE)=0,"",VLOOKUP(P$1,Lecturas!$N$1:$AA$20,$AC44,FALSE))</f>
        <v/>
      </c>
      <c r="Q44" s="156" t="str">
        <f>+IF(VLOOKUP(Q$1,Lecturas!$N$1:$AA$20,$AC44,FALSE)=0,"",VLOOKUP(Q$1,Lecturas!$N$1:$AA$20,$AC44,FALSE))</f>
        <v/>
      </c>
      <c r="R44" s="156" t="str">
        <f>+IF(VLOOKUP(R$1,Lecturas!$N$1:$AA$20,$AC44,FALSE)=0,"",VLOOKUP(R$1,Lecturas!$N$1:$AA$20,$AC44,FALSE))</f>
        <v/>
      </c>
      <c r="S44" s="163" t="str">
        <f>+IF(VLOOKUP(S$1,Lecturas!$N$1:$AA$20,$AC44,FALSE)=0,"",VLOOKUP(S$1,Lecturas!$N$1:$AA$20,$AC44,FALSE))</f>
        <v/>
      </c>
      <c r="T44" s="163" t="str">
        <f>+IF(VLOOKUP(T$1,Lecturas!$N$1:$AA$20,$AC44,FALSE)=0,"",VLOOKUP(T$1,Lecturas!$N$1:$AA$20,$AC44,FALSE))</f>
        <v/>
      </c>
      <c r="U44" s="163" t="str">
        <f>+IF(VLOOKUP(U$1,Lecturas!$N$1:$AA$20,$AC44,FALSE)=0,"",VLOOKUP(U$1,Lecturas!$N$1:$AA$20,$AC44,FALSE))</f>
        <v/>
      </c>
      <c r="V44" s="156" t="str">
        <f>+IF(VLOOKUP(V$1,Lecturas!$N$1:$AA$20,$AC44,FALSE)=0,"",VLOOKUP(V$1,Lecturas!$N$1:$AA$20,$AC44,FALSE))</f>
        <v/>
      </c>
      <c r="W44" s="156" t="str">
        <f>+IF(VLOOKUP(W$1,Lecturas!$N$1:$AA$20,$AC44,FALSE)=0,"",VLOOKUP(W$1,Lecturas!$N$1:$AA$20,$AC44,FALSE))</f>
        <v/>
      </c>
      <c r="X44" s="156" t="str">
        <f>+IF(VLOOKUP(X$1,Lecturas!$N$1:$AA$20,$AC44,FALSE)=0,"",VLOOKUP(X$1,Lecturas!$N$1:$AA$20,$AC44,FALSE))</f>
        <v/>
      </c>
      <c r="Y44" s="163">
        <f>+IF(VLOOKUP(Y$1,Lecturas!$N$1:$AA$20,$AC44,FALSE)=0,"",VLOOKUP(Y$1,Lecturas!$N$1:$AA$20,$AC44,FALSE))</f>
        <v>7500</v>
      </c>
      <c r="Z44" s="48"/>
      <c r="AA44" s="48"/>
      <c r="AB44" s="48"/>
      <c r="AC44" s="148">
        <f>+'CARGA DE DATOS'!AF45</f>
        <v>6</v>
      </c>
    </row>
    <row r="45" spans="1:29" x14ac:dyDescent="0.25">
      <c r="A45" s="148">
        <f>+'CARGA DE DATOS'!A46</f>
        <v>44</v>
      </c>
      <c r="B45" s="48" t="str">
        <f>+IF(RESULTADOS!H45="","",RESULTADOS!H45)</f>
        <v/>
      </c>
      <c r="C45" s="48" t="str">
        <f>+IF(RESULTADOS!D45="","",RESULTADOS!D45)</f>
        <v/>
      </c>
      <c r="D45" s="160" t="str">
        <f>+IF('CARGA DE DATOS'!K46="Cooperativa","COOP",IF(Salida!AT46="true","PROSU","GD"))</f>
        <v>GD</v>
      </c>
      <c r="E45" s="160" t="s">
        <v>9147</v>
      </c>
      <c r="F45" s="160" t="str">
        <f>+IF(OR(D45="COOP",'CARGA DE DATOS'!K46="GUMA"),"15.02.2022",IF('CARGA DE DATOS'!K46="GUME","05.02.2022","10.02.2022"))</f>
        <v>10.02.2022</v>
      </c>
      <c r="G45" s="163">
        <f>+IF(VLOOKUP(G$1,Lecturas!$N$1:$AA$20,$AC45,FALSE)=0,"",VLOOKUP(G$1,Lecturas!$N$1:$AA$20,$AC45,FALSE))</f>
        <v>1500</v>
      </c>
      <c r="H45" s="163">
        <f>+IF(VLOOKUP(H$1,Lecturas!$N$1:$AA$20,$AC45,FALSE)=0,"",VLOOKUP(H$1,Lecturas!$N$1:$AA$20,$AC45,FALSE))</f>
        <v>1550</v>
      </c>
      <c r="I45" s="163">
        <f>+IF(VLOOKUP(I$1,Lecturas!$N$1:$AA$20,$AC45,FALSE)=0,"",VLOOKUP(I$1,Lecturas!$N$1:$AA$20,$AC45,FALSE))</f>
        <v>1550</v>
      </c>
      <c r="J45" s="156" t="str">
        <f>+IF(VLOOKUP(J$1,Lecturas!$N$1:$AA$20,$AC45,FALSE)=0,"",VLOOKUP(J$1,Lecturas!$N$1:$AA$20,$AC45,FALSE))</f>
        <v/>
      </c>
      <c r="K45" s="156" t="str">
        <f>+IF(VLOOKUP(K$1,Lecturas!$N$1:$AA$20,$AC45,FALSE)=0,"",VLOOKUP(K$1,Lecturas!$N$1:$AA$20,$AC45,FALSE))</f>
        <v/>
      </c>
      <c r="L45" s="156" t="str">
        <f>+IF(VLOOKUP(L$1,Lecturas!$N$1:$AA$20,$AC45,FALSE)=0,"",VLOOKUP(L$1,Lecturas!$N$1:$AA$20,$AC45,FALSE))</f>
        <v/>
      </c>
      <c r="M45" s="163">
        <f>+IF(VLOOKUP(M$1,Lecturas!$N$1:$AA$20,$AC45,FALSE)=0,"",VLOOKUP(M$1,Lecturas!$N$1:$AA$20,$AC45,FALSE))</f>
        <v>2500</v>
      </c>
      <c r="N45" s="163">
        <f>+IF(VLOOKUP(N$1,Lecturas!$N$1:$AA$20,$AC45,FALSE)=0,"",VLOOKUP(N$1,Lecturas!$N$1:$AA$20,$AC45,FALSE))</f>
        <v>2000</v>
      </c>
      <c r="O45" s="163">
        <f>+IF(VLOOKUP(O$1,Lecturas!$N$1:$AA$20,$AC45,FALSE)=0,"",VLOOKUP(O$1,Lecturas!$N$1:$AA$20,$AC45,FALSE))</f>
        <v>3000</v>
      </c>
      <c r="P45" s="156" t="str">
        <f>+IF(VLOOKUP(P$1,Lecturas!$N$1:$AA$20,$AC45,FALSE)=0,"",VLOOKUP(P$1,Lecturas!$N$1:$AA$20,$AC45,FALSE))</f>
        <v/>
      </c>
      <c r="Q45" s="156" t="str">
        <f>+IF(VLOOKUP(Q$1,Lecturas!$N$1:$AA$20,$AC45,FALSE)=0,"",VLOOKUP(Q$1,Lecturas!$N$1:$AA$20,$AC45,FALSE))</f>
        <v/>
      </c>
      <c r="R45" s="156" t="str">
        <f>+IF(VLOOKUP(R$1,Lecturas!$N$1:$AA$20,$AC45,FALSE)=0,"",VLOOKUP(R$1,Lecturas!$N$1:$AA$20,$AC45,FALSE))</f>
        <v/>
      </c>
      <c r="S45" s="163" t="str">
        <f>+IF(VLOOKUP(S$1,Lecturas!$N$1:$AA$20,$AC45,FALSE)=0,"",VLOOKUP(S$1,Lecturas!$N$1:$AA$20,$AC45,FALSE))</f>
        <v/>
      </c>
      <c r="T45" s="163" t="str">
        <f>+IF(VLOOKUP(T$1,Lecturas!$N$1:$AA$20,$AC45,FALSE)=0,"",VLOOKUP(T$1,Lecturas!$N$1:$AA$20,$AC45,FALSE))</f>
        <v/>
      </c>
      <c r="U45" s="163" t="str">
        <f>+IF(VLOOKUP(U$1,Lecturas!$N$1:$AA$20,$AC45,FALSE)=0,"",VLOOKUP(U$1,Lecturas!$N$1:$AA$20,$AC45,FALSE))</f>
        <v/>
      </c>
      <c r="V45" s="156" t="str">
        <f>+IF(VLOOKUP(V$1,Lecturas!$N$1:$AA$20,$AC45,FALSE)=0,"",VLOOKUP(V$1,Lecturas!$N$1:$AA$20,$AC45,FALSE))</f>
        <v/>
      </c>
      <c r="W45" s="156" t="str">
        <f>+IF(VLOOKUP(W$1,Lecturas!$N$1:$AA$20,$AC45,FALSE)=0,"",VLOOKUP(W$1,Lecturas!$N$1:$AA$20,$AC45,FALSE))</f>
        <v/>
      </c>
      <c r="X45" s="156" t="str">
        <f>+IF(VLOOKUP(X$1,Lecturas!$N$1:$AA$20,$AC45,FALSE)=0,"",VLOOKUP(X$1,Lecturas!$N$1:$AA$20,$AC45,FALSE))</f>
        <v/>
      </c>
      <c r="Y45" s="163">
        <f>+IF(VLOOKUP(Y$1,Lecturas!$N$1:$AA$20,$AC45,FALSE)=0,"",VLOOKUP(Y$1,Lecturas!$N$1:$AA$20,$AC45,FALSE))</f>
        <v>7500</v>
      </c>
      <c r="Z45" s="48"/>
      <c r="AA45" s="48"/>
      <c r="AB45" s="48"/>
      <c r="AC45" s="148">
        <f>+'CARGA DE DATOS'!AF46</f>
        <v>7</v>
      </c>
    </row>
    <row r="46" spans="1:29" x14ac:dyDescent="0.25">
      <c r="A46" s="148">
        <f>+'CARGA DE DATOS'!A47</f>
        <v>45</v>
      </c>
      <c r="B46" s="48" t="str">
        <f>+IF(RESULTADOS!H46="","",RESULTADOS!H46)</f>
        <v/>
      </c>
      <c r="C46" s="48" t="str">
        <f>+IF(RESULTADOS!D46="","",RESULTADOS!D46)</f>
        <v/>
      </c>
      <c r="D46" s="160" t="str">
        <f>+IF('CARGA DE DATOS'!K47="Cooperativa","COOP",IF(Salida!AT47="true","PROSU","GD"))</f>
        <v>GD</v>
      </c>
      <c r="E46" s="160" t="s">
        <v>9147</v>
      </c>
      <c r="F46" s="160" t="str">
        <f>+IF(OR(D46="COOP",'CARGA DE DATOS'!K47="GUMA"),"15.02.2022",IF('CARGA DE DATOS'!K47="GUME","05.02.2022","10.02.2022"))</f>
        <v>10.02.2022</v>
      </c>
      <c r="G46" s="163">
        <f>+IF(VLOOKUP(G$1,Lecturas!$N$1:$AA$20,$AC46,FALSE)=0,"",VLOOKUP(G$1,Lecturas!$N$1:$AA$20,$AC46,FALSE))</f>
        <v>1000</v>
      </c>
      <c r="H46" s="163">
        <f>+IF(VLOOKUP(H$1,Lecturas!$N$1:$AA$20,$AC46,FALSE)=0,"",VLOOKUP(H$1,Lecturas!$N$1:$AA$20,$AC46,FALSE))</f>
        <v>150</v>
      </c>
      <c r="I46" s="163">
        <f>+IF(VLOOKUP(I$1,Lecturas!$N$1:$AA$20,$AC46,FALSE)=0,"",VLOOKUP(I$1,Lecturas!$N$1:$AA$20,$AC46,FALSE))</f>
        <v>350</v>
      </c>
      <c r="J46" s="156" t="str">
        <f>+IF(VLOOKUP(J$1,Lecturas!$N$1:$AA$20,$AC46,FALSE)=0,"",VLOOKUP(J$1,Lecturas!$N$1:$AA$20,$AC46,FALSE))</f>
        <v/>
      </c>
      <c r="K46" s="156" t="str">
        <f>+IF(VLOOKUP(K$1,Lecturas!$N$1:$AA$20,$AC46,FALSE)=0,"",VLOOKUP(K$1,Lecturas!$N$1:$AA$20,$AC46,FALSE))</f>
        <v/>
      </c>
      <c r="L46" s="156" t="str">
        <f>+IF(VLOOKUP(L$1,Lecturas!$N$1:$AA$20,$AC46,FALSE)=0,"",VLOOKUP(L$1,Lecturas!$N$1:$AA$20,$AC46,FALSE))</f>
        <v/>
      </c>
      <c r="M46" s="163">
        <f>+IF(VLOOKUP(M$1,Lecturas!$N$1:$AA$20,$AC46,FALSE)=0,"",VLOOKUP(M$1,Lecturas!$N$1:$AA$20,$AC46,FALSE))</f>
        <v>2500</v>
      </c>
      <c r="N46" s="163">
        <f>+IF(VLOOKUP(N$1,Lecturas!$N$1:$AA$20,$AC46,FALSE)=0,"",VLOOKUP(N$1,Lecturas!$N$1:$AA$20,$AC46,FALSE))</f>
        <v>2000</v>
      </c>
      <c r="O46" s="163">
        <f>+IF(VLOOKUP(O$1,Lecturas!$N$1:$AA$20,$AC46,FALSE)=0,"",VLOOKUP(O$1,Lecturas!$N$1:$AA$20,$AC46,FALSE))</f>
        <v>3000</v>
      </c>
      <c r="P46" s="156" t="str">
        <f>+IF(VLOOKUP(P$1,Lecturas!$N$1:$AA$20,$AC46,FALSE)=0,"",VLOOKUP(P$1,Lecturas!$N$1:$AA$20,$AC46,FALSE))</f>
        <v/>
      </c>
      <c r="Q46" s="156" t="str">
        <f>+IF(VLOOKUP(Q$1,Lecturas!$N$1:$AA$20,$AC46,FALSE)=0,"",VLOOKUP(Q$1,Lecturas!$N$1:$AA$20,$AC46,FALSE))</f>
        <v/>
      </c>
      <c r="R46" s="156" t="str">
        <f>+IF(VLOOKUP(R$1,Lecturas!$N$1:$AA$20,$AC46,FALSE)=0,"",VLOOKUP(R$1,Lecturas!$N$1:$AA$20,$AC46,FALSE))</f>
        <v/>
      </c>
      <c r="S46" s="163" t="str">
        <f>+IF(VLOOKUP(S$1,Lecturas!$N$1:$AA$20,$AC46,FALSE)=0,"",VLOOKUP(S$1,Lecturas!$N$1:$AA$20,$AC46,FALSE))</f>
        <v/>
      </c>
      <c r="T46" s="163" t="str">
        <f>+IF(VLOOKUP(T$1,Lecturas!$N$1:$AA$20,$AC46,FALSE)=0,"",VLOOKUP(T$1,Lecturas!$N$1:$AA$20,$AC46,FALSE))</f>
        <v/>
      </c>
      <c r="U46" s="163" t="str">
        <f>+IF(VLOOKUP(U$1,Lecturas!$N$1:$AA$20,$AC46,FALSE)=0,"",VLOOKUP(U$1,Lecturas!$N$1:$AA$20,$AC46,FALSE))</f>
        <v/>
      </c>
      <c r="V46" s="156" t="str">
        <f>+IF(VLOOKUP(V$1,Lecturas!$N$1:$AA$20,$AC46,FALSE)=0,"",VLOOKUP(V$1,Lecturas!$N$1:$AA$20,$AC46,FALSE))</f>
        <v/>
      </c>
      <c r="W46" s="156" t="str">
        <f>+IF(VLOOKUP(W$1,Lecturas!$N$1:$AA$20,$AC46,FALSE)=0,"",VLOOKUP(W$1,Lecturas!$N$1:$AA$20,$AC46,FALSE))</f>
        <v/>
      </c>
      <c r="X46" s="156" t="str">
        <f>+IF(VLOOKUP(X$1,Lecturas!$N$1:$AA$20,$AC46,FALSE)=0,"",VLOOKUP(X$1,Lecturas!$N$1:$AA$20,$AC46,FALSE))</f>
        <v/>
      </c>
      <c r="Y46" s="163">
        <f>+IF(VLOOKUP(Y$1,Lecturas!$N$1:$AA$20,$AC46,FALSE)=0,"",VLOOKUP(Y$1,Lecturas!$N$1:$AA$20,$AC46,FALSE))</f>
        <v>7500</v>
      </c>
      <c r="Z46" s="48"/>
      <c r="AA46" s="48"/>
      <c r="AB46" s="48"/>
      <c r="AC46" s="148">
        <f>+'CARGA DE DATOS'!AF47</f>
        <v>6</v>
      </c>
    </row>
    <row r="47" spans="1:29" x14ac:dyDescent="0.25">
      <c r="A47" s="148">
        <f>+'CARGA DE DATOS'!A48</f>
        <v>46</v>
      </c>
      <c r="B47" s="48" t="str">
        <f>+IF(RESULTADOS!H47="","",RESULTADOS!H47)</f>
        <v/>
      </c>
      <c r="C47" s="48" t="str">
        <f>+IF(RESULTADOS!D47="","",RESULTADOS!D47)</f>
        <v/>
      </c>
      <c r="D47" s="160" t="str">
        <f>+IF('CARGA DE DATOS'!K48="Cooperativa","COOP",IF(Salida!AT48="true","PROSU","GD"))</f>
        <v>GD</v>
      </c>
      <c r="E47" s="160" t="s">
        <v>9147</v>
      </c>
      <c r="F47" s="160" t="str">
        <f>+IF(OR(D47="COOP",'CARGA DE DATOS'!K48="GUMA"),"15.02.2022",IF('CARGA DE DATOS'!K48="GUME","05.02.2022","10.02.2022"))</f>
        <v>10.02.2022</v>
      </c>
      <c r="G47" s="163">
        <f>+IF(VLOOKUP(G$1,Lecturas!$N$1:$AA$20,$AC47,FALSE)=0,"",VLOOKUP(G$1,Lecturas!$N$1:$AA$20,$AC47,FALSE))</f>
        <v>150</v>
      </c>
      <c r="H47" s="163">
        <f>+IF(VLOOKUP(H$1,Lecturas!$N$1:$AA$20,$AC47,FALSE)=0,"",VLOOKUP(H$1,Lecturas!$N$1:$AA$20,$AC47,FALSE))</f>
        <v>300</v>
      </c>
      <c r="I47" s="163">
        <f>+IF(VLOOKUP(I$1,Lecturas!$N$1:$AA$20,$AC47,FALSE)=0,"",VLOOKUP(I$1,Lecturas!$N$1:$AA$20,$AC47,FALSE))</f>
        <v>150</v>
      </c>
      <c r="J47" s="156" t="str">
        <f>+IF(VLOOKUP(J$1,Lecturas!$N$1:$AA$20,$AC47,FALSE)=0,"",VLOOKUP(J$1,Lecturas!$N$1:$AA$20,$AC47,FALSE))</f>
        <v/>
      </c>
      <c r="K47" s="156" t="str">
        <f>+IF(VLOOKUP(K$1,Lecturas!$N$1:$AA$20,$AC47,FALSE)=0,"",VLOOKUP(K$1,Lecturas!$N$1:$AA$20,$AC47,FALSE))</f>
        <v/>
      </c>
      <c r="L47" s="156" t="str">
        <f>+IF(VLOOKUP(L$1,Lecturas!$N$1:$AA$20,$AC47,FALSE)=0,"",VLOOKUP(L$1,Lecturas!$N$1:$AA$20,$AC47,FALSE))</f>
        <v/>
      </c>
      <c r="M47" s="163">
        <f>+IF(VLOOKUP(M$1,Lecturas!$N$1:$AA$20,$AC47,FALSE)=0,"",VLOOKUP(M$1,Lecturas!$N$1:$AA$20,$AC47,FALSE))</f>
        <v>2500</v>
      </c>
      <c r="N47" s="163">
        <f>+IF(VLOOKUP(N$1,Lecturas!$N$1:$AA$20,$AC47,FALSE)=0,"",VLOOKUP(N$1,Lecturas!$N$1:$AA$20,$AC47,FALSE))</f>
        <v>2000</v>
      </c>
      <c r="O47" s="163">
        <f>+IF(VLOOKUP(O$1,Lecturas!$N$1:$AA$20,$AC47,FALSE)=0,"",VLOOKUP(O$1,Lecturas!$N$1:$AA$20,$AC47,FALSE))</f>
        <v>3000</v>
      </c>
      <c r="P47" s="156" t="str">
        <f>+IF(VLOOKUP(P$1,Lecturas!$N$1:$AA$20,$AC47,FALSE)=0,"",VLOOKUP(P$1,Lecturas!$N$1:$AA$20,$AC47,FALSE))</f>
        <v/>
      </c>
      <c r="Q47" s="156" t="str">
        <f>+IF(VLOOKUP(Q$1,Lecturas!$N$1:$AA$20,$AC47,FALSE)=0,"",VLOOKUP(Q$1,Lecturas!$N$1:$AA$20,$AC47,FALSE))</f>
        <v/>
      </c>
      <c r="R47" s="156" t="str">
        <f>+IF(VLOOKUP(R$1,Lecturas!$N$1:$AA$20,$AC47,FALSE)=0,"",VLOOKUP(R$1,Lecturas!$N$1:$AA$20,$AC47,FALSE))</f>
        <v/>
      </c>
      <c r="S47" s="163" t="str">
        <f>+IF(VLOOKUP(S$1,Lecturas!$N$1:$AA$20,$AC47,FALSE)=0,"",VLOOKUP(S$1,Lecturas!$N$1:$AA$20,$AC47,FALSE))</f>
        <v/>
      </c>
      <c r="T47" s="163" t="str">
        <f>+IF(VLOOKUP(T$1,Lecturas!$N$1:$AA$20,$AC47,FALSE)=0,"",VLOOKUP(T$1,Lecturas!$N$1:$AA$20,$AC47,FALSE))</f>
        <v/>
      </c>
      <c r="U47" s="163" t="str">
        <f>+IF(VLOOKUP(U$1,Lecturas!$N$1:$AA$20,$AC47,FALSE)=0,"",VLOOKUP(U$1,Lecturas!$N$1:$AA$20,$AC47,FALSE))</f>
        <v/>
      </c>
      <c r="V47" s="156" t="str">
        <f>+IF(VLOOKUP(V$1,Lecturas!$N$1:$AA$20,$AC47,FALSE)=0,"",VLOOKUP(V$1,Lecturas!$N$1:$AA$20,$AC47,FALSE))</f>
        <v/>
      </c>
      <c r="W47" s="156" t="str">
        <f>+IF(VLOOKUP(W$1,Lecturas!$N$1:$AA$20,$AC47,FALSE)=0,"",VLOOKUP(W$1,Lecturas!$N$1:$AA$20,$AC47,FALSE))</f>
        <v/>
      </c>
      <c r="X47" s="156" t="str">
        <f>+IF(VLOOKUP(X$1,Lecturas!$N$1:$AA$20,$AC47,FALSE)=0,"",VLOOKUP(X$1,Lecturas!$N$1:$AA$20,$AC47,FALSE))</f>
        <v/>
      </c>
      <c r="Y47" s="163">
        <f>+IF(VLOOKUP(Y$1,Lecturas!$N$1:$AA$20,$AC47,FALSE)=0,"",VLOOKUP(Y$1,Lecturas!$N$1:$AA$20,$AC47,FALSE))</f>
        <v>5000</v>
      </c>
      <c r="Z47" s="48"/>
      <c r="AA47" s="48"/>
      <c r="AB47" s="48"/>
      <c r="AC47" s="148">
        <f>+'CARGA DE DATOS'!AF48</f>
        <v>3</v>
      </c>
    </row>
    <row r="48" spans="1:29" x14ac:dyDescent="0.25">
      <c r="A48" s="148">
        <f>+'CARGA DE DATOS'!A49</f>
        <v>47</v>
      </c>
      <c r="B48" s="48" t="str">
        <f>+IF(RESULTADOS!H48="","",RESULTADOS!H48)</f>
        <v/>
      </c>
      <c r="C48" s="48" t="str">
        <f>+IF(RESULTADOS!D48="","",RESULTADOS!D48)</f>
        <v/>
      </c>
      <c r="D48" s="160" t="str">
        <f>+IF('CARGA DE DATOS'!K49="Cooperativa","COOP",IF(Salida!AT49="true","PROSU","GD"))</f>
        <v>GD</v>
      </c>
      <c r="E48" s="160" t="s">
        <v>9147</v>
      </c>
      <c r="F48" s="160" t="str">
        <f>+IF(OR(D48="COOP",'CARGA DE DATOS'!K49="GUMA"),"15.02.2022",IF('CARGA DE DATOS'!K49="GUME","05.02.2022","10.02.2022"))</f>
        <v>10.02.2022</v>
      </c>
      <c r="G48" s="163">
        <f>+IF(VLOOKUP(G$1,Lecturas!$N$1:$AA$20,$AC48,FALSE)=0,"",VLOOKUP(G$1,Lecturas!$N$1:$AA$20,$AC48,FALSE))</f>
        <v>1500</v>
      </c>
      <c r="H48" s="163">
        <f>+IF(VLOOKUP(H$1,Lecturas!$N$1:$AA$20,$AC48,FALSE)=0,"",VLOOKUP(H$1,Lecturas!$N$1:$AA$20,$AC48,FALSE))</f>
        <v>1550</v>
      </c>
      <c r="I48" s="163">
        <f>+IF(VLOOKUP(I$1,Lecturas!$N$1:$AA$20,$AC48,FALSE)=0,"",VLOOKUP(I$1,Lecturas!$N$1:$AA$20,$AC48,FALSE))</f>
        <v>1550</v>
      </c>
      <c r="J48" s="156" t="str">
        <f>+IF(VLOOKUP(J$1,Lecturas!$N$1:$AA$20,$AC48,FALSE)=0,"",VLOOKUP(J$1,Lecturas!$N$1:$AA$20,$AC48,FALSE))</f>
        <v/>
      </c>
      <c r="K48" s="156" t="str">
        <f>+IF(VLOOKUP(K$1,Lecturas!$N$1:$AA$20,$AC48,FALSE)=0,"",VLOOKUP(K$1,Lecturas!$N$1:$AA$20,$AC48,FALSE))</f>
        <v/>
      </c>
      <c r="L48" s="156" t="str">
        <f>+IF(VLOOKUP(L$1,Lecturas!$N$1:$AA$20,$AC48,FALSE)=0,"",VLOOKUP(L$1,Lecturas!$N$1:$AA$20,$AC48,FALSE))</f>
        <v/>
      </c>
      <c r="M48" s="163">
        <f>+IF(VLOOKUP(M$1,Lecturas!$N$1:$AA$20,$AC48,FALSE)=0,"",VLOOKUP(M$1,Lecturas!$N$1:$AA$20,$AC48,FALSE))</f>
        <v>2500</v>
      </c>
      <c r="N48" s="163">
        <f>+IF(VLOOKUP(N$1,Lecturas!$N$1:$AA$20,$AC48,FALSE)=0,"",VLOOKUP(N$1,Lecturas!$N$1:$AA$20,$AC48,FALSE))</f>
        <v>2000</v>
      </c>
      <c r="O48" s="163">
        <f>+IF(VLOOKUP(O$1,Lecturas!$N$1:$AA$20,$AC48,FALSE)=0,"",VLOOKUP(O$1,Lecturas!$N$1:$AA$20,$AC48,FALSE))</f>
        <v>3000</v>
      </c>
      <c r="P48" s="156" t="str">
        <f>+IF(VLOOKUP(P$1,Lecturas!$N$1:$AA$20,$AC48,FALSE)=0,"",VLOOKUP(P$1,Lecturas!$N$1:$AA$20,$AC48,FALSE))</f>
        <v/>
      </c>
      <c r="Q48" s="156" t="str">
        <f>+IF(VLOOKUP(Q$1,Lecturas!$N$1:$AA$20,$AC48,FALSE)=0,"",VLOOKUP(Q$1,Lecturas!$N$1:$AA$20,$AC48,FALSE))</f>
        <v/>
      </c>
      <c r="R48" s="156" t="str">
        <f>+IF(VLOOKUP(R$1,Lecturas!$N$1:$AA$20,$AC48,FALSE)=0,"",VLOOKUP(R$1,Lecturas!$N$1:$AA$20,$AC48,FALSE))</f>
        <v/>
      </c>
      <c r="S48" s="163" t="str">
        <f>+IF(VLOOKUP(S$1,Lecturas!$N$1:$AA$20,$AC48,FALSE)=0,"",VLOOKUP(S$1,Lecturas!$N$1:$AA$20,$AC48,FALSE))</f>
        <v/>
      </c>
      <c r="T48" s="163" t="str">
        <f>+IF(VLOOKUP(T$1,Lecturas!$N$1:$AA$20,$AC48,FALSE)=0,"",VLOOKUP(T$1,Lecturas!$N$1:$AA$20,$AC48,FALSE))</f>
        <v/>
      </c>
      <c r="U48" s="163" t="str">
        <f>+IF(VLOOKUP(U$1,Lecturas!$N$1:$AA$20,$AC48,FALSE)=0,"",VLOOKUP(U$1,Lecturas!$N$1:$AA$20,$AC48,FALSE))</f>
        <v/>
      </c>
      <c r="V48" s="156" t="str">
        <f>+IF(VLOOKUP(V$1,Lecturas!$N$1:$AA$20,$AC48,FALSE)=0,"",VLOOKUP(V$1,Lecturas!$N$1:$AA$20,$AC48,FALSE))</f>
        <v/>
      </c>
      <c r="W48" s="156" t="str">
        <f>+IF(VLOOKUP(W$1,Lecturas!$N$1:$AA$20,$AC48,FALSE)=0,"",VLOOKUP(W$1,Lecturas!$N$1:$AA$20,$AC48,FALSE))</f>
        <v/>
      </c>
      <c r="X48" s="156" t="str">
        <f>+IF(VLOOKUP(X$1,Lecturas!$N$1:$AA$20,$AC48,FALSE)=0,"",VLOOKUP(X$1,Lecturas!$N$1:$AA$20,$AC48,FALSE))</f>
        <v/>
      </c>
      <c r="Y48" s="163">
        <f>+IF(VLOOKUP(Y$1,Lecturas!$N$1:$AA$20,$AC48,FALSE)=0,"",VLOOKUP(Y$1,Lecturas!$N$1:$AA$20,$AC48,FALSE))</f>
        <v>7500</v>
      </c>
      <c r="Z48" s="48"/>
      <c r="AA48" s="48"/>
      <c r="AB48" s="48"/>
      <c r="AC48" s="148">
        <f>+'CARGA DE DATOS'!AF49</f>
        <v>7</v>
      </c>
    </row>
    <row r="49" spans="1:29" x14ac:dyDescent="0.25">
      <c r="A49" s="148">
        <f>+'CARGA DE DATOS'!A50</f>
        <v>48</v>
      </c>
      <c r="B49" s="48" t="str">
        <f>+IF(RESULTADOS!H49="","",RESULTADOS!H49)</f>
        <v/>
      </c>
      <c r="C49" s="48" t="str">
        <f>+IF(RESULTADOS!D49="","",RESULTADOS!D49)</f>
        <v/>
      </c>
      <c r="D49" s="160" t="str">
        <f>+IF('CARGA DE DATOS'!K50="Cooperativa","COOP",IF(Salida!AT50="true","PROSU","GD"))</f>
        <v>GD</v>
      </c>
      <c r="E49" s="160" t="s">
        <v>9147</v>
      </c>
      <c r="F49" s="160" t="str">
        <f>+IF(OR(D49="COOP",'CARGA DE DATOS'!K50="GUMA"),"15.02.2022",IF('CARGA DE DATOS'!K50="GUME","05.02.2022","10.02.2022"))</f>
        <v>10.02.2022</v>
      </c>
      <c r="G49" s="163">
        <f>+IF(VLOOKUP(G$1,Lecturas!$N$1:$AA$20,$AC49,FALSE)=0,"",VLOOKUP(G$1,Lecturas!$N$1:$AA$20,$AC49,FALSE))</f>
        <v>150</v>
      </c>
      <c r="H49" s="163">
        <f>+IF(VLOOKUP(H$1,Lecturas!$N$1:$AA$20,$AC49,FALSE)=0,"",VLOOKUP(H$1,Lecturas!$N$1:$AA$20,$AC49,FALSE))</f>
        <v>150</v>
      </c>
      <c r="I49" s="163">
        <f>+IF(VLOOKUP(I$1,Lecturas!$N$1:$AA$20,$AC49,FALSE)=0,"",VLOOKUP(I$1,Lecturas!$N$1:$AA$20,$AC49,FALSE))</f>
        <v>150</v>
      </c>
      <c r="J49" s="156" t="str">
        <f>+IF(VLOOKUP(J$1,Lecturas!$N$1:$AA$20,$AC49,FALSE)=0,"",VLOOKUP(J$1,Lecturas!$N$1:$AA$20,$AC49,FALSE))</f>
        <v/>
      </c>
      <c r="K49" s="156" t="str">
        <f>+IF(VLOOKUP(K$1,Lecturas!$N$1:$AA$20,$AC49,FALSE)=0,"",VLOOKUP(K$1,Lecturas!$N$1:$AA$20,$AC49,FALSE))</f>
        <v/>
      </c>
      <c r="L49" s="156" t="str">
        <f>+IF(VLOOKUP(L$1,Lecturas!$N$1:$AA$20,$AC49,FALSE)=0,"",VLOOKUP(L$1,Lecturas!$N$1:$AA$20,$AC49,FALSE))</f>
        <v/>
      </c>
      <c r="M49" s="163">
        <f>+IF(VLOOKUP(M$1,Lecturas!$N$1:$AA$20,$AC49,FALSE)=0,"",VLOOKUP(M$1,Lecturas!$N$1:$AA$20,$AC49,FALSE))</f>
        <v>2500</v>
      </c>
      <c r="N49" s="163">
        <f>+IF(VLOOKUP(N$1,Lecturas!$N$1:$AA$20,$AC49,FALSE)=0,"",VLOOKUP(N$1,Lecturas!$N$1:$AA$20,$AC49,FALSE))</f>
        <v>2000</v>
      </c>
      <c r="O49" s="163">
        <f>+IF(VLOOKUP(O$1,Lecturas!$N$1:$AA$20,$AC49,FALSE)=0,"",VLOOKUP(O$1,Lecturas!$N$1:$AA$20,$AC49,FALSE))</f>
        <v>3000</v>
      </c>
      <c r="P49" s="156" t="str">
        <f>+IF(VLOOKUP(P$1,Lecturas!$N$1:$AA$20,$AC49,FALSE)=0,"",VLOOKUP(P$1,Lecturas!$N$1:$AA$20,$AC49,FALSE))</f>
        <v/>
      </c>
      <c r="Q49" s="156" t="str">
        <f>+IF(VLOOKUP(Q$1,Lecturas!$N$1:$AA$20,$AC49,FALSE)=0,"",VLOOKUP(Q$1,Lecturas!$N$1:$AA$20,$AC49,FALSE))</f>
        <v/>
      </c>
      <c r="R49" s="156" t="str">
        <f>+IF(VLOOKUP(R$1,Lecturas!$N$1:$AA$20,$AC49,FALSE)=0,"",VLOOKUP(R$1,Lecturas!$N$1:$AA$20,$AC49,FALSE))</f>
        <v/>
      </c>
      <c r="S49" s="163" t="str">
        <f>+IF(VLOOKUP(S$1,Lecturas!$N$1:$AA$20,$AC49,FALSE)=0,"",VLOOKUP(S$1,Lecturas!$N$1:$AA$20,$AC49,FALSE))</f>
        <v/>
      </c>
      <c r="T49" s="163" t="str">
        <f>+IF(VLOOKUP(T$1,Lecturas!$N$1:$AA$20,$AC49,FALSE)=0,"",VLOOKUP(T$1,Lecturas!$N$1:$AA$20,$AC49,FALSE))</f>
        <v/>
      </c>
      <c r="U49" s="163" t="str">
        <f>+IF(VLOOKUP(U$1,Lecturas!$N$1:$AA$20,$AC49,FALSE)=0,"",VLOOKUP(U$1,Lecturas!$N$1:$AA$20,$AC49,FALSE))</f>
        <v/>
      </c>
      <c r="V49" s="156" t="str">
        <f>+IF(VLOOKUP(V$1,Lecturas!$N$1:$AA$20,$AC49,FALSE)=0,"",VLOOKUP(V$1,Lecturas!$N$1:$AA$20,$AC49,FALSE))</f>
        <v/>
      </c>
      <c r="W49" s="156" t="str">
        <f>+IF(VLOOKUP(W$1,Lecturas!$N$1:$AA$20,$AC49,FALSE)=0,"",VLOOKUP(W$1,Lecturas!$N$1:$AA$20,$AC49,FALSE))</f>
        <v/>
      </c>
      <c r="X49" s="156" t="str">
        <f>+IF(VLOOKUP(X$1,Lecturas!$N$1:$AA$20,$AC49,FALSE)=0,"",VLOOKUP(X$1,Lecturas!$N$1:$AA$20,$AC49,FALSE))</f>
        <v/>
      </c>
      <c r="Y49" s="163">
        <f>+IF(VLOOKUP(Y$1,Lecturas!$N$1:$AA$20,$AC49,FALSE)=0,"",VLOOKUP(Y$1,Lecturas!$N$1:$AA$20,$AC49,FALSE))</f>
        <v>15000</v>
      </c>
      <c r="Z49" s="48"/>
      <c r="AA49" s="48"/>
      <c r="AB49" s="48"/>
      <c r="AC49" s="148">
        <f>+'CARGA DE DATOS'!AF50</f>
        <v>4</v>
      </c>
    </row>
    <row r="50" spans="1:29" x14ac:dyDescent="0.25">
      <c r="A50" s="148">
        <f>+'CARGA DE DATOS'!A51</f>
        <v>49</v>
      </c>
      <c r="B50" s="48" t="str">
        <f>+IF(RESULTADOS!H50="","",RESULTADOS!H50)</f>
        <v/>
      </c>
      <c r="C50" s="48" t="str">
        <f>+IF(RESULTADOS!D50="","",RESULTADOS!D50)</f>
        <v/>
      </c>
      <c r="D50" s="160" t="str">
        <f>+IF('CARGA DE DATOS'!K51="Cooperativa","COOP",IF(Salida!AT51="true","PROSU","GD"))</f>
        <v>GD</v>
      </c>
      <c r="E50" s="160" t="s">
        <v>9147</v>
      </c>
      <c r="F50" s="160" t="str">
        <f>+IF(OR(D50="COOP",'CARGA DE DATOS'!K51="GUMA"),"15.02.2022",IF('CARGA DE DATOS'!K51="GUME","05.02.2022","10.02.2022"))</f>
        <v>10.02.2022</v>
      </c>
      <c r="G50" s="163">
        <f>+IF(VLOOKUP(G$1,Lecturas!$N$1:$AA$20,$AC50,FALSE)=0,"",VLOOKUP(G$1,Lecturas!$N$1:$AA$20,$AC50,FALSE))</f>
        <v>1000</v>
      </c>
      <c r="H50" s="163">
        <f>+IF(VLOOKUP(H$1,Lecturas!$N$1:$AA$20,$AC50,FALSE)=0,"",VLOOKUP(H$1,Lecturas!$N$1:$AA$20,$AC50,FALSE))</f>
        <v>150</v>
      </c>
      <c r="I50" s="163">
        <f>+IF(VLOOKUP(I$1,Lecturas!$N$1:$AA$20,$AC50,FALSE)=0,"",VLOOKUP(I$1,Lecturas!$N$1:$AA$20,$AC50,FALSE))</f>
        <v>350</v>
      </c>
      <c r="J50" s="156" t="str">
        <f>+IF(VLOOKUP(J$1,Lecturas!$N$1:$AA$20,$AC50,FALSE)=0,"",VLOOKUP(J$1,Lecturas!$N$1:$AA$20,$AC50,FALSE))</f>
        <v/>
      </c>
      <c r="K50" s="156" t="str">
        <f>+IF(VLOOKUP(K$1,Lecturas!$N$1:$AA$20,$AC50,FALSE)=0,"",VLOOKUP(K$1,Lecturas!$N$1:$AA$20,$AC50,FALSE))</f>
        <v/>
      </c>
      <c r="L50" s="156" t="str">
        <f>+IF(VLOOKUP(L$1,Lecturas!$N$1:$AA$20,$AC50,FALSE)=0,"",VLOOKUP(L$1,Lecturas!$N$1:$AA$20,$AC50,FALSE))</f>
        <v/>
      </c>
      <c r="M50" s="163">
        <f>+IF(VLOOKUP(M$1,Lecturas!$N$1:$AA$20,$AC50,FALSE)=0,"",VLOOKUP(M$1,Lecturas!$N$1:$AA$20,$AC50,FALSE))</f>
        <v>2500</v>
      </c>
      <c r="N50" s="163">
        <f>+IF(VLOOKUP(N$1,Lecturas!$N$1:$AA$20,$AC50,FALSE)=0,"",VLOOKUP(N$1,Lecturas!$N$1:$AA$20,$AC50,FALSE))</f>
        <v>2000</v>
      </c>
      <c r="O50" s="163">
        <f>+IF(VLOOKUP(O$1,Lecturas!$N$1:$AA$20,$AC50,FALSE)=0,"",VLOOKUP(O$1,Lecturas!$N$1:$AA$20,$AC50,FALSE))</f>
        <v>3000</v>
      </c>
      <c r="P50" s="156" t="str">
        <f>+IF(VLOOKUP(P$1,Lecturas!$N$1:$AA$20,$AC50,FALSE)=0,"",VLOOKUP(P$1,Lecturas!$N$1:$AA$20,$AC50,FALSE))</f>
        <v/>
      </c>
      <c r="Q50" s="156" t="str">
        <f>+IF(VLOOKUP(Q$1,Lecturas!$N$1:$AA$20,$AC50,FALSE)=0,"",VLOOKUP(Q$1,Lecturas!$N$1:$AA$20,$AC50,FALSE))</f>
        <v/>
      </c>
      <c r="R50" s="156" t="str">
        <f>+IF(VLOOKUP(R$1,Lecturas!$N$1:$AA$20,$AC50,FALSE)=0,"",VLOOKUP(R$1,Lecturas!$N$1:$AA$20,$AC50,FALSE))</f>
        <v/>
      </c>
      <c r="S50" s="163" t="str">
        <f>+IF(VLOOKUP(S$1,Lecturas!$N$1:$AA$20,$AC50,FALSE)=0,"",VLOOKUP(S$1,Lecturas!$N$1:$AA$20,$AC50,FALSE))</f>
        <v/>
      </c>
      <c r="T50" s="163" t="str">
        <f>+IF(VLOOKUP(T$1,Lecturas!$N$1:$AA$20,$AC50,FALSE)=0,"",VLOOKUP(T$1,Lecturas!$N$1:$AA$20,$AC50,FALSE))</f>
        <v/>
      </c>
      <c r="U50" s="163" t="str">
        <f>+IF(VLOOKUP(U$1,Lecturas!$N$1:$AA$20,$AC50,FALSE)=0,"",VLOOKUP(U$1,Lecturas!$N$1:$AA$20,$AC50,FALSE))</f>
        <v/>
      </c>
      <c r="V50" s="156" t="str">
        <f>+IF(VLOOKUP(V$1,Lecturas!$N$1:$AA$20,$AC50,FALSE)=0,"",VLOOKUP(V$1,Lecturas!$N$1:$AA$20,$AC50,FALSE))</f>
        <v/>
      </c>
      <c r="W50" s="156" t="str">
        <f>+IF(VLOOKUP(W$1,Lecturas!$N$1:$AA$20,$AC50,FALSE)=0,"",VLOOKUP(W$1,Lecturas!$N$1:$AA$20,$AC50,FALSE))</f>
        <v/>
      </c>
      <c r="X50" s="156" t="str">
        <f>+IF(VLOOKUP(X$1,Lecturas!$N$1:$AA$20,$AC50,FALSE)=0,"",VLOOKUP(X$1,Lecturas!$N$1:$AA$20,$AC50,FALSE))</f>
        <v/>
      </c>
      <c r="Y50" s="163">
        <f>+IF(VLOOKUP(Y$1,Lecturas!$N$1:$AA$20,$AC50,FALSE)=0,"",VLOOKUP(Y$1,Lecturas!$N$1:$AA$20,$AC50,FALSE))</f>
        <v>7500</v>
      </c>
      <c r="Z50" s="48"/>
      <c r="AA50" s="48"/>
      <c r="AB50" s="48"/>
      <c r="AC50" s="148">
        <f>+'CARGA DE DATOS'!AF51</f>
        <v>6</v>
      </c>
    </row>
    <row r="51" spans="1:29" x14ac:dyDescent="0.25">
      <c r="A51" s="148">
        <f>+'CARGA DE DATOS'!A52</f>
        <v>50</v>
      </c>
      <c r="B51" s="48" t="str">
        <f>+IF(RESULTADOS!H51="","",RESULTADOS!H51)</f>
        <v/>
      </c>
      <c r="C51" s="48" t="str">
        <f>+IF(RESULTADOS!D51="","",RESULTADOS!D51)</f>
        <v/>
      </c>
      <c r="D51" s="160" t="str">
        <f>+IF('CARGA DE DATOS'!K52="Cooperativa","COOP",IF(Salida!AT52="true","PROSU","GD"))</f>
        <v>GD</v>
      </c>
      <c r="E51" s="160" t="s">
        <v>9147</v>
      </c>
      <c r="F51" s="160" t="str">
        <f>+IF(OR(D51="COOP",'CARGA DE DATOS'!K52="GUMA"),"15.02.2022",IF('CARGA DE DATOS'!K52="GUME","05.02.2022","10.02.2022"))</f>
        <v>10.02.2022</v>
      </c>
      <c r="G51" s="163">
        <f>+IF(VLOOKUP(G$1,Lecturas!$N$1:$AA$20,$AC51,FALSE)=0,"",VLOOKUP(G$1,Lecturas!$N$1:$AA$20,$AC51,FALSE))</f>
        <v>1500</v>
      </c>
      <c r="H51" s="163">
        <f>+IF(VLOOKUP(H$1,Lecturas!$N$1:$AA$20,$AC51,FALSE)=0,"",VLOOKUP(H$1,Lecturas!$N$1:$AA$20,$AC51,FALSE))</f>
        <v>1550</v>
      </c>
      <c r="I51" s="163">
        <f>+IF(VLOOKUP(I$1,Lecturas!$N$1:$AA$20,$AC51,FALSE)=0,"",VLOOKUP(I$1,Lecturas!$N$1:$AA$20,$AC51,FALSE))</f>
        <v>1550</v>
      </c>
      <c r="J51" s="156" t="str">
        <f>+IF(VLOOKUP(J$1,Lecturas!$N$1:$AA$20,$AC51,FALSE)=0,"",VLOOKUP(J$1,Lecturas!$N$1:$AA$20,$AC51,FALSE))</f>
        <v/>
      </c>
      <c r="K51" s="156" t="str">
        <f>+IF(VLOOKUP(K$1,Lecturas!$N$1:$AA$20,$AC51,FALSE)=0,"",VLOOKUP(K$1,Lecturas!$N$1:$AA$20,$AC51,FALSE))</f>
        <v/>
      </c>
      <c r="L51" s="156" t="str">
        <f>+IF(VLOOKUP(L$1,Lecturas!$N$1:$AA$20,$AC51,FALSE)=0,"",VLOOKUP(L$1,Lecturas!$N$1:$AA$20,$AC51,FALSE))</f>
        <v/>
      </c>
      <c r="M51" s="163">
        <f>+IF(VLOOKUP(M$1,Lecturas!$N$1:$AA$20,$AC51,FALSE)=0,"",VLOOKUP(M$1,Lecturas!$N$1:$AA$20,$AC51,FALSE))</f>
        <v>2500</v>
      </c>
      <c r="N51" s="163">
        <f>+IF(VLOOKUP(N$1,Lecturas!$N$1:$AA$20,$AC51,FALSE)=0,"",VLOOKUP(N$1,Lecturas!$N$1:$AA$20,$AC51,FALSE))</f>
        <v>2000</v>
      </c>
      <c r="O51" s="163">
        <f>+IF(VLOOKUP(O$1,Lecturas!$N$1:$AA$20,$AC51,FALSE)=0,"",VLOOKUP(O$1,Lecturas!$N$1:$AA$20,$AC51,FALSE))</f>
        <v>3000</v>
      </c>
      <c r="P51" s="156" t="str">
        <f>+IF(VLOOKUP(P$1,Lecturas!$N$1:$AA$20,$AC51,FALSE)=0,"",VLOOKUP(P$1,Lecturas!$N$1:$AA$20,$AC51,FALSE))</f>
        <v/>
      </c>
      <c r="Q51" s="156" t="str">
        <f>+IF(VLOOKUP(Q$1,Lecturas!$N$1:$AA$20,$AC51,FALSE)=0,"",VLOOKUP(Q$1,Lecturas!$N$1:$AA$20,$AC51,FALSE))</f>
        <v/>
      </c>
      <c r="R51" s="156" t="str">
        <f>+IF(VLOOKUP(R$1,Lecturas!$N$1:$AA$20,$AC51,FALSE)=0,"",VLOOKUP(R$1,Lecturas!$N$1:$AA$20,$AC51,FALSE))</f>
        <v/>
      </c>
      <c r="S51" s="163" t="str">
        <f>+IF(VLOOKUP(S$1,Lecturas!$N$1:$AA$20,$AC51,FALSE)=0,"",VLOOKUP(S$1,Lecturas!$N$1:$AA$20,$AC51,FALSE))</f>
        <v/>
      </c>
      <c r="T51" s="163" t="str">
        <f>+IF(VLOOKUP(T$1,Lecturas!$N$1:$AA$20,$AC51,FALSE)=0,"",VLOOKUP(T$1,Lecturas!$N$1:$AA$20,$AC51,FALSE))</f>
        <v/>
      </c>
      <c r="U51" s="163" t="str">
        <f>+IF(VLOOKUP(U$1,Lecturas!$N$1:$AA$20,$AC51,FALSE)=0,"",VLOOKUP(U$1,Lecturas!$N$1:$AA$20,$AC51,FALSE))</f>
        <v/>
      </c>
      <c r="V51" s="156" t="str">
        <f>+IF(VLOOKUP(V$1,Lecturas!$N$1:$AA$20,$AC51,FALSE)=0,"",VLOOKUP(V$1,Lecturas!$N$1:$AA$20,$AC51,FALSE))</f>
        <v/>
      </c>
      <c r="W51" s="156" t="str">
        <f>+IF(VLOOKUP(W$1,Lecturas!$N$1:$AA$20,$AC51,FALSE)=0,"",VLOOKUP(W$1,Lecturas!$N$1:$AA$20,$AC51,FALSE))</f>
        <v/>
      </c>
      <c r="X51" s="156" t="str">
        <f>+IF(VLOOKUP(X$1,Lecturas!$N$1:$AA$20,$AC51,FALSE)=0,"",VLOOKUP(X$1,Lecturas!$N$1:$AA$20,$AC51,FALSE))</f>
        <v/>
      </c>
      <c r="Y51" s="163">
        <f>+IF(VLOOKUP(Y$1,Lecturas!$N$1:$AA$20,$AC51,FALSE)=0,"",VLOOKUP(Y$1,Lecturas!$N$1:$AA$20,$AC51,FALSE))</f>
        <v>7500</v>
      </c>
      <c r="Z51" s="48"/>
      <c r="AA51" s="48"/>
      <c r="AB51" s="48"/>
      <c r="AC51" s="148">
        <f>+'CARGA DE DATOS'!AF52</f>
        <v>7</v>
      </c>
    </row>
    <row r="52" spans="1:29" x14ac:dyDescent="0.25">
      <c r="A52" s="148">
        <f>+'CARGA DE DATOS'!A53</f>
        <v>51</v>
      </c>
      <c r="B52" s="48" t="str">
        <f>+IF(RESULTADOS!H52="","",RESULTADOS!H52)</f>
        <v/>
      </c>
      <c r="C52" s="48" t="str">
        <f>+IF(RESULTADOS!D52="","",RESULTADOS!D52)</f>
        <v/>
      </c>
      <c r="D52" s="160" t="str">
        <f>+IF('CARGA DE DATOS'!K53="Cooperativa","COOP",IF(Salida!AT53="true","PROSU","GD"))</f>
        <v>GD</v>
      </c>
      <c r="E52" s="160" t="s">
        <v>9147</v>
      </c>
      <c r="F52" s="160" t="str">
        <f>+IF(OR(D52="COOP",'CARGA DE DATOS'!K53="GUMA"),"15.02.2022",IF('CARGA DE DATOS'!K53="GUME","05.02.2022","10.02.2022"))</f>
        <v>10.02.2022</v>
      </c>
      <c r="G52" s="163">
        <f>+IF(VLOOKUP(G$1,Lecturas!$N$1:$AA$20,$AC52,FALSE)=0,"",VLOOKUP(G$1,Lecturas!$N$1:$AA$20,$AC52,FALSE))</f>
        <v>150</v>
      </c>
      <c r="H52" s="163">
        <f>+IF(VLOOKUP(H$1,Lecturas!$N$1:$AA$20,$AC52,FALSE)=0,"",VLOOKUP(H$1,Lecturas!$N$1:$AA$20,$AC52,FALSE))</f>
        <v>150</v>
      </c>
      <c r="I52" s="163">
        <f>+IF(VLOOKUP(I$1,Lecturas!$N$1:$AA$20,$AC52,FALSE)=0,"",VLOOKUP(I$1,Lecturas!$N$1:$AA$20,$AC52,FALSE))</f>
        <v>150</v>
      </c>
      <c r="J52" s="156" t="str">
        <f>+IF(VLOOKUP(J$1,Lecturas!$N$1:$AA$20,$AC52,FALSE)=0,"",VLOOKUP(J$1,Lecturas!$N$1:$AA$20,$AC52,FALSE))</f>
        <v/>
      </c>
      <c r="K52" s="156" t="str">
        <f>+IF(VLOOKUP(K$1,Lecturas!$N$1:$AA$20,$AC52,FALSE)=0,"",VLOOKUP(K$1,Lecturas!$N$1:$AA$20,$AC52,FALSE))</f>
        <v/>
      </c>
      <c r="L52" s="156" t="str">
        <f>+IF(VLOOKUP(L$1,Lecturas!$N$1:$AA$20,$AC52,FALSE)=0,"",VLOOKUP(L$1,Lecturas!$N$1:$AA$20,$AC52,FALSE))</f>
        <v/>
      </c>
      <c r="M52" s="163">
        <f>+IF(VLOOKUP(M$1,Lecturas!$N$1:$AA$20,$AC52,FALSE)=0,"",VLOOKUP(M$1,Lecturas!$N$1:$AA$20,$AC52,FALSE))</f>
        <v>2500</v>
      </c>
      <c r="N52" s="163">
        <f>+IF(VLOOKUP(N$1,Lecturas!$N$1:$AA$20,$AC52,FALSE)=0,"",VLOOKUP(N$1,Lecturas!$N$1:$AA$20,$AC52,FALSE))</f>
        <v>2000</v>
      </c>
      <c r="O52" s="163">
        <f>+IF(VLOOKUP(O$1,Lecturas!$N$1:$AA$20,$AC52,FALSE)=0,"",VLOOKUP(O$1,Lecturas!$N$1:$AA$20,$AC52,FALSE))</f>
        <v>3000</v>
      </c>
      <c r="P52" s="156" t="str">
        <f>+IF(VLOOKUP(P$1,Lecturas!$N$1:$AA$20,$AC52,FALSE)=0,"",VLOOKUP(P$1,Lecturas!$N$1:$AA$20,$AC52,FALSE))</f>
        <v/>
      </c>
      <c r="Q52" s="156" t="str">
        <f>+IF(VLOOKUP(Q$1,Lecturas!$N$1:$AA$20,$AC52,FALSE)=0,"",VLOOKUP(Q$1,Lecturas!$N$1:$AA$20,$AC52,FALSE))</f>
        <v/>
      </c>
      <c r="R52" s="156" t="str">
        <f>+IF(VLOOKUP(R$1,Lecturas!$N$1:$AA$20,$AC52,FALSE)=0,"",VLOOKUP(R$1,Lecturas!$N$1:$AA$20,$AC52,FALSE))</f>
        <v/>
      </c>
      <c r="S52" s="163" t="str">
        <f>+IF(VLOOKUP(S$1,Lecturas!$N$1:$AA$20,$AC52,FALSE)=0,"",VLOOKUP(S$1,Lecturas!$N$1:$AA$20,$AC52,FALSE))</f>
        <v/>
      </c>
      <c r="T52" s="163" t="str">
        <f>+IF(VLOOKUP(T$1,Lecturas!$N$1:$AA$20,$AC52,FALSE)=0,"",VLOOKUP(T$1,Lecturas!$N$1:$AA$20,$AC52,FALSE))</f>
        <v/>
      </c>
      <c r="U52" s="163" t="str">
        <f>+IF(VLOOKUP(U$1,Lecturas!$N$1:$AA$20,$AC52,FALSE)=0,"",VLOOKUP(U$1,Lecturas!$N$1:$AA$20,$AC52,FALSE))</f>
        <v/>
      </c>
      <c r="V52" s="156" t="str">
        <f>+IF(VLOOKUP(V$1,Lecturas!$N$1:$AA$20,$AC52,FALSE)=0,"",VLOOKUP(V$1,Lecturas!$N$1:$AA$20,$AC52,FALSE))</f>
        <v/>
      </c>
      <c r="W52" s="156" t="str">
        <f>+IF(VLOOKUP(W$1,Lecturas!$N$1:$AA$20,$AC52,FALSE)=0,"",VLOOKUP(W$1,Lecturas!$N$1:$AA$20,$AC52,FALSE))</f>
        <v/>
      </c>
      <c r="X52" s="156" t="str">
        <f>+IF(VLOOKUP(X$1,Lecturas!$N$1:$AA$20,$AC52,FALSE)=0,"",VLOOKUP(X$1,Lecturas!$N$1:$AA$20,$AC52,FALSE))</f>
        <v/>
      </c>
      <c r="Y52" s="163">
        <f>+IF(VLOOKUP(Y$1,Lecturas!$N$1:$AA$20,$AC52,FALSE)=0,"",VLOOKUP(Y$1,Lecturas!$N$1:$AA$20,$AC52,FALSE))</f>
        <v>5000</v>
      </c>
      <c r="Z52" s="48"/>
      <c r="AA52" s="48"/>
      <c r="AB52" s="48"/>
      <c r="AC52" s="148">
        <f>+'CARGA DE DATOS'!AF53</f>
        <v>2</v>
      </c>
    </row>
    <row r="53" spans="1:29" x14ac:dyDescent="0.25">
      <c r="A53" s="148">
        <f>+'CARGA DE DATOS'!A54</f>
        <v>52</v>
      </c>
      <c r="B53" s="48" t="str">
        <f>+IF(RESULTADOS!H53="","",RESULTADOS!H53)</f>
        <v/>
      </c>
      <c r="C53" s="48" t="str">
        <f>+IF(RESULTADOS!D53="","",RESULTADOS!D53)</f>
        <v/>
      </c>
      <c r="D53" s="160" t="str">
        <f>+IF('CARGA DE DATOS'!K54="Cooperativa","COOP",IF(Salida!AT54="true","PROSU","GD"))</f>
        <v>GD</v>
      </c>
      <c r="E53" s="160" t="s">
        <v>9147</v>
      </c>
      <c r="F53" s="160" t="str">
        <f>+IF(OR(D53="COOP",'CARGA DE DATOS'!K54="GUMA"),"15.02.2022",IF('CARGA DE DATOS'!K54="GUME","05.02.2022","10.02.2022"))</f>
        <v>10.02.2022</v>
      </c>
      <c r="G53" s="163">
        <f>+IF(VLOOKUP(G$1,Lecturas!$N$1:$AA$20,$AC53,FALSE)=0,"",VLOOKUP(G$1,Lecturas!$N$1:$AA$20,$AC53,FALSE))</f>
        <v>150</v>
      </c>
      <c r="H53" s="163">
        <f>+IF(VLOOKUP(H$1,Lecturas!$N$1:$AA$20,$AC53,FALSE)=0,"",VLOOKUP(H$1,Lecturas!$N$1:$AA$20,$AC53,FALSE))</f>
        <v>300</v>
      </c>
      <c r="I53" s="163">
        <f>+IF(VLOOKUP(I$1,Lecturas!$N$1:$AA$20,$AC53,FALSE)=0,"",VLOOKUP(I$1,Lecturas!$N$1:$AA$20,$AC53,FALSE))</f>
        <v>350</v>
      </c>
      <c r="J53" s="156" t="str">
        <f>+IF(VLOOKUP(J$1,Lecturas!$N$1:$AA$20,$AC53,FALSE)=0,"",VLOOKUP(J$1,Lecturas!$N$1:$AA$20,$AC53,FALSE))</f>
        <v/>
      </c>
      <c r="K53" s="156" t="str">
        <f>+IF(VLOOKUP(K$1,Lecturas!$N$1:$AA$20,$AC53,FALSE)=0,"",VLOOKUP(K$1,Lecturas!$N$1:$AA$20,$AC53,FALSE))</f>
        <v/>
      </c>
      <c r="L53" s="156" t="str">
        <f>+IF(VLOOKUP(L$1,Lecturas!$N$1:$AA$20,$AC53,FALSE)=0,"",VLOOKUP(L$1,Lecturas!$N$1:$AA$20,$AC53,FALSE))</f>
        <v/>
      </c>
      <c r="M53" s="163">
        <f>+IF(VLOOKUP(M$1,Lecturas!$N$1:$AA$20,$AC53,FALSE)=0,"",VLOOKUP(M$1,Lecturas!$N$1:$AA$20,$AC53,FALSE))</f>
        <v>2500</v>
      </c>
      <c r="N53" s="163">
        <f>+IF(VLOOKUP(N$1,Lecturas!$N$1:$AA$20,$AC53,FALSE)=0,"",VLOOKUP(N$1,Lecturas!$N$1:$AA$20,$AC53,FALSE))</f>
        <v>2000</v>
      </c>
      <c r="O53" s="163">
        <f>+IF(VLOOKUP(O$1,Lecturas!$N$1:$AA$20,$AC53,FALSE)=0,"",VLOOKUP(O$1,Lecturas!$N$1:$AA$20,$AC53,FALSE))</f>
        <v>3000</v>
      </c>
      <c r="P53" s="156" t="str">
        <f>+IF(VLOOKUP(P$1,Lecturas!$N$1:$AA$20,$AC53,FALSE)=0,"",VLOOKUP(P$1,Lecturas!$N$1:$AA$20,$AC53,FALSE))</f>
        <v/>
      </c>
      <c r="Q53" s="156" t="str">
        <f>+IF(VLOOKUP(Q$1,Lecturas!$N$1:$AA$20,$AC53,FALSE)=0,"",VLOOKUP(Q$1,Lecturas!$N$1:$AA$20,$AC53,FALSE))</f>
        <v/>
      </c>
      <c r="R53" s="156" t="str">
        <f>+IF(VLOOKUP(R$1,Lecturas!$N$1:$AA$20,$AC53,FALSE)=0,"",VLOOKUP(R$1,Lecturas!$N$1:$AA$20,$AC53,FALSE))</f>
        <v/>
      </c>
      <c r="S53" s="163" t="str">
        <f>+IF(VLOOKUP(S$1,Lecturas!$N$1:$AA$20,$AC53,FALSE)=0,"",VLOOKUP(S$1,Lecturas!$N$1:$AA$20,$AC53,FALSE))</f>
        <v/>
      </c>
      <c r="T53" s="163" t="str">
        <f>+IF(VLOOKUP(T$1,Lecturas!$N$1:$AA$20,$AC53,FALSE)=0,"",VLOOKUP(T$1,Lecturas!$N$1:$AA$20,$AC53,FALSE))</f>
        <v/>
      </c>
      <c r="U53" s="163" t="str">
        <f>+IF(VLOOKUP(U$1,Lecturas!$N$1:$AA$20,$AC53,FALSE)=0,"",VLOOKUP(U$1,Lecturas!$N$1:$AA$20,$AC53,FALSE))</f>
        <v/>
      </c>
      <c r="V53" s="156" t="str">
        <f>+IF(VLOOKUP(V$1,Lecturas!$N$1:$AA$20,$AC53,FALSE)=0,"",VLOOKUP(V$1,Lecturas!$N$1:$AA$20,$AC53,FALSE))</f>
        <v/>
      </c>
      <c r="W53" s="156" t="str">
        <f>+IF(VLOOKUP(W$1,Lecturas!$N$1:$AA$20,$AC53,FALSE)=0,"",VLOOKUP(W$1,Lecturas!$N$1:$AA$20,$AC53,FALSE))</f>
        <v/>
      </c>
      <c r="X53" s="156" t="str">
        <f>+IF(VLOOKUP(X$1,Lecturas!$N$1:$AA$20,$AC53,FALSE)=0,"",VLOOKUP(X$1,Lecturas!$N$1:$AA$20,$AC53,FALSE))</f>
        <v/>
      </c>
      <c r="Y53" s="163">
        <f>+IF(VLOOKUP(Y$1,Lecturas!$N$1:$AA$20,$AC53,FALSE)=0,"",VLOOKUP(Y$1,Lecturas!$N$1:$AA$20,$AC53,FALSE))</f>
        <v>500</v>
      </c>
      <c r="Z53" s="48"/>
      <c r="AA53" s="48"/>
      <c r="AB53" s="48"/>
      <c r="AC53" s="148">
        <f>+'CARGA DE DATOS'!AF54</f>
        <v>8</v>
      </c>
    </row>
    <row r="54" spans="1:29" x14ac:dyDescent="0.25">
      <c r="A54" s="148">
        <f>+'CARGA DE DATOS'!A55</f>
        <v>53</v>
      </c>
      <c r="B54" s="48" t="str">
        <f>+IF(RESULTADOS!H54="","",RESULTADOS!H54)</f>
        <v/>
      </c>
      <c r="C54" s="48" t="str">
        <f>+IF(RESULTADOS!D54="","",RESULTADOS!D54)</f>
        <v/>
      </c>
      <c r="D54" s="160" t="str">
        <f>+IF('CARGA DE DATOS'!K55="Cooperativa","COOP",IF(Salida!AT55="true","PROSU","GD"))</f>
        <v>GD</v>
      </c>
      <c r="E54" s="160" t="s">
        <v>9147</v>
      </c>
      <c r="F54" s="160" t="str">
        <f>+IF(OR(D54="COOP",'CARGA DE DATOS'!K55="GUMA"),"15.02.2022",IF('CARGA DE DATOS'!K55="GUME","05.02.2022","10.02.2022"))</f>
        <v>10.02.2022</v>
      </c>
      <c r="G54" s="163">
        <f>+IF(VLOOKUP(G$1,Lecturas!$N$1:$AA$20,$AC54,FALSE)=0,"",VLOOKUP(G$1,Lecturas!$N$1:$AA$20,$AC54,FALSE))</f>
        <v>150</v>
      </c>
      <c r="H54" s="163">
        <f>+IF(VLOOKUP(H$1,Lecturas!$N$1:$AA$20,$AC54,FALSE)=0,"",VLOOKUP(H$1,Lecturas!$N$1:$AA$20,$AC54,FALSE))</f>
        <v>150</v>
      </c>
      <c r="I54" s="163">
        <f>+IF(VLOOKUP(I$1,Lecturas!$N$1:$AA$20,$AC54,FALSE)=0,"",VLOOKUP(I$1,Lecturas!$N$1:$AA$20,$AC54,FALSE))</f>
        <v>150</v>
      </c>
      <c r="J54" s="156" t="str">
        <f>+IF(VLOOKUP(J$1,Lecturas!$N$1:$AA$20,$AC54,FALSE)=0,"",VLOOKUP(J$1,Lecturas!$N$1:$AA$20,$AC54,FALSE))</f>
        <v/>
      </c>
      <c r="K54" s="156" t="str">
        <f>+IF(VLOOKUP(K$1,Lecturas!$N$1:$AA$20,$AC54,FALSE)=0,"",VLOOKUP(K$1,Lecturas!$N$1:$AA$20,$AC54,FALSE))</f>
        <v/>
      </c>
      <c r="L54" s="156" t="str">
        <f>+IF(VLOOKUP(L$1,Lecturas!$N$1:$AA$20,$AC54,FALSE)=0,"",VLOOKUP(L$1,Lecturas!$N$1:$AA$20,$AC54,FALSE))</f>
        <v/>
      </c>
      <c r="M54" s="163">
        <f>+IF(VLOOKUP(M$1,Lecturas!$N$1:$AA$20,$AC54,FALSE)=0,"",VLOOKUP(M$1,Lecturas!$N$1:$AA$20,$AC54,FALSE))</f>
        <v>2500</v>
      </c>
      <c r="N54" s="163">
        <f>+IF(VLOOKUP(N$1,Lecturas!$N$1:$AA$20,$AC54,FALSE)=0,"",VLOOKUP(N$1,Lecturas!$N$1:$AA$20,$AC54,FALSE))</f>
        <v>2000</v>
      </c>
      <c r="O54" s="163">
        <f>+IF(VLOOKUP(O$1,Lecturas!$N$1:$AA$20,$AC54,FALSE)=0,"",VLOOKUP(O$1,Lecturas!$N$1:$AA$20,$AC54,FALSE))</f>
        <v>3000</v>
      </c>
      <c r="P54" s="156" t="str">
        <f>+IF(VLOOKUP(P$1,Lecturas!$N$1:$AA$20,$AC54,FALSE)=0,"",VLOOKUP(P$1,Lecturas!$N$1:$AA$20,$AC54,FALSE))</f>
        <v/>
      </c>
      <c r="Q54" s="156" t="str">
        <f>+IF(VLOOKUP(Q$1,Lecturas!$N$1:$AA$20,$AC54,FALSE)=0,"",VLOOKUP(Q$1,Lecturas!$N$1:$AA$20,$AC54,FALSE))</f>
        <v/>
      </c>
      <c r="R54" s="156" t="str">
        <f>+IF(VLOOKUP(R$1,Lecturas!$N$1:$AA$20,$AC54,FALSE)=0,"",VLOOKUP(R$1,Lecturas!$N$1:$AA$20,$AC54,FALSE))</f>
        <v/>
      </c>
      <c r="S54" s="163" t="str">
        <f>+IF(VLOOKUP(S$1,Lecturas!$N$1:$AA$20,$AC54,FALSE)=0,"",VLOOKUP(S$1,Lecturas!$N$1:$AA$20,$AC54,FALSE))</f>
        <v/>
      </c>
      <c r="T54" s="163" t="str">
        <f>+IF(VLOOKUP(T$1,Lecturas!$N$1:$AA$20,$AC54,FALSE)=0,"",VLOOKUP(T$1,Lecturas!$N$1:$AA$20,$AC54,FALSE))</f>
        <v/>
      </c>
      <c r="U54" s="163" t="str">
        <f>+IF(VLOOKUP(U$1,Lecturas!$N$1:$AA$20,$AC54,FALSE)=0,"",VLOOKUP(U$1,Lecturas!$N$1:$AA$20,$AC54,FALSE))</f>
        <v/>
      </c>
      <c r="V54" s="156" t="str">
        <f>+IF(VLOOKUP(V$1,Lecturas!$N$1:$AA$20,$AC54,FALSE)=0,"",VLOOKUP(V$1,Lecturas!$N$1:$AA$20,$AC54,FALSE))</f>
        <v/>
      </c>
      <c r="W54" s="156" t="str">
        <f>+IF(VLOOKUP(W$1,Lecturas!$N$1:$AA$20,$AC54,FALSE)=0,"",VLOOKUP(W$1,Lecturas!$N$1:$AA$20,$AC54,FALSE))</f>
        <v/>
      </c>
      <c r="X54" s="156" t="str">
        <f>+IF(VLOOKUP(X$1,Lecturas!$N$1:$AA$20,$AC54,FALSE)=0,"",VLOOKUP(X$1,Lecturas!$N$1:$AA$20,$AC54,FALSE))</f>
        <v/>
      </c>
      <c r="Y54" s="163">
        <f>+IF(VLOOKUP(Y$1,Lecturas!$N$1:$AA$20,$AC54,FALSE)=0,"",VLOOKUP(Y$1,Lecturas!$N$1:$AA$20,$AC54,FALSE))</f>
        <v>5000</v>
      </c>
      <c r="Z54" s="48"/>
      <c r="AA54" s="48"/>
      <c r="AB54" s="48"/>
      <c r="AC54" s="148">
        <f>+'CARGA DE DATOS'!AF55</f>
        <v>2</v>
      </c>
    </row>
    <row r="55" spans="1:29" x14ac:dyDescent="0.25">
      <c r="A55" s="148">
        <f>+'CARGA DE DATOS'!A56</f>
        <v>54</v>
      </c>
      <c r="B55" s="48" t="str">
        <f>+IF(RESULTADOS!H55="","",RESULTADOS!H55)</f>
        <v/>
      </c>
      <c r="C55" s="48" t="str">
        <f>+IF(RESULTADOS!D55="","",RESULTADOS!D55)</f>
        <v/>
      </c>
      <c r="D55" s="160" t="str">
        <f>+IF('CARGA DE DATOS'!K56="Cooperativa","COOP",IF(Salida!AT56="true","PROSU","GD"))</f>
        <v>GD</v>
      </c>
      <c r="E55" s="160" t="s">
        <v>9147</v>
      </c>
      <c r="F55" s="160" t="str">
        <f>+IF(OR(D55="COOP",'CARGA DE DATOS'!K56="GUMA"),"15.02.2022",IF('CARGA DE DATOS'!K56="GUME","05.02.2022","10.02.2022"))</f>
        <v>10.02.2022</v>
      </c>
      <c r="G55" s="163">
        <f>+IF(VLOOKUP(G$1,Lecturas!$N$1:$AA$20,$AC55,FALSE)=0,"",VLOOKUP(G$1,Lecturas!$N$1:$AA$20,$AC55,FALSE))</f>
        <v>150</v>
      </c>
      <c r="H55" s="163">
        <f>+IF(VLOOKUP(H$1,Lecturas!$N$1:$AA$20,$AC55,FALSE)=0,"",VLOOKUP(H$1,Lecturas!$N$1:$AA$20,$AC55,FALSE))</f>
        <v>300</v>
      </c>
      <c r="I55" s="163">
        <f>+IF(VLOOKUP(I$1,Lecturas!$N$1:$AA$20,$AC55,FALSE)=0,"",VLOOKUP(I$1,Lecturas!$N$1:$AA$20,$AC55,FALSE))</f>
        <v>350</v>
      </c>
      <c r="J55" s="156" t="str">
        <f>+IF(VLOOKUP(J$1,Lecturas!$N$1:$AA$20,$AC55,FALSE)=0,"",VLOOKUP(J$1,Lecturas!$N$1:$AA$20,$AC55,FALSE))</f>
        <v/>
      </c>
      <c r="K55" s="156" t="str">
        <f>+IF(VLOOKUP(K$1,Lecturas!$N$1:$AA$20,$AC55,FALSE)=0,"",VLOOKUP(K$1,Lecturas!$N$1:$AA$20,$AC55,FALSE))</f>
        <v/>
      </c>
      <c r="L55" s="156" t="str">
        <f>+IF(VLOOKUP(L$1,Lecturas!$N$1:$AA$20,$AC55,FALSE)=0,"",VLOOKUP(L$1,Lecturas!$N$1:$AA$20,$AC55,FALSE))</f>
        <v/>
      </c>
      <c r="M55" s="163">
        <f>+IF(VLOOKUP(M$1,Lecturas!$N$1:$AA$20,$AC55,FALSE)=0,"",VLOOKUP(M$1,Lecturas!$N$1:$AA$20,$AC55,FALSE))</f>
        <v>2500</v>
      </c>
      <c r="N55" s="163">
        <f>+IF(VLOOKUP(N$1,Lecturas!$N$1:$AA$20,$AC55,FALSE)=0,"",VLOOKUP(N$1,Lecturas!$N$1:$AA$20,$AC55,FALSE))</f>
        <v>2000</v>
      </c>
      <c r="O55" s="163">
        <f>+IF(VLOOKUP(O$1,Lecturas!$N$1:$AA$20,$AC55,FALSE)=0,"",VLOOKUP(O$1,Lecturas!$N$1:$AA$20,$AC55,FALSE))</f>
        <v>3000</v>
      </c>
      <c r="P55" s="156" t="str">
        <f>+IF(VLOOKUP(P$1,Lecturas!$N$1:$AA$20,$AC55,FALSE)=0,"",VLOOKUP(P$1,Lecturas!$N$1:$AA$20,$AC55,FALSE))</f>
        <v/>
      </c>
      <c r="Q55" s="156" t="str">
        <f>+IF(VLOOKUP(Q$1,Lecturas!$N$1:$AA$20,$AC55,FALSE)=0,"",VLOOKUP(Q$1,Lecturas!$N$1:$AA$20,$AC55,FALSE))</f>
        <v/>
      </c>
      <c r="R55" s="156" t="str">
        <f>+IF(VLOOKUP(R$1,Lecturas!$N$1:$AA$20,$AC55,FALSE)=0,"",VLOOKUP(R$1,Lecturas!$N$1:$AA$20,$AC55,FALSE))</f>
        <v/>
      </c>
      <c r="S55" s="163" t="str">
        <f>+IF(VLOOKUP(S$1,Lecturas!$N$1:$AA$20,$AC55,FALSE)=0,"",VLOOKUP(S$1,Lecturas!$N$1:$AA$20,$AC55,FALSE))</f>
        <v/>
      </c>
      <c r="T55" s="163" t="str">
        <f>+IF(VLOOKUP(T$1,Lecturas!$N$1:$AA$20,$AC55,FALSE)=0,"",VLOOKUP(T$1,Lecturas!$N$1:$AA$20,$AC55,FALSE))</f>
        <v/>
      </c>
      <c r="U55" s="163" t="str">
        <f>+IF(VLOOKUP(U$1,Lecturas!$N$1:$AA$20,$AC55,FALSE)=0,"",VLOOKUP(U$1,Lecturas!$N$1:$AA$20,$AC55,FALSE))</f>
        <v/>
      </c>
      <c r="V55" s="156" t="str">
        <f>+IF(VLOOKUP(V$1,Lecturas!$N$1:$AA$20,$AC55,FALSE)=0,"",VLOOKUP(V$1,Lecturas!$N$1:$AA$20,$AC55,FALSE))</f>
        <v/>
      </c>
      <c r="W55" s="156" t="str">
        <f>+IF(VLOOKUP(W$1,Lecturas!$N$1:$AA$20,$AC55,FALSE)=0,"",VLOOKUP(W$1,Lecturas!$N$1:$AA$20,$AC55,FALSE))</f>
        <v/>
      </c>
      <c r="X55" s="156" t="str">
        <f>+IF(VLOOKUP(X$1,Lecturas!$N$1:$AA$20,$AC55,FALSE)=0,"",VLOOKUP(X$1,Lecturas!$N$1:$AA$20,$AC55,FALSE))</f>
        <v/>
      </c>
      <c r="Y55" s="163">
        <f>+IF(VLOOKUP(Y$1,Lecturas!$N$1:$AA$20,$AC55,FALSE)=0,"",VLOOKUP(Y$1,Lecturas!$N$1:$AA$20,$AC55,FALSE))</f>
        <v>500</v>
      </c>
      <c r="Z55" s="48"/>
      <c r="AA55" s="48"/>
      <c r="AB55" s="48"/>
      <c r="AC55" s="148">
        <f>+'CARGA DE DATOS'!AF56</f>
        <v>8</v>
      </c>
    </row>
    <row r="56" spans="1:29" x14ac:dyDescent="0.25">
      <c r="A56" s="148">
        <f>+'CARGA DE DATOS'!A57</f>
        <v>55</v>
      </c>
      <c r="B56" s="48" t="str">
        <f>+IF(RESULTADOS!H56="","",RESULTADOS!H56)</f>
        <v/>
      </c>
      <c r="C56" s="48" t="str">
        <f>+IF(RESULTADOS!D56="","",RESULTADOS!D56)</f>
        <v/>
      </c>
      <c r="D56" s="160" t="str">
        <f>+IF('CARGA DE DATOS'!K57="Cooperativa","COOP",IF(Salida!AT57="true","PROSU","GD"))</f>
        <v>GD</v>
      </c>
      <c r="E56" s="160" t="s">
        <v>9147</v>
      </c>
      <c r="F56" s="160" t="str">
        <f>+IF(OR(D56="COOP",'CARGA DE DATOS'!K57="GUMA"),"15.02.2022",IF('CARGA DE DATOS'!K57="GUME","05.02.2022","10.02.2022"))</f>
        <v>10.02.2022</v>
      </c>
      <c r="G56" s="163">
        <f>+IF(VLOOKUP(G$1,Lecturas!$N$1:$AA$20,$AC56,FALSE)=0,"",VLOOKUP(G$1,Lecturas!$N$1:$AA$20,$AC56,FALSE))</f>
        <v>1000</v>
      </c>
      <c r="H56" s="163">
        <f>+IF(VLOOKUP(H$1,Lecturas!$N$1:$AA$20,$AC56,FALSE)=0,"",VLOOKUP(H$1,Lecturas!$N$1:$AA$20,$AC56,FALSE))</f>
        <v>150</v>
      </c>
      <c r="I56" s="163">
        <f>+IF(VLOOKUP(I$1,Lecturas!$N$1:$AA$20,$AC56,FALSE)=0,"",VLOOKUP(I$1,Lecturas!$N$1:$AA$20,$AC56,FALSE))</f>
        <v>350</v>
      </c>
      <c r="J56" s="156" t="str">
        <f>+IF(VLOOKUP(J$1,Lecturas!$N$1:$AA$20,$AC56,FALSE)=0,"",VLOOKUP(J$1,Lecturas!$N$1:$AA$20,$AC56,FALSE))</f>
        <v/>
      </c>
      <c r="K56" s="156" t="str">
        <f>+IF(VLOOKUP(K$1,Lecturas!$N$1:$AA$20,$AC56,FALSE)=0,"",VLOOKUP(K$1,Lecturas!$N$1:$AA$20,$AC56,FALSE))</f>
        <v/>
      </c>
      <c r="L56" s="156" t="str">
        <f>+IF(VLOOKUP(L$1,Lecturas!$N$1:$AA$20,$AC56,FALSE)=0,"",VLOOKUP(L$1,Lecturas!$N$1:$AA$20,$AC56,FALSE))</f>
        <v/>
      </c>
      <c r="M56" s="163">
        <f>+IF(VLOOKUP(M$1,Lecturas!$N$1:$AA$20,$AC56,FALSE)=0,"",VLOOKUP(M$1,Lecturas!$N$1:$AA$20,$AC56,FALSE))</f>
        <v>2500</v>
      </c>
      <c r="N56" s="163">
        <f>+IF(VLOOKUP(N$1,Lecturas!$N$1:$AA$20,$AC56,FALSE)=0,"",VLOOKUP(N$1,Lecturas!$N$1:$AA$20,$AC56,FALSE))</f>
        <v>2000</v>
      </c>
      <c r="O56" s="163">
        <f>+IF(VLOOKUP(O$1,Lecturas!$N$1:$AA$20,$AC56,FALSE)=0,"",VLOOKUP(O$1,Lecturas!$N$1:$AA$20,$AC56,FALSE))</f>
        <v>3000</v>
      </c>
      <c r="P56" s="156" t="str">
        <f>+IF(VLOOKUP(P$1,Lecturas!$N$1:$AA$20,$AC56,FALSE)=0,"",VLOOKUP(P$1,Lecturas!$N$1:$AA$20,$AC56,FALSE))</f>
        <v/>
      </c>
      <c r="Q56" s="156" t="str">
        <f>+IF(VLOOKUP(Q$1,Lecturas!$N$1:$AA$20,$AC56,FALSE)=0,"",VLOOKUP(Q$1,Lecturas!$N$1:$AA$20,$AC56,FALSE))</f>
        <v/>
      </c>
      <c r="R56" s="156" t="str">
        <f>+IF(VLOOKUP(R$1,Lecturas!$N$1:$AA$20,$AC56,FALSE)=0,"",VLOOKUP(R$1,Lecturas!$N$1:$AA$20,$AC56,FALSE))</f>
        <v/>
      </c>
      <c r="S56" s="163" t="str">
        <f>+IF(VLOOKUP(S$1,Lecturas!$N$1:$AA$20,$AC56,FALSE)=0,"",VLOOKUP(S$1,Lecturas!$N$1:$AA$20,$AC56,FALSE))</f>
        <v/>
      </c>
      <c r="T56" s="163" t="str">
        <f>+IF(VLOOKUP(T$1,Lecturas!$N$1:$AA$20,$AC56,FALSE)=0,"",VLOOKUP(T$1,Lecturas!$N$1:$AA$20,$AC56,FALSE))</f>
        <v/>
      </c>
      <c r="U56" s="163" t="str">
        <f>+IF(VLOOKUP(U$1,Lecturas!$N$1:$AA$20,$AC56,FALSE)=0,"",VLOOKUP(U$1,Lecturas!$N$1:$AA$20,$AC56,FALSE))</f>
        <v/>
      </c>
      <c r="V56" s="156" t="str">
        <f>+IF(VLOOKUP(V$1,Lecturas!$N$1:$AA$20,$AC56,FALSE)=0,"",VLOOKUP(V$1,Lecturas!$N$1:$AA$20,$AC56,FALSE))</f>
        <v/>
      </c>
      <c r="W56" s="156" t="str">
        <f>+IF(VLOOKUP(W$1,Lecturas!$N$1:$AA$20,$AC56,FALSE)=0,"",VLOOKUP(W$1,Lecturas!$N$1:$AA$20,$AC56,FALSE))</f>
        <v/>
      </c>
      <c r="X56" s="156" t="str">
        <f>+IF(VLOOKUP(X$1,Lecturas!$N$1:$AA$20,$AC56,FALSE)=0,"",VLOOKUP(X$1,Lecturas!$N$1:$AA$20,$AC56,FALSE))</f>
        <v/>
      </c>
      <c r="Y56" s="163">
        <f>+IF(VLOOKUP(Y$1,Lecturas!$N$1:$AA$20,$AC56,FALSE)=0,"",VLOOKUP(Y$1,Lecturas!$N$1:$AA$20,$AC56,FALSE))</f>
        <v>7500</v>
      </c>
      <c r="Z56" s="48"/>
      <c r="AA56" s="48"/>
      <c r="AB56" s="48"/>
      <c r="AC56" s="148">
        <f>+'CARGA DE DATOS'!AF57</f>
        <v>6</v>
      </c>
    </row>
    <row r="57" spans="1:29" x14ac:dyDescent="0.25">
      <c r="A57" s="148">
        <f>+'CARGA DE DATOS'!A58</f>
        <v>56</v>
      </c>
      <c r="B57" s="48" t="str">
        <f>+IF(RESULTADOS!H57="","",RESULTADOS!H57)</f>
        <v/>
      </c>
      <c r="C57" s="48" t="str">
        <f>+IF(RESULTADOS!D57="","",RESULTADOS!D57)</f>
        <v/>
      </c>
      <c r="D57" s="160" t="str">
        <f>+IF('CARGA DE DATOS'!K58="Cooperativa","COOP",IF(Salida!AT58="true","PROSU","GD"))</f>
        <v>GD</v>
      </c>
      <c r="E57" s="160" t="s">
        <v>9147</v>
      </c>
      <c r="F57" s="160" t="str">
        <f>+IF(OR(D57="COOP",'CARGA DE DATOS'!K58="GUMA"),"15.02.2022",IF('CARGA DE DATOS'!K58="GUME","05.02.2022","10.02.2022"))</f>
        <v>10.02.2022</v>
      </c>
      <c r="G57" s="163">
        <f>+IF(VLOOKUP(G$1,Lecturas!$N$1:$AA$20,$AC57,FALSE)=0,"",VLOOKUP(G$1,Lecturas!$N$1:$AA$20,$AC57,FALSE))</f>
        <v>1000</v>
      </c>
      <c r="H57" s="163">
        <f>+IF(VLOOKUP(H$1,Lecturas!$N$1:$AA$20,$AC57,FALSE)=0,"",VLOOKUP(H$1,Lecturas!$N$1:$AA$20,$AC57,FALSE))</f>
        <v>150</v>
      </c>
      <c r="I57" s="163">
        <f>+IF(VLOOKUP(I$1,Lecturas!$N$1:$AA$20,$AC57,FALSE)=0,"",VLOOKUP(I$1,Lecturas!$N$1:$AA$20,$AC57,FALSE))</f>
        <v>350</v>
      </c>
      <c r="J57" s="156" t="str">
        <f>+IF(VLOOKUP(J$1,Lecturas!$N$1:$AA$20,$AC57,FALSE)=0,"",VLOOKUP(J$1,Lecturas!$N$1:$AA$20,$AC57,FALSE))</f>
        <v/>
      </c>
      <c r="K57" s="156" t="str">
        <f>+IF(VLOOKUP(K$1,Lecturas!$N$1:$AA$20,$AC57,FALSE)=0,"",VLOOKUP(K$1,Lecturas!$N$1:$AA$20,$AC57,FALSE))</f>
        <v/>
      </c>
      <c r="L57" s="156" t="str">
        <f>+IF(VLOOKUP(L$1,Lecturas!$N$1:$AA$20,$AC57,FALSE)=0,"",VLOOKUP(L$1,Lecturas!$N$1:$AA$20,$AC57,FALSE))</f>
        <v/>
      </c>
      <c r="M57" s="163">
        <f>+IF(VLOOKUP(M$1,Lecturas!$N$1:$AA$20,$AC57,FALSE)=0,"",VLOOKUP(M$1,Lecturas!$N$1:$AA$20,$AC57,FALSE))</f>
        <v>2500</v>
      </c>
      <c r="N57" s="163">
        <f>+IF(VLOOKUP(N$1,Lecturas!$N$1:$AA$20,$AC57,FALSE)=0,"",VLOOKUP(N$1,Lecturas!$N$1:$AA$20,$AC57,FALSE))</f>
        <v>2000</v>
      </c>
      <c r="O57" s="163">
        <f>+IF(VLOOKUP(O$1,Lecturas!$N$1:$AA$20,$AC57,FALSE)=0,"",VLOOKUP(O$1,Lecturas!$N$1:$AA$20,$AC57,FALSE))</f>
        <v>3000</v>
      </c>
      <c r="P57" s="156" t="str">
        <f>+IF(VLOOKUP(P$1,Lecturas!$N$1:$AA$20,$AC57,FALSE)=0,"",VLOOKUP(P$1,Lecturas!$N$1:$AA$20,$AC57,FALSE))</f>
        <v/>
      </c>
      <c r="Q57" s="156" t="str">
        <f>+IF(VLOOKUP(Q$1,Lecturas!$N$1:$AA$20,$AC57,FALSE)=0,"",VLOOKUP(Q$1,Lecturas!$N$1:$AA$20,$AC57,FALSE))</f>
        <v/>
      </c>
      <c r="R57" s="156" t="str">
        <f>+IF(VLOOKUP(R$1,Lecturas!$N$1:$AA$20,$AC57,FALSE)=0,"",VLOOKUP(R$1,Lecturas!$N$1:$AA$20,$AC57,FALSE))</f>
        <v/>
      </c>
      <c r="S57" s="163" t="str">
        <f>+IF(VLOOKUP(S$1,Lecturas!$N$1:$AA$20,$AC57,FALSE)=0,"",VLOOKUP(S$1,Lecturas!$N$1:$AA$20,$AC57,FALSE))</f>
        <v/>
      </c>
      <c r="T57" s="163" t="str">
        <f>+IF(VLOOKUP(T$1,Lecturas!$N$1:$AA$20,$AC57,FALSE)=0,"",VLOOKUP(T$1,Lecturas!$N$1:$AA$20,$AC57,FALSE))</f>
        <v/>
      </c>
      <c r="U57" s="163" t="str">
        <f>+IF(VLOOKUP(U$1,Lecturas!$N$1:$AA$20,$AC57,FALSE)=0,"",VLOOKUP(U$1,Lecturas!$N$1:$AA$20,$AC57,FALSE))</f>
        <v/>
      </c>
      <c r="V57" s="156" t="str">
        <f>+IF(VLOOKUP(V$1,Lecturas!$N$1:$AA$20,$AC57,FALSE)=0,"",VLOOKUP(V$1,Lecturas!$N$1:$AA$20,$AC57,FALSE))</f>
        <v/>
      </c>
      <c r="W57" s="156" t="str">
        <f>+IF(VLOOKUP(W$1,Lecturas!$N$1:$AA$20,$AC57,FALSE)=0,"",VLOOKUP(W$1,Lecturas!$N$1:$AA$20,$AC57,FALSE))</f>
        <v/>
      </c>
      <c r="X57" s="156" t="str">
        <f>+IF(VLOOKUP(X$1,Lecturas!$N$1:$AA$20,$AC57,FALSE)=0,"",VLOOKUP(X$1,Lecturas!$N$1:$AA$20,$AC57,FALSE))</f>
        <v/>
      </c>
      <c r="Y57" s="163">
        <f>+IF(VLOOKUP(Y$1,Lecturas!$N$1:$AA$20,$AC57,FALSE)=0,"",VLOOKUP(Y$1,Lecturas!$N$1:$AA$20,$AC57,FALSE))</f>
        <v>7500</v>
      </c>
      <c r="Z57" s="48"/>
      <c r="AA57" s="48"/>
      <c r="AB57" s="48"/>
      <c r="AC57" s="148">
        <f>+'CARGA DE DATOS'!AF58</f>
        <v>6</v>
      </c>
    </row>
    <row r="58" spans="1:29" x14ac:dyDescent="0.25">
      <c r="A58" s="148">
        <f>+'CARGA DE DATOS'!A59</f>
        <v>57</v>
      </c>
      <c r="B58" s="48" t="str">
        <f>+IF(RESULTADOS!H58="","",RESULTADOS!H58)</f>
        <v/>
      </c>
      <c r="C58" s="48" t="str">
        <f>+IF(RESULTADOS!D58="","",RESULTADOS!D58)</f>
        <v/>
      </c>
      <c r="D58" s="160" t="str">
        <f>+IF('CARGA DE DATOS'!K59="Cooperativa","COOP",IF(Salida!AT59="true","PROSU","GD"))</f>
        <v>GD</v>
      </c>
      <c r="E58" s="160" t="s">
        <v>9147</v>
      </c>
      <c r="F58" s="160" t="str">
        <f>+IF(OR(D58="COOP",'CARGA DE DATOS'!K59="GUMA"),"15.02.2022",IF('CARGA DE DATOS'!K59="GUME","05.02.2022","10.02.2022"))</f>
        <v>10.02.2022</v>
      </c>
      <c r="G58" s="163">
        <f>+IF(VLOOKUP(G$1,Lecturas!$N$1:$AA$20,$AC58,FALSE)=0,"",VLOOKUP(G$1,Lecturas!$N$1:$AA$20,$AC58,FALSE))</f>
        <v>150</v>
      </c>
      <c r="H58" s="163">
        <f>+IF(VLOOKUP(H$1,Lecturas!$N$1:$AA$20,$AC58,FALSE)=0,"",VLOOKUP(H$1,Lecturas!$N$1:$AA$20,$AC58,FALSE))</f>
        <v>150</v>
      </c>
      <c r="I58" s="163">
        <f>+IF(VLOOKUP(I$1,Lecturas!$N$1:$AA$20,$AC58,FALSE)=0,"",VLOOKUP(I$1,Lecturas!$N$1:$AA$20,$AC58,FALSE))</f>
        <v>150</v>
      </c>
      <c r="J58" s="156" t="str">
        <f>+IF(VLOOKUP(J$1,Lecturas!$N$1:$AA$20,$AC58,FALSE)=0,"",VLOOKUP(J$1,Lecturas!$N$1:$AA$20,$AC58,FALSE))</f>
        <v/>
      </c>
      <c r="K58" s="156" t="str">
        <f>+IF(VLOOKUP(K$1,Lecturas!$N$1:$AA$20,$AC58,FALSE)=0,"",VLOOKUP(K$1,Lecturas!$N$1:$AA$20,$AC58,FALSE))</f>
        <v/>
      </c>
      <c r="L58" s="156" t="str">
        <f>+IF(VLOOKUP(L$1,Lecturas!$N$1:$AA$20,$AC58,FALSE)=0,"",VLOOKUP(L$1,Lecturas!$N$1:$AA$20,$AC58,FALSE))</f>
        <v/>
      </c>
      <c r="M58" s="163">
        <f>+IF(VLOOKUP(M$1,Lecturas!$N$1:$AA$20,$AC58,FALSE)=0,"",VLOOKUP(M$1,Lecturas!$N$1:$AA$20,$AC58,FALSE))</f>
        <v>2500</v>
      </c>
      <c r="N58" s="163">
        <f>+IF(VLOOKUP(N$1,Lecturas!$N$1:$AA$20,$AC58,FALSE)=0,"",VLOOKUP(N$1,Lecturas!$N$1:$AA$20,$AC58,FALSE))</f>
        <v>2000</v>
      </c>
      <c r="O58" s="163">
        <f>+IF(VLOOKUP(O$1,Lecturas!$N$1:$AA$20,$AC58,FALSE)=0,"",VLOOKUP(O$1,Lecturas!$N$1:$AA$20,$AC58,FALSE))</f>
        <v>3000</v>
      </c>
      <c r="P58" s="156" t="str">
        <f>+IF(VLOOKUP(P$1,Lecturas!$N$1:$AA$20,$AC58,FALSE)=0,"",VLOOKUP(P$1,Lecturas!$N$1:$AA$20,$AC58,FALSE))</f>
        <v/>
      </c>
      <c r="Q58" s="156" t="str">
        <f>+IF(VLOOKUP(Q$1,Lecturas!$N$1:$AA$20,$AC58,FALSE)=0,"",VLOOKUP(Q$1,Lecturas!$N$1:$AA$20,$AC58,FALSE))</f>
        <v/>
      </c>
      <c r="R58" s="156" t="str">
        <f>+IF(VLOOKUP(R$1,Lecturas!$N$1:$AA$20,$AC58,FALSE)=0,"",VLOOKUP(R$1,Lecturas!$N$1:$AA$20,$AC58,FALSE))</f>
        <v/>
      </c>
      <c r="S58" s="163" t="str">
        <f>+IF(VLOOKUP(S$1,Lecturas!$N$1:$AA$20,$AC58,FALSE)=0,"",VLOOKUP(S$1,Lecturas!$N$1:$AA$20,$AC58,FALSE))</f>
        <v/>
      </c>
      <c r="T58" s="163" t="str">
        <f>+IF(VLOOKUP(T$1,Lecturas!$N$1:$AA$20,$AC58,FALSE)=0,"",VLOOKUP(T$1,Lecturas!$N$1:$AA$20,$AC58,FALSE))</f>
        <v/>
      </c>
      <c r="U58" s="163" t="str">
        <f>+IF(VLOOKUP(U$1,Lecturas!$N$1:$AA$20,$AC58,FALSE)=0,"",VLOOKUP(U$1,Lecturas!$N$1:$AA$20,$AC58,FALSE))</f>
        <v/>
      </c>
      <c r="V58" s="156" t="str">
        <f>+IF(VLOOKUP(V$1,Lecturas!$N$1:$AA$20,$AC58,FALSE)=0,"",VLOOKUP(V$1,Lecturas!$N$1:$AA$20,$AC58,FALSE))</f>
        <v/>
      </c>
      <c r="W58" s="156" t="str">
        <f>+IF(VLOOKUP(W$1,Lecturas!$N$1:$AA$20,$AC58,FALSE)=0,"",VLOOKUP(W$1,Lecturas!$N$1:$AA$20,$AC58,FALSE))</f>
        <v/>
      </c>
      <c r="X58" s="156" t="str">
        <f>+IF(VLOOKUP(X$1,Lecturas!$N$1:$AA$20,$AC58,FALSE)=0,"",VLOOKUP(X$1,Lecturas!$N$1:$AA$20,$AC58,FALSE))</f>
        <v/>
      </c>
      <c r="Y58" s="163">
        <f>+IF(VLOOKUP(Y$1,Lecturas!$N$1:$AA$20,$AC58,FALSE)=0,"",VLOOKUP(Y$1,Lecturas!$N$1:$AA$20,$AC58,FALSE))</f>
        <v>15000</v>
      </c>
      <c r="Z58" s="48"/>
      <c r="AA58" s="48"/>
      <c r="AB58" s="48"/>
      <c r="AC58" s="148">
        <f>+'CARGA DE DATOS'!AF59</f>
        <v>4</v>
      </c>
    </row>
    <row r="59" spans="1:29" x14ac:dyDescent="0.25">
      <c r="A59" s="148">
        <f>+'CARGA DE DATOS'!A60</f>
        <v>58</v>
      </c>
      <c r="B59" s="48" t="str">
        <f>+IF(RESULTADOS!H59="","",RESULTADOS!H59)</f>
        <v/>
      </c>
      <c r="C59" s="48" t="str">
        <f>+IF(RESULTADOS!D59="","",RESULTADOS!D59)</f>
        <v/>
      </c>
      <c r="D59" s="160" t="str">
        <f>+IF('CARGA DE DATOS'!K60="Cooperativa","COOP",IF(Salida!AT60="true","PROSU","GD"))</f>
        <v>GD</v>
      </c>
      <c r="E59" s="160" t="s">
        <v>9147</v>
      </c>
      <c r="F59" s="160" t="str">
        <f>+IF(OR(D59="COOP",'CARGA DE DATOS'!K60="GUMA"),"15.02.2022",IF('CARGA DE DATOS'!K60="GUME","05.02.2022","10.02.2022"))</f>
        <v>10.02.2022</v>
      </c>
      <c r="G59" s="163">
        <f>+IF(VLOOKUP(G$1,Lecturas!$N$1:$AA$20,$AC59,FALSE)=0,"",VLOOKUP(G$1,Lecturas!$N$1:$AA$20,$AC59,FALSE))</f>
        <v>150</v>
      </c>
      <c r="H59" s="163">
        <f>+IF(VLOOKUP(H$1,Lecturas!$N$1:$AA$20,$AC59,FALSE)=0,"",VLOOKUP(H$1,Lecturas!$N$1:$AA$20,$AC59,FALSE))</f>
        <v>150</v>
      </c>
      <c r="I59" s="163">
        <f>+IF(VLOOKUP(I$1,Lecturas!$N$1:$AA$20,$AC59,FALSE)=0,"",VLOOKUP(I$1,Lecturas!$N$1:$AA$20,$AC59,FALSE))</f>
        <v>150</v>
      </c>
      <c r="J59" s="156" t="str">
        <f>+IF(VLOOKUP(J$1,Lecturas!$N$1:$AA$20,$AC59,FALSE)=0,"",VLOOKUP(J$1,Lecturas!$N$1:$AA$20,$AC59,FALSE))</f>
        <v/>
      </c>
      <c r="K59" s="156" t="str">
        <f>+IF(VLOOKUP(K$1,Lecturas!$N$1:$AA$20,$AC59,FALSE)=0,"",VLOOKUP(K$1,Lecturas!$N$1:$AA$20,$AC59,FALSE))</f>
        <v/>
      </c>
      <c r="L59" s="156" t="str">
        <f>+IF(VLOOKUP(L$1,Lecturas!$N$1:$AA$20,$AC59,FALSE)=0,"",VLOOKUP(L$1,Lecturas!$N$1:$AA$20,$AC59,FALSE))</f>
        <v/>
      </c>
      <c r="M59" s="163">
        <f>+IF(VLOOKUP(M$1,Lecturas!$N$1:$AA$20,$AC59,FALSE)=0,"",VLOOKUP(M$1,Lecturas!$N$1:$AA$20,$AC59,FALSE))</f>
        <v>2500</v>
      </c>
      <c r="N59" s="163">
        <f>+IF(VLOOKUP(N$1,Lecturas!$N$1:$AA$20,$AC59,FALSE)=0,"",VLOOKUP(N$1,Lecturas!$N$1:$AA$20,$AC59,FALSE))</f>
        <v>2000</v>
      </c>
      <c r="O59" s="163">
        <f>+IF(VLOOKUP(O$1,Lecturas!$N$1:$AA$20,$AC59,FALSE)=0,"",VLOOKUP(O$1,Lecturas!$N$1:$AA$20,$AC59,FALSE))</f>
        <v>3000</v>
      </c>
      <c r="P59" s="156" t="str">
        <f>+IF(VLOOKUP(P$1,Lecturas!$N$1:$AA$20,$AC59,FALSE)=0,"",VLOOKUP(P$1,Lecturas!$N$1:$AA$20,$AC59,FALSE))</f>
        <v/>
      </c>
      <c r="Q59" s="156" t="str">
        <f>+IF(VLOOKUP(Q$1,Lecturas!$N$1:$AA$20,$AC59,FALSE)=0,"",VLOOKUP(Q$1,Lecturas!$N$1:$AA$20,$AC59,FALSE))</f>
        <v/>
      </c>
      <c r="R59" s="156" t="str">
        <f>+IF(VLOOKUP(R$1,Lecturas!$N$1:$AA$20,$AC59,FALSE)=0,"",VLOOKUP(R$1,Lecturas!$N$1:$AA$20,$AC59,FALSE))</f>
        <v/>
      </c>
      <c r="S59" s="163" t="str">
        <f>+IF(VLOOKUP(S$1,Lecturas!$N$1:$AA$20,$AC59,FALSE)=0,"",VLOOKUP(S$1,Lecturas!$N$1:$AA$20,$AC59,FALSE))</f>
        <v/>
      </c>
      <c r="T59" s="163" t="str">
        <f>+IF(VLOOKUP(T$1,Lecturas!$N$1:$AA$20,$AC59,FALSE)=0,"",VLOOKUP(T$1,Lecturas!$N$1:$AA$20,$AC59,FALSE))</f>
        <v/>
      </c>
      <c r="U59" s="163" t="str">
        <f>+IF(VLOOKUP(U$1,Lecturas!$N$1:$AA$20,$AC59,FALSE)=0,"",VLOOKUP(U$1,Lecturas!$N$1:$AA$20,$AC59,FALSE))</f>
        <v/>
      </c>
      <c r="V59" s="156" t="str">
        <f>+IF(VLOOKUP(V$1,Lecturas!$N$1:$AA$20,$AC59,FALSE)=0,"",VLOOKUP(V$1,Lecturas!$N$1:$AA$20,$AC59,FALSE))</f>
        <v/>
      </c>
      <c r="W59" s="156" t="str">
        <f>+IF(VLOOKUP(W$1,Lecturas!$N$1:$AA$20,$AC59,FALSE)=0,"",VLOOKUP(W$1,Lecturas!$N$1:$AA$20,$AC59,FALSE))</f>
        <v/>
      </c>
      <c r="X59" s="156" t="str">
        <f>+IF(VLOOKUP(X$1,Lecturas!$N$1:$AA$20,$AC59,FALSE)=0,"",VLOOKUP(X$1,Lecturas!$N$1:$AA$20,$AC59,FALSE))</f>
        <v/>
      </c>
      <c r="Y59" s="163">
        <f>+IF(VLOOKUP(Y$1,Lecturas!$N$1:$AA$20,$AC59,FALSE)=0,"",VLOOKUP(Y$1,Lecturas!$N$1:$AA$20,$AC59,FALSE))</f>
        <v>15000</v>
      </c>
      <c r="Z59" s="48"/>
      <c r="AA59" s="48"/>
      <c r="AB59" s="48"/>
      <c r="AC59" s="148">
        <f>+'CARGA DE DATOS'!AF60</f>
        <v>4</v>
      </c>
    </row>
    <row r="60" spans="1:29" x14ac:dyDescent="0.25">
      <c r="A60" s="148">
        <f>+'CARGA DE DATOS'!A61</f>
        <v>59</v>
      </c>
      <c r="B60" s="48" t="str">
        <f>+IF(RESULTADOS!H60="","",RESULTADOS!H60)</f>
        <v/>
      </c>
      <c r="C60" s="48" t="str">
        <f>+IF(RESULTADOS!D60="","",RESULTADOS!D60)</f>
        <v/>
      </c>
      <c r="D60" s="160" t="str">
        <f>+IF('CARGA DE DATOS'!K61="Cooperativa","COOP",IF(Salida!AT61="true","PROSU","GD"))</f>
        <v>GD</v>
      </c>
      <c r="E60" s="160" t="s">
        <v>9147</v>
      </c>
      <c r="F60" s="160" t="str">
        <f>+IF(OR(D60="COOP",'CARGA DE DATOS'!K61="GUMA"),"15.02.2022",IF('CARGA DE DATOS'!K61="GUME","05.02.2022","10.02.2022"))</f>
        <v>10.02.2022</v>
      </c>
      <c r="G60" s="163">
        <f>+IF(VLOOKUP(G$1,Lecturas!$N$1:$AA$20,$AC60,FALSE)=0,"",VLOOKUP(G$1,Lecturas!$N$1:$AA$20,$AC60,FALSE))</f>
        <v>150</v>
      </c>
      <c r="H60" s="163">
        <f>+IF(VLOOKUP(H$1,Lecturas!$N$1:$AA$20,$AC60,FALSE)=0,"",VLOOKUP(H$1,Lecturas!$N$1:$AA$20,$AC60,FALSE))</f>
        <v>300</v>
      </c>
      <c r="I60" s="163">
        <f>+IF(VLOOKUP(I$1,Lecturas!$N$1:$AA$20,$AC60,FALSE)=0,"",VLOOKUP(I$1,Lecturas!$N$1:$AA$20,$AC60,FALSE))</f>
        <v>350</v>
      </c>
      <c r="J60" s="156" t="str">
        <f>+IF(VLOOKUP(J$1,Lecturas!$N$1:$AA$20,$AC60,FALSE)=0,"",VLOOKUP(J$1,Lecturas!$N$1:$AA$20,$AC60,FALSE))</f>
        <v/>
      </c>
      <c r="K60" s="156" t="str">
        <f>+IF(VLOOKUP(K$1,Lecturas!$N$1:$AA$20,$AC60,FALSE)=0,"",VLOOKUP(K$1,Lecturas!$N$1:$AA$20,$AC60,FALSE))</f>
        <v/>
      </c>
      <c r="L60" s="156" t="str">
        <f>+IF(VLOOKUP(L$1,Lecturas!$N$1:$AA$20,$AC60,FALSE)=0,"",VLOOKUP(L$1,Lecturas!$N$1:$AA$20,$AC60,FALSE))</f>
        <v/>
      </c>
      <c r="M60" s="163">
        <f>+IF(VLOOKUP(M$1,Lecturas!$N$1:$AA$20,$AC60,FALSE)=0,"",VLOOKUP(M$1,Lecturas!$N$1:$AA$20,$AC60,FALSE))</f>
        <v>2500</v>
      </c>
      <c r="N60" s="163">
        <f>+IF(VLOOKUP(N$1,Lecturas!$N$1:$AA$20,$AC60,FALSE)=0,"",VLOOKUP(N$1,Lecturas!$N$1:$AA$20,$AC60,FALSE))</f>
        <v>2000</v>
      </c>
      <c r="O60" s="163">
        <f>+IF(VLOOKUP(O$1,Lecturas!$N$1:$AA$20,$AC60,FALSE)=0,"",VLOOKUP(O$1,Lecturas!$N$1:$AA$20,$AC60,FALSE))</f>
        <v>3000</v>
      </c>
      <c r="P60" s="156" t="str">
        <f>+IF(VLOOKUP(P$1,Lecturas!$N$1:$AA$20,$AC60,FALSE)=0,"",VLOOKUP(P$1,Lecturas!$N$1:$AA$20,$AC60,FALSE))</f>
        <v/>
      </c>
      <c r="Q60" s="156" t="str">
        <f>+IF(VLOOKUP(Q$1,Lecturas!$N$1:$AA$20,$AC60,FALSE)=0,"",VLOOKUP(Q$1,Lecturas!$N$1:$AA$20,$AC60,FALSE))</f>
        <v/>
      </c>
      <c r="R60" s="156" t="str">
        <f>+IF(VLOOKUP(R$1,Lecturas!$N$1:$AA$20,$AC60,FALSE)=0,"",VLOOKUP(R$1,Lecturas!$N$1:$AA$20,$AC60,FALSE))</f>
        <v/>
      </c>
      <c r="S60" s="163" t="str">
        <f>+IF(VLOOKUP(S$1,Lecturas!$N$1:$AA$20,$AC60,FALSE)=0,"",VLOOKUP(S$1,Lecturas!$N$1:$AA$20,$AC60,FALSE))</f>
        <v/>
      </c>
      <c r="T60" s="163" t="str">
        <f>+IF(VLOOKUP(T$1,Lecturas!$N$1:$AA$20,$AC60,FALSE)=0,"",VLOOKUP(T$1,Lecturas!$N$1:$AA$20,$AC60,FALSE))</f>
        <v/>
      </c>
      <c r="U60" s="163" t="str">
        <f>+IF(VLOOKUP(U$1,Lecturas!$N$1:$AA$20,$AC60,FALSE)=0,"",VLOOKUP(U$1,Lecturas!$N$1:$AA$20,$AC60,FALSE))</f>
        <v/>
      </c>
      <c r="V60" s="156" t="str">
        <f>+IF(VLOOKUP(V$1,Lecturas!$N$1:$AA$20,$AC60,FALSE)=0,"",VLOOKUP(V$1,Lecturas!$N$1:$AA$20,$AC60,FALSE))</f>
        <v/>
      </c>
      <c r="W60" s="156" t="str">
        <f>+IF(VLOOKUP(W$1,Lecturas!$N$1:$AA$20,$AC60,FALSE)=0,"",VLOOKUP(W$1,Lecturas!$N$1:$AA$20,$AC60,FALSE))</f>
        <v/>
      </c>
      <c r="X60" s="156" t="str">
        <f>+IF(VLOOKUP(X$1,Lecturas!$N$1:$AA$20,$AC60,FALSE)=0,"",VLOOKUP(X$1,Lecturas!$N$1:$AA$20,$AC60,FALSE))</f>
        <v/>
      </c>
      <c r="Y60" s="163">
        <f>+IF(VLOOKUP(Y$1,Lecturas!$N$1:$AA$20,$AC60,FALSE)=0,"",VLOOKUP(Y$1,Lecturas!$N$1:$AA$20,$AC60,FALSE))</f>
        <v>2460</v>
      </c>
      <c r="Z60" s="48"/>
      <c r="AA60" s="48"/>
      <c r="AB60" s="48"/>
      <c r="AC60" s="148">
        <f>+'CARGA DE DATOS'!AF61</f>
        <v>5</v>
      </c>
    </row>
    <row r="61" spans="1:29" x14ac:dyDescent="0.25">
      <c r="A61" s="148">
        <f>+'CARGA DE DATOS'!A62</f>
        <v>60</v>
      </c>
      <c r="B61" s="48" t="str">
        <f>+IF(RESULTADOS!H61="","",RESULTADOS!H61)</f>
        <v/>
      </c>
      <c r="C61" s="48" t="str">
        <f>+IF(RESULTADOS!D61="","",RESULTADOS!D61)</f>
        <v/>
      </c>
      <c r="D61" s="160" t="str">
        <f>+IF('CARGA DE DATOS'!K62="Cooperativa","COOP",IF(Salida!AT62="true","PROSU","GD"))</f>
        <v>GD</v>
      </c>
      <c r="E61" s="160" t="s">
        <v>9147</v>
      </c>
      <c r="F61" s="160" t="str">
        <f>+IF(OR(D61="COOP",'CARGA DE DATOS'!K62="GUMA"),"15.02.2022",IF('CARGA DE DATOS'!K62="GUME","05.02.2022","10.02.2022"))</f>
        <v>10.02.2022</v>
      </c>
      <c r="G61" s="163">
        <f>+IF(VLOOKUP(G$1,Lecturas!$N$1:$AA$20,$AC61,FALSE)=0,"",VLOOKUP(G$1,Lecturas!$N$1:$AA$20,$AC61,FALSE))</f>
        <v>150</v>
      </c>
      <c r="H61" s="163">
        <f>+IF(VLOOKUP(H$1,Lecturas!$N$1:$AA$20,$AC61,FALSE)=0,"",VLOOKUP(H$1,Lecturas!$N$1:$AA$20,$AC61,FALSE))</f>
        <v>300</v>
      </c>
      <c r="I61" s="163">
        <f>+IF(VLOOKUP(I$1,Lecturas!$N$1:$AA$20,$AC61,FALSE)=0,"",VLOOKUP(I$1,Lecturas!$N$1:$AA$20,$AC61,FALSE))</f>
        <v>350</v>
      </c>
      <c r="J61" s="156" t="str">
        <f>+IF(VLOOKUP(J$1,Lecturas!$N$1:$AA$20,$AC61,FALSE)=0,"",VLOOKUP(J$1,Lecturas!$N$1:$AA$20,$AC61,FALSE))</f>
        <v/>
      </c>
      <c r="K61" s="156" t="str">
        <f>+IF(VLOOKUP(K$1,Lecturas!$N$1:$AA$20,$AC61,FALSE)=0,"",VLOOKUP(K$1,Lecturas!$N$1:$AA$20,$AC61,FALSE))</f>
        <v/>
      </c>
      <c r="L61" s="156" t="str">
        <f>+IF(VLOOKUP(L$1,Lecturas!$N$1:$AA$20,$AC61,FALSE)=0,"",VLOOKUP(L$1,Lecturas!$N$1:$AA$20,$AC61,FALSE))</f>
        <v/>
      </c>
      <c r="M61" s="163">
        <f>+IF(VLOOKUP(M$1,Lecturas!$N$1:$AA$20,$AC61,FALSE)=0,"",VLOOKUP(M$1,Lecturas!$N$1:$AA$20,$AC61,FALSE))</f>
        <v>2500</v>
      </c>
      <c r="N61" s="163">
        <f>+IF(VLOOKUP(N$1,Lecturas!$N$1:$AA$20,$AC61,FALSE)=0,"",VLOOKUP(N$1,Lecturas!$N$1:$AA$20,$AC61,FALSE))</f>
        <v>2000</v>
      </c>
      <c r="O61" s="163">
        <f>+IF(VLOOKUP(O$1,Lecturas!$N$1:$AA$20,$AC61,FALSE)=0,"",VLOOKUP(O$1,Lecturas!$N$1:$AA$20,$AC61,FALSE))</f>
        <v>3000</v>
      </c>
      <c r="P61" s="156" t="str">
        <f>+IF(VLOOKUP(P$1,Lecturas!$N$1:$AA$20,$AC61,FALSE)=0,"",VLOOKUP(P$1,Lecturas!$N$1:$AA$20,$AC61,FALSE))</f>
        <v/>
      </c>
      <c r="Q61" s="156" t="str">
        <f>+IF(VLOOKUP(Q$1,Lecturas!$N$1:$AA$20,$AC61,FALSE)=0,"",VLOOKUP(Q$1,Lecturas!$N$1:$AA$20,$AC61,FALSE))</f>
        <v/>
      </c>
      <c r="R61" s="156" t="str">
        <f>+IF(VLOOKUP(R$1,Lecturas!$N$1:$AA$20,$AC61,FALSE)=0,"",VLOOKUP(R$1,Lecturas!$N$1:$AA$20,$AC61,FALSE))</f>
        <v/>
      </c>
      <c r="S61" s="163" t="str">
        <f>+IF(VLOOKUP(S$1,Lecturas!$N$1:$AA$20,$AC61,FALSE)=0,"",VLOOKUP(S$1,Lecturas!$N$1:$AA$20,$AC61,FALSE))</f>
        <v/>
      </c>
      <c r="T61" s="163" t="str">
        <f>+IF(VLOOKUP(T$1,Lecturas!$N$1:$AA$20,$AC61,FALSE)=0,"",VLOOKUP(T$1,Lecturas!$N$1:$AA$20,$AC61,FALSE))</f>
        <v/>
      </c>
      <c r="U61" s="163" t="str">
        <f>+IF(VLOOKUP(U$1,Lecturas!$N$1:$AA$20,$AC61,FALSE)=0,"",VLOOKUP(U$1,Lecturas!$N$1:$AA$20,$AC61,FALSE))</f>
        <v/>
      </c>
      <c r="V61" s="156" t="str">
        <f>+IF(VLOOKUP(V$1,Lecturas!$N$1:$AA$20,$AC61,FALSE)=0,"",VLOOKUP(V$1,Lecturas!$N$1:$AA$20,$AC61,FALSE))</f>
        <v/>
      </c>
      <c r="W61" s="156" t="str">
        <f>+IF(VLOOKUP(W$1,Lecturas!$N$1:$AA$20,$AC61,FALSE)=0,"",VLOOKUP(W$1,Lecturas!$N$1:$AA$20,$AC61,FALSE))</f>
        <v/>
      </c>
      <c r="X61" s="156" t="str">
        <f>+IF(VLOOKUP(X$1,Lecturas!$N$1:$AA$20,$AC61,FALSE)=0,"",VLOOKUP(X$1,Lecturas!$N$1:$AA$20,$AC61,FALSE))</f>
        <v/>
      </c>
      <c r="Y61" s="163">
        <f>+IF(VLOOKUP(Y$1,Lecturas!$N$1:$AA$20,$AC61,FALSE)=0,"",VLOOKUP(Y$1,Lecturas!$N$1:$AA$20,$AC61,FALSE))</f>
        <v>2460</v>
      </c>
      <c r="Z61" s="48"/>
      <c r="AA61" s="48"/>
      <c r="AB61" s="48"/>
      <c r="AC61" s="148">
        <f>+'CARGA DE DATOS'!AF62</f>
        <v>5</v>
      </c>
    </row>
    <row r="62" spans="1:29" x14ac:dyDescent="0.25">
      <c r="A62" s="148">
        <f>+'CARGA DE DATOS'!A63</f>
        <v>61</v>
      </c>
      <c r="B62" s="48" t="str">
        <f>+IF(RESULTADOS!H62="","",RESULTADOS!H62)</f>
        <v/>
      </c>
      <c r="C62" s="48" t="str">
        <f>+IF(RESULTADOS!D62="","",RESULTADOS!D62)</f>
        <v/>
      </c>
      <c r="D62" s="160" t="str">
        <f>+IF('CARGA DE DATOS'!K63="Cooperativa","COOP",IF(Salida!AT63="true","PROSU","GD"))</f>
        <v>GD</v>
      </c>
      <c r="E62" s="160" t="s">
        <v>9147</v>
      </c>
      <c r="F62" s="160" t="str">
        <f>+IF(OR(D62="COOP",'CARGA DE DATOS'!K63="GUMA"),"15.02.2022",IF('CARGA DE DATOS'!K63="GUME","05.02.2022","10.02.2022"))</f>
        <v>10.02.2022</v>
      </c>
      <c r="G62" s="163">
        <f>+IF(VLOOKUP(G$1,Lecturas!$N$1:$AA$20,$AC62,FALSE)=0,"",VLOOKUP(G$1,Lecturas!$N$1:$AA$20,$AC62,FALSE))</f>
        <v>1000</v>
      </c>
      <c r="H62" s="163">
        <f>+IF(VLOOKUP(H$1,Lecturas!$N$1:$AA$20,$AC62,FALSE)=0,"",VLOOKUP(H$1,Lecturas!$N$1:$AA$20,$AC62,FALSE))</f>
        <v>150</v>
      </c>
      <c r="I62" s="163">
        <f>+IF(VLOOKUP(I$1,Lecturas!$N$1:$AA$20,$AC62,FALSE)=0,"",VLOOKUP(I$1,Lecturas!$N$1:$AA$20,$AC62,FALSE))</f>
        <v>350</v>
      </c>
      <c r="J62" s="156" t="str">
        <f>+IF(VLOOKUP(J$1,Lecturas!$N$1:$AA$20,$AC62,FALSE)=0,"",VLOOKUP(J$1,Lecturas!$N$1:$AA$20,$AC62,FALSE))</f>
        <v/>
      </c>
      <c r="K62" s="156" t="str">
        <f>+IF(VLOOKUP(K$1,Lecturas!$N$1:$AA$20,$AC62,FALSE)=0,"",VLOOKUP(K$1,Lecturas!$N$1:$AA$20,$AC62,FALSE))</f>
        <v/>
      </c>
      <c r="L62" s="156" t="str">
        <f>+IF(VLOOKUP(L$1,Lecturas!$N$1:$AA$20,$AC62,FALSE)=0,"",VLOOKUP(L$1,Lecturas!$N$1:$AA$20,$AC62,FALSE))</f>
        <v/>
      </c>
      <c r="M62" s="163">
        <f>+IF(VLOOKUP(M$1,Lecturas!$N$1:$AA$20,$AC62,FALSE)=0,"",VLOOKUP(M$1,Lecturas!$N$1:$AA$20,$AC62,FALSE))</f>
        <v>2500</v>
      </c>
      <c r="N62" s="163">
        <f>+IF(VLOOKUP(N$1,Lecturas!$N$1:$AA$20,$AC62,FALSE)=0,"",VLOOKUP(N$1,Lecturas!$N$1:$AA$20,$AC62,FALSE))</f>
        <v>2000</v>
      </c>
      <c r="O62" s="163">
        <f>+IF(VLOOKUP(O$1,Lecturas!$N$1:$AA$20,$AC62,FALSE)=0,"",VLOOKUP(O$1,Lecturas!$N$1:$AA$20,$AC62,FALSE))</f>
        <v>3000</v>
      </c>
      <c r="P62" s="156" t="str">
        <f>+IF(VLOOKUP(P$1,Lecturas!$N$1:$AA$20,$AC62,FALSE)=0,"",VLOOKUP(P$1,Lecturas!$N$1:$AA$20,$AC62,FALSE))</f>
        <v/>
      </c>
      <c r="Q62" s="156" t="str">
        <f>+IF(VLOOKUP(Q$1,Lecturas!$N$1:$AA$20,$AC62,FALSE)=0,"",VLOOKUP(Q$1,Lecturas!$N$1:$AA$20,$AC62,FALSE))</f>
        <v/>
      </c>
      <c r="R62" s="156" t="str">
        <f>+IF(VLOOKUP(R$1,Lecturas!$N$1:$AA$20,$AC62,FALSE)=0,"",VLOOKUP(R$1,Lecturas!$N$1:$AA$20,$AC62,FALSE))</f>
        <v/>
      </c>
      <c r="S62" s="163" t="str">
        <f>+IF(VLOOKUP(S$1,Lecturas!$N$1:$AA$20,$AC62,FALSE)=0,"",VLOOKUP(S$1,Lecturas!$N$1:$AA$20,$AC62,FALSE))</f>
        <v/>
      </c>
      <c r="T62" s="163" t="str">
        <f>+IF(VLOOKUP(T$1,Lecturas!$N$1:$AA$20,$AC62,FALSE)=0,"",VLOOKUP(T$1,Lecturas!$N$1:$AA$20,$AC62,FALSE))</f>
        <v/>
      </c>
      <c r="U62" s="163" t="str">
        <f>+IF(VLOOKUP(U$1,Lecturas!$N$1:$AA$20,$AC62,FALSE)=0,"",VLOOKUP(U$1,Lecturas!$N$1:$AA$20,$AC62,FALSE))</f>
        <v/>
      </c>
      <c r="V62" s="156" t="str">
        <f>+IF(VLOOKUP(V$1,Lecturas!$N$1:$AA$20,$AC62,FALSE)=0,"",VLOOKUP(V$1,Lecturas!$N$1:$AA$20,$AC62,FALSE))</f>
        <v/>
      </c>
      <c r="W62" s="156" t="str">
        <f>+IF(VLOOKUP(W$1,Lecturas!$N$1:$AA$20,$AC62,FALSE)=0,"",VLOOKUP(W$1,Lecturas!$N$1:$AA$20,$AC62,FALSE))</f>
        <v/>
      </c>
      <c r="X62" s="156" t="str">
        <f>+IF(VLOOKUP(X$1,Lecturas!$N$1:$AA$20,$AC62,FALSE)=0,"",VLOOKUP(X$1,Lecturas!$N$1:$AA$20,$AC62,FALSE))</f>
        <v/>
      </c>
      <c r="Y62" s="163">
        <f>+IF(VLOOKUP(Y$1,Lecturas!$N$1:$AA$20,$AC62,FALSE)=0,"",VLOOKUP(Y$1,Lecturas!$N$1:$AA$20,$AC62,FALSE))</f>
        <v>7500</v>
      </c>
      <c r="Z62" s="48"/>
      <c r="AA62" s="48"/>
      <c r="AB62" s="48"/>
      <c r="AC62" s="148">
        <f>+'CARGA DE DATOS'!AF63</f>
        <v>6</v>
      </c>
    </row>
    <row r="63" spans="1:29" x14ac:dyDescent="0.25">
      <c r="A63" s="148">
        <f>+'CARGA DE DATOS'!A64</f>
        <v>62</v>
      </c>
      <c r="B63" s="48" t="str">
        <f>+IF(RESULTADOS!H63="","",RESULTADOS!H63)</f>
        <v/>
      </c>
      <c r="C63" s="48" t="str">
        <f>+IF(RESULTADOS!D63="","",RESULTADOS!D63)</f>
        <v/>
      </c>
      <c r="D63" s="160" t="str">
        <f>+IF('CARGA DE DATOS'!K64="Cooperativa","COOP",IF(Salida!AT64="true","PROSU","GD"))</f>
        <v>GD</v>
      </c>
      <c r="E63" s="160" t="s">
        <v>9147</v>
      </c>
      <c r="F63" s="160" t="str">
        <f>+IF(OR(D63="COOP",'CARGA DE DATOS'!K64="GUMA"),"15.02.2022",IF('CARGA DE DATOS'!K64="GUME","05.02.2022","10.02.2022"))</f>
        <v>10.02.2022</v>
      </c>
      <c r="G63" s="163">
        <f>+IF(VLOOKUP(G$1,Lecturas!$N$1:$AA$20,$AC63,FALSE)=0,"",VLOOKUP(G$1,Lecturas!$N$1:$AA$20,$AC63,FALSE))</f>
        <v>1500</v>
      </c>
      <c r="H63" s="163">
        <f>+IF(VLOOKUP(H$1,Lecturas!$N$1:$AA$20,$AC63,FALSE)=0,"",VLOOKUP(H$1,Lecturas!$N$1:$AA$20,$AC63,FALSE))</f>
        <v>300</v>
      </c>
      <c r="I63" s="163">
        <f>+IF(VLOOKUP(I$1,Lecturas!$N$1:$AA$20,$AC63,FALSE)=0,"",VLOOKUP(I$1,Lecturas!$N$1:$AA$20,$AC63,FALSE))</f>
        <v>350</v>
      </c>
      <c r="J63" s="156" t="str">
        <f>+IF(VLOOKUP(J$1,Lecturas!$N$1:$AA$20,$AC63,FALSE)=0,"",VLOOKUP(J$1,Lecturas!$N$1:$AA$20,$AC63,FALSE))</f>
        <v/>
      </c>
      <c r="K63" s="156" t="str">
        <f>+IF(VLOOKUP(K$1,Lecturas!$N$1:$AA$20,$AC63,FALSE)=0,"",VLOOKUP(K$1,Lecturas!$N$1:$AA$20,$AC63,FALSE))</f>
        <v/>
      </c>
      <c r="L63" s="156" t="str">
        <f>+IF(VLOOKUP(L$1,Lecturas!$N$1:$AA$20,$AC63,FALSE)=0,"",VLOOKUP(L$1,Lecturas!$N$1:$AA$20,$AC63,FALSE))</f>
        <v/>
      </c>
      <c r="M63" s="163">
        <f>+IF(VLOOKUP(M$1,Lecturas!$N$1:$AA$20,$AC63,FALSE)=0,"",VLOOKUP(M$1,Lecturas!$N$1:$AA$20,$AC63,FALSE))</f>
        <v>2500</v>
      </c>
      <c r="N63" s="163">
        <f>+IF(VLOOKUP(N$1,Lecturas!$N$1:$AA$20,$AC63,FALSE)=0,"",VLOOKUP(N$1,Lecturas!$N$1:$AA$20,$AC63,FALSE))</f>
        <v>2000</v>
      </c>
      <c r="O63" s="163">
        <f>+IF(VLOOKUP(O$1,Lecturas!$N$1:$AA$20,$AC63,FALSE)=0,"",VLOOKUP(O$1,Lecturas!$N$1:$AA$20,$AC63,FALSE))</f>
        <v>3000</v>
      </c>
      <c r="P63" s="156" t="str">
        <f>+IF(VLOOKUP(P$1,Lecturas!$N$1:$AA$20,$AC63,FALSE)=0,"",VLOOKUP(P$1,Lecturas!$N$1:$AA$20,$AC63,FALSE))</f>
        <v/>
      </c>
      <c r="Q63" s="156" t="str">
        <f>+IF(VLOOKUP(Q$1,Lecturas!$N$1:$AA$20,$AC63,FALSE)=0,"",VLOOKUP(Q$1,Lecturas!$N$1:$AA$20,$AC63,FALSE))</f>
        <v/>
      </c>
      <c r="R63" s="156" t="str">
        <f>+IF(VLOOKUP(R$1,Lecturas!$N$1:$AA$20,$AC63,FALSE)=0,"",VLOOKUP(R$1,Lecturas!$N$1:$AA$20,$AC63,FALSE))</f>
        <v/>
      </c>
      <c r="S63" s="163" t="str">
        <f>+IF(VLOOKUP(S$1,Lecturas!$N$1:$AA$20,$AC63,FALSE)=0,"",VLOOKUP(S$1,Lecturas!$N$1:$AA$20,$AC63,FALSE))</f>
        <v/>
      </c>
      <c r="T63" s="163" t="str">
        <f>+IF(VLOOKUP(T$1,Lecturas!$N$1:$AA$20,$AC63,FALSE)=0,"",VLOOKUP(T$1,Lecturas!$N$1:$AA$20,$AC63,FALSE))</f>
        <v/>
      </c>
      <c r="U63" s="163" t="str">
        <f>+IF(VLOOKUP(U$1,Lecturas!$N$1:$AA$20,$AC63,FALSE)=0,"",VLOOKUP(U$1,Lecturas!$N$1:$AA$20,$AC63,FALSE))</f>
        <v/>
      </c>
      <c r="V63" s="156" t="str">
        <f>+IF(VLOOKUP(V$1,Lecturas!$N$1:$AA$20,$AC63,FALSE)=0,"",VLOOKUP(V$1,Lecturas!$N$1:$AA$20,$AC63,FALSE))</f>
        <v/>
      </c>
      <c r="W63" s="156" t="str">
        <f>+IF(VLOOKUP(W$1,Lecturas!$N$1:$AA$20,$AC63,FALSE)=0,"",VLOOKUP(W$1,Lecturas!$N$1:$AA$20,$AC63,FALSE))</f>
        <v/>
      </c>
      <c r="X63" s="156" t="str">
        <f>+IF(VLOOKUP(X$1,Lecturas!$N$1:$AA$20,$AC63,FALSE)=0,"",VLOOKUP(X$1,Lecturas!$N$1:$AA$20,$AC63,FALSE))</f>
        <v/>
      </c>
      <c r="Y63" s="163">
        <f>+IF(VLOOKUP(Y$1,Lecturas!$N$1:$AA$20,$AC63,FALSE)=0,"",VLOOKUP(Y$1,Lecturas!$N$1:$AA$20,$AC63,FALSE))</f>
        <v>6500</v>
      </c>
      <c r="Z63" s="48"/>
      <c r="AA63" s="48"/>
      <c r="AB63" s="48"/>
      <c r="AC63" s="148">
        <f>+'CARGA DE DATOS'!AF64</f>
        <v>9</v>
      </c>
    </row>
    <row r="64" spans="1:29" x14ac:dyDescent="0.25">
      <c r="A64" s="148">
        <f>+'CARGA DE DATOS'!A65</f>
        <v>63</v>
      </c>
      <c r="B64" s="48" t="str">
        <f>+IF(RESULTADOS!H64="","",RESULTADOS!H64)</f>
        <v/>
      </c>
      <c r="C64" s="48" t="str">
        <f>+IF(RESULTADOS!D64="","",RESULTADOS!D64)</f>
        <v/>
      </c>
      <c r="D64" s="160" t="str">
        <f>+IF('CARGA DE DATOS'!K65="Cooperativa","COOP",IF(Salida!AT65="true","PROSU","GD"))</f>
        <v>GD</v>
      </c>
      <c r="E64" s="160" t="s">
        <v>9147</v>
      </c>
      <c r="F64" s="160" t="str">
        <f>+IF(OR(D64="COOP",'CARGA DE DATOS'!K65="GUMA"),"15.02.2022",IF('CARGA DE DATOS'!K65="GUME","05.02.2022","10.02.2022"))</f>
        <v>10.02.2022</v>
      </c>
      <c r="G64" s="163">
        <f>+IF(VLOOKUP(G$1,Lecturas!$N$1:$AA$20,$AC64,FALSE)=0,"",VLOOKUP(G$1,Lecturas!$N$1:$AA$20,$AC64,FALSE))</f>
        <v>150</v>
      </c>
      <c r="H64" s="163">
        <f>+IF(VLOOKUP(H$1,Lecturas!$N$1:$AA$20,$AC64,FALSE)=0,"",VLOOKUP(H$1,Lecturas!$N$1:$AA$20,$AC64,FALSE))</f>
        <v>300</v>
      </c>
      <c r="I64" s="163">
        <f>+IF(VLOOKUP(I$1,Lecturas!$N$1:$AA$20,$AC64,FALSE)=0,"",VLOOKUP(I$1,Lecturas!$N$1:$AA$20,$AC64,FALSE))</f>
        <v>150</v>
      </c>
      <c r="J64" s="156" t="str">
        <f>+IF(VLOOKUP(J$1,Lecturas!$N$1:$AA$20,$AC64,FALSE)=0,"",VLOOKUP(J$1,Lecturas!$N$1:$AA$20,$AC64,FALSE))</f>
        <v/>
      </c>
      <c r="K64" s="156" t="str">
        <f>+IF(VLOOKUP(K$1,Lecturas!$N$1:$AA$20,$AC64,FALSE)=0,"",VLOOKUP(K$1,Lecturas!$N$1:$AA$20,$AC64,FALSE))</f>
        <v/>
      </c>
      <c r="L64" s="156" t="str">
        <f>+IF(VLOOKUP(L$1,Lecturas!$N$1:$AA$20,$AC64,FALSE)=0,"",VLOOKUP(L$1,Lecturas!$N$1:$AA$20,$AC64,FALSE))</f>
        <v/>
      </c>
      <c r="M64" s="163">
        <f>+IF(VLOOKUP(M$1,Lecturas!$N$1:$AA$20,$AC64,FALSE)=0,"",VLOOKUP(M$1,Lecturas!$N$1:$AA$20,$AC64,FALSE))</f>
        <v>2500</v>
      </c>
      <c r="N64" s="163">
        <f>+IF(VLOOKUP(N$1,Lecturas!$N$1:$AA$20,$AC64,FALSE)=0,"",VLOOKUP(N$1,Lecturas!$N$1:$AA$20,$AC64,FALSE))</f>
        <v>2000</v>
      </c>
      <c r="O64" s="163">
        <f>+IF(VLOOKUP(O$1,Lecturas!$N$1:$AA$20,$AC64,FALSE)=0,"",VLOOKUP(O$1,Lecturas!$N$1:$AA$20,$AC64,FALSE))</f>
        <v>3000</v>
      </c>
      <c r="P64" s="156" t="str">
        <f>+IF(VLOOKUP(P$1,Lecturas!$N$1:$AA$20,$AC64,FALSE)=0,"",VLOOKUP(P$1,Lecturas!$N$1:$AA$20,$AC64,FALSE))</f>
        <v/>
      </c>
      <c r="Q64" s="156" t="str">
        <f>+IF(VLOOKUP(Q$1,Lecturas!$N$1:$AA$20,$AC64,FALSE)=0,"",VLOOKUP(Q$1,Lecturas!$N$1:$AA$20,$AC64,FALSE))</f>
        <v/>
      </c>
      <c r="R64" s="156" t="str">
        <f>+IF(VLOOKUP(R$1,Lecturas!$N$1:$AA$20,$AC64,FALSE)=0,"",VLOOKUP(R$1,Lecturas!$N$1:$AA$20,$AC64,FALSE))</f>
        <v/>
      </c>
      <c r="S64" s="163" t="str">
        <f>+IF(VLOOKUP(S$1,Lecturas!$N$1:$AA$20,$AC64,FALSE)=0,"",VLOOKUP(S$1,Lecturas!$N$1:$AA$20,$AC64,FALSE))</f>
        <v/>
      </c>
      <c r="T64" s="163" t="str">
        <f>+IF(VLOOKUP(T$1,Lecturas!$N$1:$AA$20,$AC64,FALSE)=0,"",VLOOKUP(T$1,Lecturas!$N$1:$AA$20,$AC64,FALSE))</f>
        <v/>
      </c>
      <c r="U64" s="163" t="str">
        <f>+IF(VLOOKUP(U$1,Lecturas!$N$1:$AA$20,$AC64,FALSE)=0,"",VLOOKUP(U$1,Lecturas!$N$1:$AA$20,$AC64,FALSE))</f>
        <v/>
      </c>
      <c r="V64" s="156" t="str">
        <f>+IF(VLOOKUP(V$1,Lecturas!$N$1:$AA$20,$AC64,FALSE)=0,"",VLOOKUP(V$1,Lecturas!$N$1:$AA$20,$AC64,FALSE))</f>
        <v/>
      </c>
      <c r="W64" s="156" t="str">
        <f>+IF(VLOOKUP(W$1,Lecturas!$N$1:$AA$20,$AC64,FALSE)=0,"",VLOOKUP(W$1,Lecturas!$N$1:$AA$20,$AC64,FALSE))</f>
        <v/>
      </c>
      <c r="X64" s="156" t="str">
        <f>+IF(VLOOKUP(X$1,Lecturas!$N$1:$AA$20,$AC64,FALSE)=0,"",VLOOKUP(X$1,Lecturas!$N$1:$AA$20,$AC64,FALSE))</f>
        <v/>
      </c>
      <c r="Y64" s="163">
        <f>+IF(VLOOKUP(Y$1,Lecturas!$N$1:$AA$20,$AC64,FALSE)=0,"",VLOOKUP(Y$1,Lecturas!$N$1:$AA$20,$AC64,FALSE))</f>
        <v>5000</v>
      </c>
      <c r="Z64" s="48"/>
      <c r="AA64" s="48"/>
      <c r="AB64" s="48"/>
      <c r="AC64" s="148">
        <f>+'CARGA DE DATOS'!AF65</f>
        <v>3</v>
      </c>
    </row>
    <row r="65" spans="1:29" x14ac:dyDescent="0.25">
      <c r="A65" s="148">
        <f>+'CARGA DE DATOS'!A66</f>
        <v>64</v>
      </c>
      <c r="B65" s="48" t="str">
        <f>+IF(RESULTADOS!H65="","",RESULTADOS!H65)</f>
        <v/>
      </c>
      <c r="C65" s="48" t="str">
        <f>+IF(RESULTADOS!D65="","",RESULTADOS!D65)</f>
        <v/>
      </c>
      <c r="D65" s="160" t="str">
        <f>+IF('CARGA DE DATOS'!K66="Cooperativa","COOP",IF(Salida!AT66="true","PROSU","GD"))</f>
        <v>GD</v>
      </c>
      <c r="E65" s="160" t="s">
        <v>9147</v>
      </c>
      <c r="F65" s="160" t="str">
        <f>+IF(OR(D65="COOP",'CARGA DE DATOS'!K66="GUMA"),"15.02.2022",IF('CARGA DE DATOS'!K66="GUME","05.02.2022","10.02.2022"))</f>
        <v>10.02.2022</v>
      </c>
      <c r="G65" s="163">
        <f>+IF(VLOOKUP(G$1,Lecturas!$N$1:$AA$20,$AC65,FALSE)=0,"",VLOOKUP(G$1,Lecturas!$N$1:$AA$20,$AC65,FALSE))</f>
        <v>150</v>
      </c>
      <c r="H65" s="163">
        <f>+IF(VLOOKUP(H$1,Lecturas!$N$1:$AA$20,$AC65,FALSE)=0,"",VLOOKUP(H$1,Lecturas!$N$1:$AA$20,$AC65,FALSE))</f>
        <v>300</v>
      </c>
      <c r="I65" s="163">
        <f>+IF(VLOOKUP(I$1,Lecturas!$N$1:$AA$20,$AC65,FALSE)=0,"",VLOOKUP(I$1,Lecturas!$N$1:$AA$20,$AC65,FALSE))</f>
        <v>350</v>
      </c>
      <c r="J65" s="156" t="str">
        <f>+IF(VLOOKUP(J$1,Lecturas!$N$1:$AA$20,$AC65,FALSE)=0,"",VLOOKUP(J$1,Lecturas!$N$1:$AA$20,$AC65,FALSE))</f>
        <v/>
      </c>
      <c r="K65" s="156" t="str">
        <f>+IF(VLOOKUP(K$1,Lecturas!$N$1:$AA$20,$AC65,FALSE)=0,"",VLOOKUP(K$1,Lecturas!$N$1:$AA$20,$AC65,FALSE))</f>
        <v/>
      </c>
      <c r="L65" s="156" t="str">
        <f>+IF(VLOOKUP(L$1,Lecturas!$N$1:$AA$20,$AC65,FALSE)=0,"",VLOOKUP(L$1,Lecturas!$N$1:$AA$20,$AC65,FALSE))</f>
        <v/>
      </c>
      <c r="M65" s="163">
        <f>+IF(VLOOKUP(M$1,Lecturas!$N$1:$AA$20,$AC65,FALSE)=0,"",VLOOKUP(M$1,Lecturas!$N$1:$AA$20,$AC65,FALSE))</f>
        <v>2500</v>
      </c>
      <c r="N65" s="163">
        <f>+IF(VLOOKUP(N$1,Lecturas!$N$1:$AA$20,$AC65,FALSE)=0,"",VLOOKUP(N$1,Lecturas!$N$1:$AA$20,$AC65,FALSE))</f>
        <v>2000</v>
      </c>
      <c r="O65" s="163">
        <f>+IF(VLOOKUP(O$1,Lecturas!$N$1:$AA$20,$AC65,FALSE)=0,"",VLOOKUP(O$1,Lecturas!$N$1:$AA$20,$AC65,FALSE))</f>
        <v>3000</v>
      </c>
      <c r="P65" s="156" t="str">
        <f>+IF(VLOOKUP(P$1,Lecturas!$N$1:$AA$20,$AC65,FALSE)=0,"",VLOOKUP(P$1,Lecturas!$N$1:$AA$20,$AC65,FALSE))</f>
        <v/>
      </c>
      <c r="Q65" s="156" t="str">
        <f>+IF(VLOOKUP(Q$1,Lecturas!$N$1:$AA$20,$AC65,FALSE)=0,"",VLOOKUP(Q$1,Lecturas!$N$1:$AA$20,$AC65,FALSE))</f>
        <v/>
      </c>
      <c r="R65" s="156" t="str">
        <f>+IF(VLOOKUP(R$1,Lecturas!$N$1:$AA$20,$AC65,FALSE)=0,"",VLOOKUP(R$1,Lecturas!$N$1:$AA$20,$AC65,FALSE))</f>
        <v/>
      </c>
      <c r="S65" s="163" t="str">
        <f>+IF(VLOOKUP(S$1,Lecturas!$N$1:$AA$20,$AC65,FALSE)=0,"",VLOOKUP(S$1,Lecturas!$N$1:$AA$20,$AC65,FALSE))</f>
        <v/>
      </c>
      <c r="T65" s="163" t="str">
        <f>+IF(VLOOKUP(T$1,Lecturas!$N$1:$AA$20,$AC65,FALSE)=0,"",VLOOKUP(T$1,Lecturas!$N$1:$AA$20,$AC65,FALSE))</f>
        <v/>
      </c>
      <c r="U65" s="163" t="str">
        <f>+IF(VLOOKUP(U$1,Lecturas!$N$1:$AA$20,$AC65,FALSE)=0,"",VLOOKUP(U$1,Lecturas!$N$1:$AA$20,$AC65,FALSE))</f>
        <v/>
      </c>
      <c r="V65" s="156" t="str">
        <f>+IF(VLOOKUP(V$1,Lecturas!$N$1:$AA$20,$AC65,FALSE)=0,"",VLOOKUP(V$1,Lecturas!$N$1:$AA$20,$AC65,FALSE))</f>
        <v/>
      </c>
      <c r="W65" s="156" t="str">
        <f>+IF(VLOOKUP(W$1,Lecturas!$N$1:$AA$20,$AC65,FALSE)=0,"",VLOOKUP(W$1,Lecturas!$N$1:$AA$20,$AC65,FALSE))</f>
        <v/>
      </c>
      <c r="X65" s="156" t="str">
        <f>+IF(VLOOKUP(X$1,Lecturas!$N$1:$AA$20,$AC65,FALSE)=0,"",VLOOKUP(X$1,Lecturas!$N$1:$AA$20,$AC65,FALSE))</f>
        <v/>
      </c>
      <c r="Y65" s="163">
        <f>+IF(VLOOKUP(Y$1,Lecturas!$N$1:$AA$20,$AC65,FALSE)=0,"",VLOOKUP(Y$1,Lecturas!$N$1:$AA$20,$AC65,FALSE))</f>
        <v>2460</v>
      </c>
      <c r="Z65" s="48"/>
      <c r="AA65" s="48"/>
      <c r="AB65" s="48"/>
      <c r="AC65" s="148">
        <f>+'CARGA DE DATOS'!AF66</f>
        <v>5</v>
      </c>
    </row>
    <row r="66" spans="1:29" x14ac:dyDescent="0.25">
      <c r="A66" s="148">
        <f>+'CARGA DE DATOS'!A67</f>
        <v>65</v>
      </c>
      <c r="B66" s="48" t="str">
        <f>+IF(RESULTADOS!H66="","",RESULTADOS!H66)</f>
        <v/>
      </c>
      <c r="C66" s="48" t="str">
        <f>+IF(RESULTADOS!D66="","",RESULTADOS!D66)</f>
        <v/>
      </c>
      <c r="D66" s="160" t="str">
        <f>+IF('CARGA DE DATOS'!K67="Cooperativa","COOP",IF(Salida!AT67="true","PROSU","GD"))</f>
        <v>GD</v>
      </c>
      <c r="E66" s="160" t="s">
        <v>9147</v>
      </c>
      <c r="F66" s="160" t="str">
        <f>+IF(OR(D66="COOP",'CARGA DE DATOS'!K67="GUMA"),"15.02.2022",IF('CARGA DE DATOS'!K67="GUME","05.02.2022","10.02.2022"))</f>
        <v>10.02.2022</v>
      </c>
      <c r="G66" s="163">
        <f>+IF(VLOOKUP(G$1,Lecturas!$N$1:$AA$20,$AC66,FALSE)=0,"",VLOOKUP(G$1,Lecturas!$N$1:$AA$20,$AC66,FALSE))</f>
        <v>1000</v>
      </c>
      <c r="H66" s="163">
        <f>+IF(VLOOKUP(H$1,Lecturas!$N$1:$AA$20,$AC66,FALSE)=0,"",VLOOKUP(H$1,Lecturas!$N$1:$AA$20,$AC66,FALSE))</f>
        <v>150</v>
      </c>
      <c r="I66" s="163">
        <f>+IF(VLOOKUP(I$1,Lecturas!$N$1:$AA$20,$AC66,FALSE)=0,"",VLOOKUP(I$1,Lecturas!$N$1:$AA$20,$AC66,FALSE))</f>
        <v>350</v>
      </c>
      <c r="J66" s="156" t="str">
        <f>+IF(VLOOKUP(J$1,Lecturas!$N$1:$AA$20,$AC66,FALSE)=0,"",VLOOKUP(J$1,Lecturas!$N$1:$AA$20,$AC66,FALSE))</f>
        <v/>
      </c>
      <c r="K66" s="156" t="str">
        <f>+IF(VLOOKUP(K$1,Lecturas!$N$1:$AA$20,$AC66,FALSE)=0,"",VLOOKUP(K$1,Lecturas!$N$1:$AA$20,$AC66,FALSE))</f>
        <v/>
      </c>
      <c r="L66" s="156" t="str">
        <f>+IF(VLOOKUP(L$1,Lecturas!$N$1:$AA$20,$AC66,FALSE)=0,"",VLOOKUP(L$1,Lecturas!$N$1:$AA$20,$AC66,FALSE))</f>
        <v/>
      </c>
      <c r="M66" s="163">
        <f>+IF(VLOOKUP(M$1,Lecturas!$N$1:$AA$20,$AC66,FALSE)=0,"",VLOOKUP(M$1,Lecturas!$N$1:$AA$20,$AC66,FALSE))</f>
        <v>2500</v>
      </c>
      <c r="N66" s="163">
        <f>+IF(VLOOKUP(N$1,Lecturas!$N$1:$AA$20,$AC66,FALSE)=0,"",VLOOKUP(N$1,Lecturas!$N$1:$AA$20,$AC66,FALSE))</f>
        <v>2000</v>
      </c>
      <c r="O66" s="163">
        <f>+IF(VLOOKUP(O$1,Lecturas!$N$1:$AA$20,$AC66,FALSE)=0,"",VLOOKUP(O$1,Lecturas!$N$1:$AA$20,$AC66,FALSE))</f>
        <v>3000</v>
      </c>
      <c r="P66" s="156" t="str">
        <f>+IF(VLOOKUP(P$1,Lecturas!$N$1:$AA$20,$AC66,FALSE)=0,"",VLOOKUP(P$1,Lecturas!$N$1:$AA$20,$AC66,FALSE))</f>
        <v/>
      </c>
      <c r="Q66" s="156" t="str">
        <f>+IF(VLOOKUP(Q$1,Lecturas!$N$1:$AA$20,$AC66,FALSE)=0,"",VLOOKUP(Q$1,Lecturas!$N$1:$AA$20,$AC66,FALSE))</f>
        <v/>
      </c>
      <c r="R66" s="156" t="str">
        <f>+IF(VLOOKUP(R$1,Lecturas!$N$1:$AA$20,$AC66,FALSE)=0,"",VLOOKUP(R$1,Lecturas!$N$1:$AA$20,$AC66,FALSE))</f>
        <v/>
      </c>
      <c r="S66" s="163" t="str">
        <f>+IF(VLOOKUP(S$1,Lecturas!$N$1:$AA$20,$AC66,FALSE)=0,"",VLOOKUP(S$1,Lecturas!$N$1:$AA$20,$AC66,FALSE))</f>
        <v/>
      </c>
      <c r="T66" s="163" t="str">
        <f>+IF(VLOOKUP(T$1,Lecturas!$N$1:$AA$20,$AC66,FALSE)=0,"",VLOOKUP(T$1,Lecturas!$N$1:$AA$20,$AC66,FALSE))</f>
        <v/>
      </c>
      <c r="U66" s="163" t="str">
        <f>+IF(VLOOKUP(U$1,Lecturas!$N$1:$AA$20,$AC66,FALSE)=0,"",VLOOKUP(U$1,Lecturas!$N$1:$AA$20,$AC66,FALSE))</f>
        <v/>
      </c>
      <c r="V66" s="156" t="str">
        <f>+IF(VLOOKUP(V$1,Lecturas!$N$1:$AA$20,$AC66,FALSE)=0,"",VLOOKUP(V$1,Lecturas!$N$1:$AA$20,$AC66,FALSE))</f>
        <v/>
      </c>
      <c r="W66" s="156" t="str">
        <f>+IF(VLOOKUP(W$1,Lecturas!$N$1:$AA$20,$AC66,FALSE)=0,"",VLOOKUP(W$1,Lecturas!$N$1:$AA$20,$AC66,FALSE))</f>
        <v/>
      </c>
      <c r="X66" s="156" t="str">
        <f>+IF(VLOOKUP(X$1,Lecturas!$N$1:$AA$20,$AC66,FALSE)=0,"",VLOOKUP(X$1,Lecturas!$N$1:$AA$20,$AC66,FALSE))</f>
        <v/>
      </c>
      <c r="Y66" s="163">
        <f>+IF(VLOOKUP(Y$1,Lecturas!$N$1:$AA$20,$AC66,FALSE)=0,"",VLOOKUP(Y$1,Lecturas!$N$1:$AA$20,$AC66,FALSE))</f>
        <v>7500</v>
      </c>
      <c r="Z66" s="48"/>
      <c r="AA66" s="48"/>
      <c r="AB66" s="48"/>
      <c r="AC66" s="148">
        <f>+'CARGA DE DATOS'!AF67</f>
        <v>6</v>
      </c>
    </row>
    <row r="67" spans="1:29" x14ac:dyDescent="0.25">
      <c r="A67" s="148">
        <f>+'CARGA DE DATOS'!A68</f>
        <v>66</v>
      </c>
      <c r="B67" s="48" t="str">
        <f>+IF(RESULTADOS!H67="","",RESULTADOS!H67)</f>
        <v/>
      </c>
      <c r="C67" s="48" t="str">
        <f>+IF(RESULTADOS!D67="","",RESULTADOS!D67)</f>
        <v/>
      </c>
      <c r="D67" s="160" t="str">
        <f>+IF('CARGA DE DATOS'!K68="Cooperativa","COOP",IF(Salida!AT68="true","PROSU","GD"))</f>
        <v>GD</v>
      </c>
      <c r="E67" s="160" t="s">
        <v>9147</v>
      </c>
      <c r="F67" s="160" t="str">
        <f>+IF(OR(D67="COOP",'CARGA DE DATOS'!K68="GUMA"),"15.02.2022",IF('CARGA DE DATOS'!K68="GUME","05.02.2022","10.02.2022"))</f>
        <v>10.02.2022</v>
      </c>
      <c r="G67" s="163">
        <f>+IF(VLOOKUP(G$1,Lecturas!$N$1:$AA$20,$AC67,FALSE)=0,"",VLOOKUP(G$1,Lecturas!$N$1:$AA$20,$AC67,FALSE))</f>
        <v>1500</v>
      </c>
      <c r="H67" s="163">
        <f>+IF(VLOOKUP(H$1,Lecturas!$N$1:$AA$20,$AC67,FALSE)=0,"",VLOOKUP(H$1,Lecturas!$N$1:$AA$20,$AC67,FALSE))</f>
        <v>300</v>
      </c>
      <c r="I67" s="163">
        <f>+IF(VLOOKUP(I$1,Lecturas!$N$1:$AA$20,$AC67,FALSE)=0,"",VLOOKUP(I$1,Lecturas!$N$1:$AA$20,$AC67,FALSE))</f>
        <v>350</v>
      </c>
      <c r="J67" s="156" t="str">
        <f>+IF(VLOOKUP(J$1,Lecturas!$N$1:$AA$20,$AC67,FALSE)=0,"",VLOOKUP(J$1,Lecturas!$N$1:$AA$20,$AC67,FALSE))</f>
        <v/>
      </c>
      <c r="K67" s="156" t="str">
        <f>+IF(VLOOKUP(K$1,Lecturas!$N$1:$AA$20,$AC67,FALSE)=0,"",VLOOKUP(K$1,Lecturas!$N$1:$AA$20,$AC67,FALSE))</f>
        <v/>
      </c>
      <c r="L67" s="156" t="str">
        <f>+IF(VLOOKUP(L$1,Lecturas!$N$1:$AA$20,$AC67,FALSE)=0,"",VLOOKUP(L$1,Lecturas!$N$1:$AA$20,$AC67,FALSE))</f>
        <v/>
      </c>
      <c r="M67" s="163">
        <f>+IF(VLOOKUP(M$1,Lecturas!$N$1:$AA$20,$AC67,FALSE)=0,"",VLOOKUP(M$1,Lecturas!$N$1:$AA$20,$AC67,FALSE))</f>
        <v>2500</v>
      </c>
      <c r="N67" s="163">
        <f>+IF(VLOOKUP(N$1,Lecturas!$N$1:$AA$20,$AC67,FALSE)=0,"",VLOOKUP(N$1,Lecturas!$N$1:$AA$20,$AC67,FALSE))</f>
        <v>2000</v>
      </c>
      <c r="O67" s="163">
        <f>+IF(VLOOKUP(O$1,Lecturas!$N$1:$AA$20,$AC67,FALSE)=0,"",VLOOKUP(O$1,Lecturas!$N$1:$AA$20,$AC67,FALSE))</f>
        <v>3000</v>
      </c>
      <c r="P67" s="156" t="str">
        <f>+IF(VLOOKUP(P$1,Lecturas!$N$1:$AA$20,$AC67,FALSE)=0,"",VLOOKUP(P$1,Lecturas!$N$1:$AA$20,$AC67,FALSE))</f>
        <v/>
      </c>
      <c r="Q67" s="156" t="str">
        <f>+IF(VLOOKUP(Q$1,Lecturas!$N$1:$AA$20,$AC67,FALSE)=0,"",VLOOKUP(Q$1,Lecturas!$N$1:$AA$20,$AC67,FALSE))</f>
        <v/>
      </c>
      <c r="R67" s="156" t="str">
        <f>+IF(VLOOKUP(R$1,Lecturas!$N$1:$AA$20,$AC67,FALSE)=0,"",VLOOKUP(R$1,Lecturas!$N$1:$AA$20,$AC67,FALSE))</f>
        <v/>
      </c>
      <c r="S67" s="163" t="str">
        <f>+IF(VLOOKUP(S$1,Lecturas!$N$1:$AA$20,$AC67,FALSE)=0,"",VLOOKUP(S$1,Lecturas!$N$1:$AA$20,$AC67,FALSE))</f>
        <v/>
      </c>
      <c r="T67" s="163" t="str">
        <f>+IF(VLOOKUP(T$1,Lecturas!$N$1:$AA$20,$AC67,FALSE)=0,"",VLOOKUP(T$1,Lecturas!$N$1:$AA$20,$AC67,FALSE))</f>
        <v/>
      </c>
      <c r="U67" s="163" t="str">
        <f>+IF(VLOOKUP(U$1,Lecturas!$N$1:$AA$20,$AC67,FALSE)=0,"",VLOOKUP(U$1,Lecturas!$N$1:$AA$20,$AC67,FALSE))</f>
        <v/>
      </c>
      <c r="V67" s="156" t="str">
        <f>+IF(VLOOKUP(V$1,Lecturas!$N$1:$AA$20,$AC67,FALSE)=0,"",VLOOKUP(V$1,Lecturas!$N$1:$AA$20,$AC67,FALSE))</f>
        <v/>
      </c>
      <c r="W67" s="156" t="str">
        <f>+IF(VLOOKUP(W$1,Lecturas!$N$1:$AA$20,$AC67,FALSE)=0,"",VLOOKUP(W$1,Lecturas!$N$1:$AA$20,$AC67,FALSE))</f>
        <v/>
      </c>
      <c r="X67" s="156" t="str">
        <f>+IF(VLOOKUP(X$1,Lecturas!$N$1:$AA$20,$AC67,FALSE)=0,"",VLOOKUP(X$1,Lecturas!$N$1:$AA$20,$AC67,FALSE))</f>
        <v/>
      </c>
      <c r="Y67" s="163">
        <f>+IF(VLOOKUP(Y$1,Lecturas!$N$1:$AA$20,$AC67,FALSE)=0,"",VLOOKUP(Y$1,Lecturas!$N$1:$AA$20,$AC67,FALSE))</f>
        <v>6500</v>
      </c>
      <c r="Z67" s="48"/>
      <c r="AA67" s="48"/>
      <c r="AB67" s="48"/>
      <c r="AC67" s="148">
        <f>+'CARGA DE DATOS'!AF68</f>
        <v>9</v>
      </c>
    </row>
    <row r="68" spans="1:29" x14ac:dyDescent="0.25">
      <c r="A68" s="148">
        <f>+'CARGA DE DATOS'!A69</f>
        <v>67</v>
      </c>
      <c r="B68" s="48" t="str">
        <f>+IF(RESULTADOS!H68="","",RESULTADOS!H68)</f>
        <v/>
      </c>
      <c r="C68" s="48" t="str">
        <f>+IF(RESULTADOS!D68="","",RESULTADOS!D68)</f>
        <v/>
      </c>
      <c r="D68" s="160" t="str">
        <f>+IF('CARGA DE DATOS'!K69="Cooperativa","COOP",IF(Salida!AT69="true","PROSU","GD"))</f>
        <v>GD</v>
      </c>
      <c r="E68" s="160" t="s">
        <v>9147</v>
      </c>
      <c r="F68" s="160" t="str">
        <f>+IF(OR(D68="COOP",'CARGA DE DATOS'!K69="GUMA"),"15.02.2022",IF('CARGA DE DATOS'!K69="GUME","05.02.2022","10.02.2022"))</f>
        <v>10.02.2022</v>
      </c>
      <c r="G68" s="163">
        <f>+IF(VLOOKUP(G$1,Lecturas!$N$1:$AA$20,$AC68,FALSE)=0,"",VLOOKUP(G$1,Lecturas!$N$1:$AA$20,$AC68,FALSE))</f>
        <v>1500</v>
      </c>
      <c r="H68" s="163">
        <f>+IF(VLOOKUP(H$1,Lecturas!$N$1:$AA$20,$AC68,FALSE)=0,"",VLOOKUP(H$1,Lecturas!$N$1:$AA$20,$AC68,FALSE))</f>
        <v>1550</v>
      </c>
      <c r="I68" s="163">
        <f>+IF(VLOOKUP(I$1,Lecturas!$N$1:$AA$20,$AC68,FALSE)=0,"",VLOOKUP(I$1,Lecturas!$N$1:$AA$20,$AC68,FALSE))</f>
        <v>1550</v>
      </c>
      <c r="J68" s="156" t="str">
        <f>+IF(VLOOKUP(J$1,Lecturas!$N$1:$AA$20,$AC68,FALSE)=0,"",VLOOKUP(J$1,Lecturas!$N$1:$AA$20,$AC68,FALSE))</f>
        <v/>
      </c>
      <c r="K68" s="156" t="str">
        <f>+IF(VLOOKUP(K$1,Lecturas!$N$1:$AA$20,$AC68,FALSE)=0,"",VLOOKUP(K$1,Lecturas!$N$1:$AA$20,$AC68,FALSE))</f>
        <v/>
      </c>
      <c r="L68" s="156" t="str">
        <f>+IF(VLOOKUP(L$1,Lecturas!$N$1:$AA$20,$AC68,FALSE)=0,"",VLOOKUP(L$1,Lecturas!$N$1:$AA$20,$AC68,FALSE))</f>
        <v/>
      </c>
      <c r="M68" s="163">
        <f>+IF(VLOOKUP(M$1,Lecturas!$N$1:$AA$20,$AC68,FALSE)=0,"",VLOOKUP(M$1,Lecturas!$N$1:$AA$20,$AC68,FALSE))</f>
        <v>2500</v>
      </c>
      <c r="N68" s="163">
        <f>+IF(VLOOKUP(N$1,Lecturas!$N$1:$AA$20,$AC68,FALSE)=0,"",VLOOKUP(N$1,Lecturas!$N$1:$AA$20,$AC68,FALSE))</f>
        <v>2000</v>
      </c>
      <c r="O68" s="163">
        <f>+IF(VLOOKUP(O$1,Lecturas!$N$1:$AA$20,$AC68,FALSE)=0,"",VLOOKUP(O$1,Lecturas!$N$1:$AA$20,$AC68,FALSE))</f>
        <v>3000</v>
      </c>
      <c r="P68" s="156" t="str">
        <f>+IF(VLOOKUP(P$1,Lecturas!$N$1:$AA$20,$AC68,FALSE)=0,"",VLOOKUP(P$1,Lecturas!$N$1:$AA$20,$AC68,FALSE))</f>
        <v/>
      </c>
      <c r="Q68" s="156" t="str">
        <f>+IF(VLOOKUP(Q$1,Lecturas!$N$1:$AA$20,$AC68,FALSE)=0,"",VLOOKUP(Q$1,Lecturas!$N$1:$AA$20,$AC68,FALSE))</f>
        <v/>
      </c>
      <c r="R68" s="156" t="str">
        <f>+IF(VLOOKUP(R$1,Lecturas!$N$1:$AA$20,$AC68,FALSE)=0,"",VLOOKUP(R$1,Lecturas!$N$1:$AA$20,$AC68,FALSE))</f>
        <v/>
      </c>
      <c r="S68" s="163" t="str">
        <f>+IF(VLOOKUP(S$1,Lecturas!$N$1:$AA$20,$AC68,FALSE)=0,"",VLOOKUP(S$1,Lecturas!$N$1:$AA$20,$AC68,FALSE))</f>
        <v/>
      </c>
      <c r="T68" s="163" t="str">
        <f>+IF(VLOOKUP(T$1,Lecturas!$N$1:$AA$20,$AC68,FALSE)=0,"",VLOOKUP(T$1,Lecturas!$N$1:$AA$20,$AC68,FALSE))</f>
        <v/>
      </c>
      <c r="U68" s="163" t="str">
        <f>+IF(VLOOKUP(U$1,Lecturas!$N$1:$AA$20,$AC68,FALSE)=0,"",VLOOKUP(U$1,Lecturas!$N$1:$AA$20,$AC68,FALSE))</f>
        <v/>
      </c>
      <c r="V68" s="156" t="str">
        <f>+IF(VLOOKUP(V$1,Lecturas!$N$1:$AA$20,$AC68,FALSE)=0,"",VLOOKUP(V$1,Lecturas!$N$1:$AA$20,$AC68,FALSE))</f>
        <v/>
      </c>
      <c r="W68" s="156" t="str">
        <f>+IF(VLOOKUP(W$1,Lecturas!$N$1:$AA$20,$AC68,FALSE)=0,"",VLOOKUP(W$1,Lecturas!$N$1:$AA$20,$AC68,FALSE))</f>
        <v/>
      </c>
      <c r="X68" s="156" t="str">
        <f>+IF(VLOOKUP(X$1,Lecturas!$N$1:$AA$20,$AC68,FALSE)=0,"",VLOOKUP(X$1,Lecturas!$N$1:$AA$20,$AC68,FALSE))</f>
        <v/>
      </c>
      <c r="Y68" s="163">
        <f>+IF(VLOOKUP(Y$1,Lecturas!$N$1:$AA$20,$AC68,FALSE)=0,"",VLOOKUP(Y$1,Lecturas!$N$1:$AA$20,$AC68,FALSE))</f>
        <v>7500</v>
      </c>
      <c r="Z68" s="48"/>
      <c r="AA68" s="48"/>
      <c r="AB68" s="48"/>
      <c r="AC68" s="148">
        <f>+'CARGA DE DATOS'!AF69</f>
        <v>7</v>
      </c>
    </row>
    <row r="69" spans="1:29" x14ac:dyDescent="0.25">
      <c r="A69" s="148">
        <f>+'CARGA DE DATOS'!A70</f>
        <v>68</v>
      </c>
      <c r="B69" s="48" t="str">
        <f>+IF(RESULTADOS!H69="","",RESULTADOS!H69)</f>
        <v/>
      </c>
      <c r="C69" s="48" t="str">
        <f>+IF(RESULTADOS!D69="","",RESULTADOS!D69)</f>
        <v/>
      </c>
      <c r="D69" s="160" t="str">
        <f>+IF('CARGA DE DATOS'!K70="Cooperativa","COOP",IF(Salida!AT70="true","PROSU","GD"))</f>
        <v>GD</v>
      </c>
      <c r="E69" s="160" t="s">
        <v>9147</v>
      </c>
      <c r="F69" s="160" t="str">
        <f>+IF(OR(D69="COOP",'CARGA DE DATOS'!K70="GUMA"),"15.02.2022",IF('CARGA DE DATOS'!K70="GUME","05.02.2022","10.02.2022"))</f>
        <v>10.02.2022</v>
      </c>
      <c r="G69" s="163">
        <f>+IF(VLOOKUP(G$1,Lecturas!$N$1:$AA$20,$AC69,FALSE)=0,"",VLOOKUP(G$1,Lecturas!$N$1:$AA$20,$AC69,FALSE))</f>
        <v>1500</v>
      </c>
      <c r="H69" s="163">
        <f>+IF(VLOOKUP(H$1,Lecturas!$N$1:$AA$20,$AC69,FALSE)=0,"",VLOOKUP(H$1,Lecturas!$N$1:$AA$20,$AC69,FALSE))</f>
        <v>1550</v>
      </c>
      <c r="I69" s="163">
        <f>+IF(VLOOKUP(I$1,Lecturas!$N$1:$AA$20,$AC69,FALSE)=0,"",VLOOKUP(I$1,Lecturas!$N$1:$AA$20,$AC69,FALSE))</f>
        <v>1550</v>
      </c>
      <c r="J69" s="156" t="str">
        <f>+IF(VLOOKUP(J$1,Lecturas!$N$1:$AA$20,$AC69,FALSE)=0,"",VLOOKUP(J$1,Lecturas!$N$1:$AA$20,$AC69,FALSE))</f>
        <v/>
      </c>
      <c r="K69" s="156" t="str">
        <f>+IF(VLOOKUP(K$1,Lecturas!$N$1:$AA$20,$AC69,FALSE)=0,"",VLOOKUP(K$1,Lecturas!$N$1:$AA$20,$AC69,FALSE))</f>
        <v/>
      </c>
      <c r="L69" s="156" t="str">
        <f>+IF(VLOOKUP(L$1,Lecturas!$N$1:$AA$20,$AC69,FALSE)=0,"",VLOOKUP(L$1,Lecturas!$N$1:$AA$20,$AC69,FALSE))</f>
        <v/>
      </c>
      <c r="M69" s="163">
        <f>+IF(VLOOKUP(M$1,Lecturas!$N$1:$AA$20,$AC69,FALSE)=0,"",VLOOKUP(M$1,Lecturas!$N$1:$AA$20,$AC69,FALSE))</f>
        <v>2500</v>
      </c>
      <c r="N69" s="163">
        <f>+IF(VLOOKUP(N$1,Lecturas!$N$1:$AA$20,$AC69,FALSE)=0,"",VLOOKUP(N$1,Lecturas!$N$1:$AA$20,$AC69,FALSE))</f>
        <v>2000</v>
      </c>
      <c r="O69" s="163">
        <f>+IF(VLOOKUP(O$1,Lecturas!$N$1:$AA$20,$AC69,FALSE)=0,"",VLOOKUP(O$1,Lecturas!$N$1:$AA$20,$AC69,FALSE))</f>
        <v>3000</v>
      </c>
      <c r="P69" s="156" t="str">
        <f>+IF(VLOOKUP(P$1,Lecturas!$N$1:$AA$20,$AC69,FALSE)=0,"",VLOOKUP(P$1,Lecturas!$N$1:$AA$20,$AC69,FALSE))</f>
        <v/>
      </c>
      <c r="Q69" s="156" t="str">
        <f>+IF(VLOOKUP(Q$1,Lecturas!$N$1:$AA$20,$AC69,FALSE)=0,"",VLOOKUP(Q$1,Lecturas!$N$1:$AA$20,$AC69,FALSE))</f>
        <v/>
      </c>
      <c r="R69" s="156" t="str">
        <f>+IF(VLOOKUP(R$1,Lecturas!$N$1:$AA$20,$AC69,FALSE)=0,"",VLOOKUP(R$1,Lecturas!$N$1:$AA$20,$AC69,FALSE))</f>
        <v/>
      </c>
      <c r="S69" s="163" t="str">
        <f>+IF(VLOOKUP(S$1,Lecturas!$N$1:$AA$20,$AC69,FALSE)=0,"",VLOOKUP(S$1,Lecturas!$N$1:$AA$20,$AC69,FALSE))</f>
        <v/>
      </c>
      <c r="T69" s="163" t="str">
        <f>+IF(VLOOKUP(T$1,Lecturas!$N$1:$AA$20,$AC69,FALSE)=0,"",VLOOKUP(T$1,Lecturas!$N$1:$AA$20,$AC69,FALSE))</f>
        <v/>
      </c>
      <c r="U69" s="163" t="str">
        <f>+IF(VLOOKUP(U$1,Lecturas!$N$1:$AA$20,$AC69,FALSE)=0,"",VLOOKUP(U$1,Lecturas!$N$1:$AA$20,$AC69,FALSE))</f>
        <v/>
      </c>
      <c r="V69" s="156" t="str">
        <f>+IF(VLOOKUP(V$1,Lecturas!$N$1:$AA$20,$AC69,FALSE)=0,"",VLOOKUP(V$1,Lecturas!$N$1:$AA$20,$AC69,FALSE))</f>
        <v/>
      </c>
      <c r="W69" s="156" t="str">
        <f>+IF(VLOOKUP(W$1,Lecturas!$N$1:$AA$20,$AC69,FALSE)=0,"",VLOOKUP(W$1,Lecturas!$N$1:$AA$20,$AC69,FALSE))</f>
        <v/>
      </c>
      <c r="X69" s="156" t="str">
        <f>+IF(VLOOKUP(X$1,Lecturas!$N$1:$AA$20,$AC69,FALSE)=0,"",VLOOKUP(X$1,Lecturas!$N$1:$AA$20,$AC69,FALSE))</f>
        <v/>
      </c>
      <c r="Y69" s="163">
        <f>+IF(VLOOKUP(Y$1,Lecturas!$N$1:$AA$20,$AC69,FALSE)=0,"",VLOOKUP(Y$1,Lecturas!$N$1:$AA$20,$AC69,FALSE))</f>
        <v>7500</v>
      </c>
      <c r="Z69" s="48"/>
      <c r="AA69" s="48"/>
      <c r="AB69" s="48"/>
      <c r="AC69" s="148">
        <f>+'CARGA DE DATOS'!AF70</f>
        <v>7</v>
      </c>
    </row>
    <row r="70" spans="1:29" x14ac:dyDescent="0.25">
      <c r="A70" s="148">
        <f>+'CARGA DE DATOS'!A71</f>
        <v>69</v>
      </c>
      <c r="B70" s="48" t="str">
        <f>+IF(RESULTADOS!H70="","",RESULTADOS!H70)</f>
        <v/>
      </c>
      <c r="C70" s="48" t="str">
        <f>+IF(RESULTADOS!D70="","",RESULTADOS!D70)</f>
        <v/>
      </c>
      <c r="D70" s="160" t="str">
        <f>+IF('CARGA DE DATOS'!K71="Cooperativa","COOP",IF(Salida!AT71="true","PROSU","GD"))</f>
        <v>GD</v>
      </c>
      <c r="E70" s="160" t="s">
        <v>9147</v>
      </c>
      <c r="F70" s="160" t="str">
        <f>+IF(OR(D70="COOP",'CARGA DE DATOS'!K71="GUMA"),"15.02.2022",IF('CARGA DE DATOS'!K71="GUME","05.02.2022","10.02.2022"))</f>
        <v>10.02.2022</v>
      </c>
      <c r="G70" s="163">
        <f>+IF(VLOOKUP(G$1,Lecturas!$N$1:$AA$20,$AC70,FALSE)=0,"",VLOOKUP(G$1,Lecturas!$N$1:$AA$20,$AC70,FALSE))</f>
        <v>1500</v>
      </c>
      <c r="H70" s="163">
        <f>+IF(VLOOKUP(H$1,Lecturas!$N$1:$AA$20,$AC70,FALSE)=0,"",VLOOKUP(H$1,Lecturas!$N$1:$AA$20,$AC70,FALSE))</f>
        <v>300</v>
      </c>
      <c r="I70" s="163">
        <f>+IF(VLOOKUP(I$1,Lecturas!$N$1:$AA$20,$AC70,FALSE)=0,"",VLOOKUP(I$1,Lecturas!$N$1:$AA$20,$AC70,FALSE))</f>
        <v>350</v>
      </c>
      <c r="J70" s="156" t="str">
        <f>+IF(VLOOKUP(J$1,Lecturas!$N$1:$AA$20,$AC70,FALSE)=0,"",VLOOKUP(J$1,Lecturas!$N$1:$AA$20,$AC70,FALSE))</f>
        <v/>
      </c>
      <c r="K70" s="156" t="str">
        <f>+IF(VLOOKUP(K$1,Lecturas!$N$1:$AA$20,$AC70,FALSE)=0,"",VLOOKUP(K$1,Lecturas!$N$1:$AA$20,$AC70,FALSE))</f>
        <v/>
      </c>
      <c r="L70" s="156" t="str">
        <f>+IF(VLOOKUP(L$1,Lecturas!$N$1:$AA$20,$AC70,FALSE)=0,"",VLOOKUP(L$1,Lecturas!$N$1:$AA$20,$AC70,FALSE))</f>
        <v/>
      </c>
      <c r="M70" s="163">
        <f>+IF(VLOOKUP(M$1,Lecturas!$N$1:$AA$20,$AC70,FALSE)=0,"",VLOOKUP(M$1,Lecturas!$N$1:$AA$20,$AC70,FALSE))</f>
        <v>2500</v>
      </c>
      <c r="N70" s="163">
        <f>+IF(VLOOKUP(N$1,Lecturas!$N$1:$AA$20,$AC70,FALSE)=0,"",VLOOKUP(N$1,Lecturas!$N$1:$AA$20,$AC70,FALSE))</f>
        <v>2000</v>
      </c>
      <c r="O70" s="163">
        <f>+IF(VLOOKUP(O$1,Lecturas!$N$1:$AA$20,$AC70,FALSE)=0,"",VLOOKUP(O$1,Lecturas!$N$1:$AA$20,$AC70,FALSE))</f>
        <v>3000</v>
      </c>
      <c r="P70" s="156" t="str">
        <f>+IF(VLOOKUP(P$1,Lecturas!$N$1:$AA$20,$AC70,FALSE)=0,"",VLOOKUP(P$1,Lecturas!$N$1:$AA$20,$AC70,FALSE))</f>
        <v/>
      </c>
      <c r="Q70" s="156" t="str">
        <f>+IF(VLOOKUP(Q$1,Lecturas!$N$1:$AA$20,$AC70,FALSE)=0,"",VLOOKUP(Q$1,Lecturas!$N$1:$AA$20,$AC70,FALSE))</f>
        <v/>
      </c>
      <c r="R70" s="156" t="str">
        <f>+IF(VLOOKUP(R$1,Lecturas!$N$1:$AA$20,$AC70,FALSE)=0,"",VLOOKUP(R$1,Lecturas!$N$1:$AA$20,$AC70,FALSE))</f>
        <v/>
      </c>
      <c r="S70" s="163" t="str">
        <f>+IF(VLOOKUP(S$1,Lecturas!$N$1:$AA$20,$AC70,FALSE)=0,"",VLOOKUP(S$1,Lecturas!$N$1:$AA$20,$AC70,FALSE))</f>
        <v/>
      </c>
      <c r="T70" s="163" t="str">
        <f>+IF(VLOOKUP(T$1,Lecturas!$N$1:$AA$20,$AC70,FALSE)=0,"",VLOOKUP(T$1,Lecturas!$N$1:$AA$20,$AC70,FALSE))</f>
        <v/>
      </c>
      <c r="U70" s="163" t="str">
        <f>+IF(VLOOKUP(U$1,Lecturas!$N$1:$AA$20,$AC70,FALSE)=0,"",VLOOKUP(U$1,Lecturas!$N$1:$AA$20,$AC70,FALSE))</f>
        <v/>
      </c>
      <c r="V70" s="156" t="str">
        <f>+IF(VLOOKUP(V$1,Lecturas!$N$1:$AA$20,$AC70,FALSE)=0,"",VLOOKUP(V$1,Lecturas!$N$1:$AA$20,$AC70,FALSE))</f>
        <v/>
      </c>
      <c r="W70" s="156" t="str">
        <f>+IF(VLOOKUP(W$1,Lecturas!$N$1:$AA$20,$AC70,FALSE)=0,"",VLOOKUP(W$1,Lecturas!$N$1:$AA$20,$AC70,FALSE))</f>
        <v/>
      </c>
      <c r="X70" s="156" t="str">
        <f>+IF(VLOOKUP(X$1,Lecturas!$N$1:$AA$20,$AC70,FALSE)=0,"",VLOOKUP(X$1,Lecturas!$N$1:$AA$20,$AC70,FALSE))</f>
        <v/>
      </c>
      <c r="Y70" s="163">
        <f>+IF(VLOOKUP(Y$1,Lecturas!$N$1:$AA$20,$AC70,FALSE)=0,"",VLOOKUP(Y$1,Lecturas!$N$1:$AA$20,$AC70,FALSE))</f>
        <v>6500</v>
      </c>
      <c r="Z70" s="48"/>
      <c r="AA70" s="48"/>
      <c r="AB70" s="48"/>
      <c r="AC70" s="148">
        <f>+'CARGA DE DATOS'!AF71</f>
        <v>9</v>
      </c>
    </row>
    <row r="71" spans="1:29" x14ac:dyDescent="0.25">
      <c r="A71" s="148">
        <f>+'CARGA DE DATOS'!A72</f>
        <v>70</v>
      </c>
      <c r="B71" s="48" t="str">
        <f>+IF(RESULTADOS!H71="","",RESULTADOS!H71)</f>
        <v/>
      </c>
      <c r="C71" s="48" t="str">
        <f>+IF(RESULTADOS!D71="","",RESULTADOS!D71)</f>
        <v/>
      </c>
      <c r="D71" s="160" t="str">
        <f>+IF('CARGA DE DATOS'!K72="Cooperativa","COOP",IF(Salida!AT72="true","PROSU","GD"))</f>
        <v>GD</v>
      </c>
      <c r="E71" s="160" t="s">
        <v>9147</v>
      </c>
      <c r="F71" s="160" t="str">
        <f>+IF(OR(D71="COOP",'CARGA DE DATOS'!K72="GUMA"),"15.02.2022",IF('CARGA DE DATOS'!K72="GUME","05.02.2022","10.02.2022"))</f>
        <v>10.02.2022</v>
      </c>
      <c r="G71" s="163">
        <f>+IF(VLOOKUP(G$1,Lecturas!$N$1:$AA$20,$AC71,FALSE)=0,"",VLOOKUP(G$1,Lecturas!$N$1:$AA$20,$AC71,FALSE))</f>
        <v>1000</v>
      </c>
      <c r="H71" s="163">
        <f>+IF(VLOOKUP(H$1,Lecturas!$N$1:$AA$20,$AC71,FALSE)=0,"",VLOOKUP(H$1,Lecturas!$N$1:$AA$20,$AC71,FALSE))</f>
        <v>150</v>
      </c>
      <c r="I71" s="163">
        <f>+IF(VLOOKUP(I$1,Lecturas!$N$1:$AA$20,$AC71,FALSE)=0,"",VLOOKUP(I$1,Lecturas!$N$1:$AA$20,$AC71,FALSE))</f>
        <v>350</v>
      </c>
      <c r="J71" s="156" t="str">
        <f>+IF(VLOOKUP(J$1,Lecturas!$N$1:$AA$20,$AC71,FALSE)=0,"",VLOOKUP(J$1,Lecturas!$N$1:$AA$20,$AC71,FALSE))</f>
        <v/>
      </c>
      <c r="K71" s="156" t="str">
        <f>+IF(VLOOKUP(K$1,Lecturas!$N$1:$AA$20,$AC71,FALSE)=0,"",VLOOKUP(K$1,Lecturas!$N$1:$AA$20,$AC71,FALSE))</f>
        <v/>
      </c>
      <c r="L71" s="156" t="str">
        <f>+IF(VLOOKUP(L$1,Lecturas!$N$1:$AA$20,$AC71,FALSE)=0,"",VLOOKUP(L$1,Lecturas!$N$1:$AA$20,$AC71,FALSE))</f>
        <v/>
      </c>
      <c r="M71" s="163">
        <f>+IF(VLOOKUP(M$1,Lecturas!$N$1:$AA$20,$AC71,FALSE)=0,"",VLOOKUP(M$1,Lecturas!$N$1:$AA$20,$AC71,FALSE))</f>
        <v>2500</v>
      </c>
      <c r="N71" s="163">
        <f>+IF(VLOOKUP(N$1,Lecturas!$N$1:$AA$20,$AC71,FALSE)=0,"",VLOOKUP(N$1,Lecturas!$N$1:$AA$20,$AC71,FALSE))</f>
        <v>2000</v>
      </c>
      <c r="O71" s="163">
        <f>+IF(VLOOKUP(O$1,Lecturas!$N$1:$AA$20,$AC71,FALSE)=0,"",VLOOKUP(O$1,Lecturas!$N$1:$AA$20,$AC71,FALSE))</f>
        <v>3000</v>
      </c>
      <c r="P71" s="156" t="str">
        <f>+IF(VLOOKUP(P$1,Lecturas!$N$1:$AA$20,$AC71,FALSE)=0,"",VLOOKUP(P$1,Lecturas!$N$1:$AA$20,$AC71,FALSE))</f>
        <v/>
      </c>
      <c r="Q71" s="156" t="str">
        <f>+IF(VLOOKUP(Q$1,Lecturas!$N$1:$AA$20,$AC71,FALSE)=0,"",VLOOKUP(Q$1,Lecturas!$N$1:$AA$20,$AC71,FALSE))</f>
        <v/>
      </c>
      <c r="R71" s="156" t="str">
        <f>+IF(VLOOKUP(R$1,Lecturas!$N$1:$AA$20,$AC71,FALSE)=0,"",VLOOKUP(R$1,Lecturas!$N$1:$AA$20,$AC71,FALSE))</f>
        <v/>
      </c>
      <c r="S71" s="163" t="str">
        <f>+IF(VLOOKUP(S$1,Lecturas!$N$1:$AA$20,$AC71,FALSE)=0,"",VLOOKUP(S$1,Lecturas!$N$1:$AA$20,$AC71,FALSE))</f>
        <v/>
      </c>
      <c r="T71" s="163" t="str">
        <f>+IF(VLOOKUP(T$1,Lecturas!$N$1:$AA$20,$AC71,FALSE)=0,"",VLOOKUP(T$1,Lecturas!$N$1:$AA$20,$AC71,FALSE))</f>
        <v/>
      </c>
      <c r="U71" s="163" t="str">
        <f>+IF(VLOOKUP(U$1,Lecturas!$N$1:$AA$20,$AC71,FALSE)=0,"",VLOOKUP(U$1,Lecturas!$N$1:$AA$20,$AC71,FALSE))</f>
        <v/>
      </c>
      <c r="V71" s="156" t="str">
        <f>+IF(VLOOKUP(V$1,Lecturas!$N$1:$AA$20,$AC71,FALSE)=0,"",VLOOKUP(V$1,Lecturas!$N$1:$AA$20,$AC71,FALSE))</f>
        <v/>
      </c>
      <c r="W71" s="156" t="str">
        <f>+IF(VLOOKUP(W$1,Lecturas!$N$1:$AA$20,$AC71,FALSE)=0,"",VLOOKUP(W$1,Lecturas!$N$1:$AA$20,$AC71,FALSE))</f>
        <v/>
      </c>
      <c r="X71" s="156" t="str">
        <f>+IF(VLOOKUP(X$1,Lecturas!$N$1:$AA$20,$AC71,FALSE)=0,"",VLOOKUP(X$1,Lecturas!$N$1:$AA$20,$AC71,FALSE))</f>
        <v/>
      </c>
      <c r="Y71" s="163">
        <f>+IF(VLOOKUP(Y$1,Lecturas!$N$1:$AA$20,$AC71,FALSE)=0,"",VLOOKUP(Y$1,Lecturas!$N$1:$AA$20,$AC71,FALSE))</f>
        <v>7500</v>
      </c>
      <c r="Z71" s="48"/>
      <c r="AA71" s="48"/>
      <c r="AB71" s="48"/>
      <c r="AC71" s="148">
        <f>+'CARGA DE DATOS'!AF72</f>
        <v>6</v>
      </c>
    </row>
    <row r="72" spans="1:29" x14ac:dyDescent="0.25">
      <c r="A72" s="148">
        <f>+'CARGA DE DATOS'!A73</f>
        <v>71</v>
      </c>
      <c r="B72" s="48" t="str">
        <f>+IF(RESULTADOS!H72="","",RESULTADOS!H72)</f>
        <v/>
      </c>
      <c r="C72" s="48" t="str">
        <f>+IF(RESULTADOS!D72="","",RESULTADOS!D72)</f>
        <v/>
      </c>
      <c r="D72" s="160" t="str">
        <f>+IF('CARGA DE DATOS'!K73="Cooperativa","COOP",IF(Salida!AT73="true","PROSU","GD"))</f>
        <v>GD</v>
      </c>
      <c r="E72" s="160" t="s">
        <v>9147</v>
      </c>
      <c r="F72" s="160" t="str">
        <f>+IF(OR(D72="COOP",'CARGA DE DATOS'!K73="GUMA"),"15.02.2022",IF('CARGA DE DATOS'!K73="GUME","05.02.2022","10.02.2022"))</f>
        <v>10.02.2022</v>
      </c>
      <c r="G72" s="163">
        <f>+IF(VLOOKUP(G$1,Lecturas!$N$1:$AA$20,$AC72,FALSE)=0,"",VLOOKUP(G$1,Lecturas!$N$1:$AA$20,$AC72,FALSE))</f>
        <v>1000</v>
      </c>
      <c r="H72" s="163">
        <f>+IF(VLOOKUP(H$1,Lecturas!$N$1:$AA$20,$AC72,FALSE)=0,"",VLOOKUP(H$1,Lecturas!$N$1:$AA$20,$AC72,FALSE))</f>
        <v>150</v>
      </c>
      <c r="I72" s="163">
        <f>+IF(VLOOKUP(I$1,Lecturas!$N$1:$AA$20,$AC72,FALSE)=0,"",VLOOKUP(I$1,Lecturas!$N$1:$AA$20,$AC72,FALSE))</f>
        <v>350</v>
      </c>
      <c r="J72" s="156" t="str">
        <f>+IF(VLOOKUP(J$1,Lecturas!$N$1:$AA$20,$AC72,FALSE)=0,"",VLOOKUP(J$1,Lecturas!$N$1:$AA$20,$AC72,FALSE))</f>
        <v/>
      </c>
      <c r="K72" s="156" t="str">
        <f>+IF(VLOOKUP(K$1,Lecturas!$N$1:$AA$20,$AC72,FALSE)=0,"",VLOOKUP(K$1,Lecturas!$N$1:$AA$20,$AC72,FALSE))</f>
        <v/>
      </c>
      <c r="L72" s="156" t="str">
        <f>+IF(VLOOKUP(L$1,Lecturas!$N$1:$AA$20,$AC72,FALSE)=0,"",VLOOKUP(L$1,Lecturas!$N$1:$AA$20,$AC72,FALSE))</f>
        <v/>
      </c>
      <c r="M72" s="163">
        <f>+IF(VLOOKUP(M$1,Lecturas!$N$1:$AA$20,$AC72,FALSE)=0,"",VLOOKUP(M$1,Lecturas!$N$1:$AA$20,$AC72,FALSE))</f>
        <v>2500</v>
      </c>
      <c r="N72" s="163">
        <f>+IF(VLOOKUP(N$1,Lecturas!$N$1:$AA$20,$AC72,FALSE)=0,"",VLOOKUP(N$1,Lecturas!$N$1:$AA$20,$AC72,FALSE))</f>
        <v>2000</v>
      </c>
      <c r="O72" s="163">
        <f>+IF(VLOOKUP(O$1,Lecturas!$N$1:$AA$20,$AC72,FALSE)=0,"",VLOOKUP(O$1,Lecturas!$N$1:$AA$20,$AC72,FALSE))</f>
        <v>3000</v>
      </c>
      <c r="P72" s="156" t="str">
        <f>+IF(VLOOKUP(P$1,Lecturas!$N$1:$AA$20,$AC72,FALSE)=0,"",VLOOKUP(P$1,Lecturas!$N$1:$AA$20,$AC72,FALSE))</f>
        <v/>
      </c>
      <c r="Q72" s="156" t="str">
        <f>+IF(VLOOKUP(Q$1,Lecturas!$N$1:$AA$20,$AC72,FALSE)=0,"",VLOOKUP(Q$1,Lecturas!$N$1:$AA$20,$AC72,FALSE))</f>
        <v/>
      </c>
      <c r="R72" s="156" t="str">
        <f>+IF(VLOOKUP(R$1,Lecturas!$N$1:$AA$20,$AC72,FALSE)=0,"",VLOOKUP(R$1,Lecturas!$N$1:$AA$20,$AC72,FALSE))</f>
        <v/>
      </c>
      <c r="S72" s="163" t="str">
        <f>+IF(VLOOKUP(S$1,Lecturas!$N$1:$AA$20,$AC72,FALSE)=0,"",VLOOKUP(S$1,Lecturas!$N$1:$AA$20,$AC72,FALSE))</f>
        <v/>
      </c>
      <c r="T72" s="163" t="str">
        <f>+IF(VLOOKUP(T$1,Lecturas!$N$1:$AA$20,$AC72,FALSE)=0,"",VLOOKUP(T$1,Lecturas!$N$1:$AA$20,$AC72,FALSE))</f>
        <v/>
      </c>
      <c r="U72" s="163" t="str">
        <f>+IF(VLOOKUP(U$1,Lecturas!$N$1:$AA$20,$AC72,FALSE)=0,"",VLOOKUP(U$1,Lecturas!$N$1:$AA$20,$AC72,FALSE))</f>
        <v/>
      </c>
      <c r="V72" s="156" t="str">
        <f>+IF(VLOOKUP(V$1,Lecturas!$N$1:$AA$20,$AC72,FALSE)=0,"",VLOOKUP(V$1,Lecturas!$N$1:$AA$20,$AC72,FALSE))</f>
        <v/>
      </c>
      <c r="W72" s="156" t="str">
        <f>+IF(VLOOKUP(W$1,Lecturas!$N$1:$AA$20,$AC72,FALSE)=0,"",VLOOKUP(W$1,Lecturas!$N$1:$AA$20,$AC72,FALSE))</f>
        <v/>
      </c>
      <c r="X72" s="156" t="str">
        <f>+IF(VLOOKUP(X$1,Lecturas!$N$1:$AA$20,$AC72,FALSE)=0,"",VLOOKUP(X$1,Lecturas!$N$1:$AA$20,$AC72,FALSE))</f>
        <v/>
      </c>
      <c r="Y72" s="163">
        <f>+IF(VLOOKUP(Y$1,Lecturas!$N$1:$AA$20,$AC72,FALSE)=0,"",VLOOKUP(Y$1,Lecturas!$N$1:$AA$20,$AC72,FALSE))</f>
        <v>7500</v>
      </c>
      <c r="Z72" s="48"/>
      <c r="AA72" s="48"/>
      <c r="AB72" s="48"/>
      <c r="AC72" s="148">
        <f>+'CARGA DE DATOS'!AF73</f>
        <v>6</v>
      </c>
    </row>
    <row r="73" spans="1:29" x14ac:dyDescent="0.25">
      <c r="A73" s="148">
        <f>+'CARGA DE DATOS'!A74</f>
        <v>72</v>
      </c>
      <c r="B73" s="48" t="str">
        <f>+IF(RESULTADOS!H73="","",RESULTADOS!H73)</f>
        <v/>
      </c>
      <c r="C73" s="48" t="str">
        <f>+IF(RESULTADOS!D73="","",RESULTADOS!D73)</f>
        <v/>
      </c>
      <c r="D73" s="160" t="str">
        <f>+IF('CARGA DE DATOS'!K74="Cooperativa","COOP",IF(Salida!AT74="true","PROSU","GD"))</f>
        <v>GD</v>
      </c>
      <c r="E73" s="160" t="s">
        <v>9147</v>
      </c>
      <c r="F73" s="160" t="str">
        <f>+IF(OR(D73="COOP",'CARGA DE DATOS'!K74="GUMA"),"15.02.2022",IF('CARGA DE DATOS'!K74="GUME","05.02.2022","10.02.2022"))</f>
        <v>10.02.2022</v>
      </c>
      <c r="G73" s="163">
        <f>+IF(VLOOKUP(G$1,Lecturas!$N$1:$AA$20,$AC73,FALSE)=0,"",VLOOKUP(G$1,Lecturas!$N$1:$AA$20,$AC73,FALSE))</f>
        <v>150</v>
      </c>
      <c r="H73" s="163">
        <f>+IF(VLOOKUP(H$1,Lecturas!$N$1:$AA$20,$AC73,FALSE)=0,"",VLOOKUP(H$1,Lecturas!$N$1:$AA$20,$AC73,FALSE))</f>
        <v>300</v>
      </c>
      <c r="I73" s="163">
        <f>+IF(VLOOKUP(I$1,Lecturas!$N$1:$AA$20,$AC73,FALSE)=0,"",VLOOKUP(I$1,Lecturas!$N$1:$AA$20,$AC73,FALSE))</f>
        <v>350</v>
      </c>
      <c r="J73" s="156" t="str">
        <f>+IF(VLOOKUP(J$1,Lecturas!$N$1:$AA$20,$AC73,FALSE)=0,"",VLOOKUP(J$1,Lecturas!$N$1:$AA$20,$AC73,FALSE))</f>
        <v/>
      </c>
      <c r="K73" s="156" t="str">
        <f>+IF(VLOOKUP(K$1,Lecturas!$N$1:$AA$20,$AC73,FALSE)=0,"",VLOOKUP(K$1,Lecturas!$N$1:$AA$20,$AC73,FALSE))</f>
        <v/>
      </c>
      <c r="L73" s="156" t="str">
        <f>+IF(VLOOKUP(L$1,Lecturas!$N$1:$AA$20,$AC73,FALSE)=0,"",VLOOKUP(L$1,Lecturas!$N$1:$AA$20,$AC73,FALSE))</f>
        <v/>
      </c>
      <c r="M73" s="163">
        <f>+IF(VLOOKUP(M$1,Lecturas!$N$1:$AA$20,$AC73,FALSE)=0,"",VLOOKUP(M$1,Lecturas!$N$1:$AA$20,$AC73,FALSE))</f>
        <v>2500</v>
      </c>
      <c r="N73" s="163">
        <f>+IF(VLOOKUP(N$1,Lecturas!$N$1:$AA$20,$AC73,FALSE)=0,"",VLOOKUP(N$1,Lecturas!$N$1:$AA$20,$AC73,FALSE))</f>
        <v>2000</v>
      </c>
      <c r="O73" s="163">
        <f>+IF(VLOOKUP(O$1,Lecturas!$N$1:$AA$20,$AC73,FALSE)=0,"",VLOOKUP(O$1,Lecturas!$N$1:$AA$20,$AC73,FALSE))</f>
        <v>3000</v>
      </c>
      <c r="P73" s="156" t="str">
        <f>+IF(VLOOKUP(P$1,Lecturas!$N$1:$AA$20,$AC73,FALSE)=0,"",VLOOKUP(P$1,Lecturas!$N$1:$AA$20,$AC73,FALSE))</f>
        <v/>
      </c>
      <c r="Q73" s="156" t="str">
        <f>+IF(VLOOKUP(Q$1,Lecturas!$N$1:$AA$20,$AC73,FALSE)=0,"",VLOOKUP(Q$1,Lecturas!$N$1:$AA$20,$AC73,FALSE))</f>
        <v/>
      </c>
      <c r="R73" s="156" t="str">
        <f>+IF(VLOOKUP(R$1,Lecturas!$N$1:$AA$20,$AC73,FALSE)=0,"",VLOOKUP(R$1,Lecturas!$N$1:$AA$20,$AC73,FALSE))</f>
        <v/>
      </c>
      <c r="S73" s="163" t="str">
        <f>+IF(VLOOKUP(S$1,Lecturas!$N$1:$AA$20,$AC73,FALSE)=0,"",VLOOKUP(S$1,Lecturas!$N$1:$AA$20,$AC73,FALSE))</f>
        <v/>
      </c>
      <c r="T73" s="163" t="str">
        <f>+IF(VLOOKUP(T$1,Lecturas!$N$1:$AA$20,$AC73,FALSE)=0,"",VLOOKUP(T$1,Lecturas!$N$1:$AA$20,$AC73,FALSE))</f>
        <v/>
      </c>
      <c r="U73" s="163" t="str">
        <f>+IF(VLOOKUP(U$1,Lecturas!$N$1:$AA$20,$AC73,FALSE)=0,"",VLOOKUP(U$1,Lecturas!$N$1:$AA$20,$AC73,FALSE))</f>
        <v/>
      </c>
      <c r="V73" s="156" t="str">
        <f>+IF(VLOOKUP(V$1,Lecturas!$N$1:$AA$20,$AC73,FALSE)=0,"",VLOOKUP(V$1,Lecturas!$N$1:$AA$20,$AC73,FALSE))</f>
        <v/>
      </c>
      <c r="W73" s="156" t="str">
        <f>+IF(VLOOKUP(W$1,Lecturas!$N$1:$AA$20,$AC73,FALSE)=0,"",VLOOKUP(W$1,Lecturas!$N$1:$AA$20,$AC73,FALSE))</f>
        <v/>
      </c>
      <c r="X73" s="156" t="str">
        <f>+IF(VLOOKUP(X$1,Lecturas!$N$1:$AA$20,$AC73,FALSE)=0,"",VLOOKUP(X$1,Lecturas!$N$1:$AA$20,$AC73,FALSE))</f>
        <v/>
      </c>
      <c r="Y73" s="163">
        <f>+IF(VLOOKUP(Y$1,Lecturas!$N$1:$AA$20,$AC73,FALSE)=0,"",VLOOKUP(Y$1,Lecturas!$N$1:$AA$20,$AC73,FALSE))</f>
        <v>500</v>
      </c>
      <c r="Z73" s="48"/>
      <c r="AA73" s="48"/>
      <c r="AB73" s="48"/>
      <c r="AC73" s="148">
        <f>+'CARGA DE DATOS'!AF74</f>
        <v>8</v>
      </c>
    </row>
    <row r="74" spans="1:29" x14ac:dyDescent="0.25">
      <c r="A74" s="148">
        <f>+'CARGA DE DATOS'!A75</f>
        <v>73</v>
      </c>
      <c r="B74" s="48" t="str">
        <f>+IF(RESULTADOS!H74="","",RESULTADOS!H74)</f>
        <v/>
      </c>
      <c r="C74" s="48" t="str">
        <f>+IF(RESULTADOS!D74="","",RESULTADOS!D74)</f>
        <v/>
      </c>
      <c r="D74" s="160" t="str">
        <f>+IF('CARGA DE DATOS'!K75="Cooperativa","COOP",IF(Salida!AT75="true","PROSU","GD"))</f>
        <v>GD</v>
      </c>
      <c r="E74" s="160" t="s">
        <v>9147</v>
      </c>
      <c r="F74" s="160" t="str">
        <f>+IF(OR(D74="COOP",'CARGA DE DATOS'!K75="GUMA"),"15.02.2022",IF('CARGA DE DATOS'!K75="GUME","05.02.2022","10.02.2022"))</f>
        <v>10.02.2022</v>
      </c>
      <c r="G74" s="163">
        <f>+IF(VLOOKUP(G$1,Lecturas!$N$1:$AA$20,$AC74,FALSE)=0,"",VLOOKUP(G$1,Lecturas!$N$1:$AA$20,$AC74,FALSE))</f>
        <v>150</v>
      </c>
      <c r="H74" s="163">
        <f>+IF(VLOOKUP(H$1,Lecturas!$N$1:$AA$20,$AC74,FALSE)=0,"",VLOOKUP(H$1,Lecturas!$N$1:$AA$20,$AC74,FALSE))</f>
        <v>300</v>
      </c>
      <c r="I74" s="163">
        <f>+IF(VLOOKUP(I$1,Lecturas!$N$1:$AA$20,$AC74,FALSE)=0,"",VLOOKUP(I$1,Lecturas!$N$1:$AA$20,$AC74,FALSE))</f>
        <v>150</v>
      </c>
      <c r="J74" s="156" t="str">
        <f>+IF(VLOOKUP(J$1,Lecturas!$N$1:$AA$20,$AC74,FALSE)=0,"",VLOOKUP(J$1,Lecturas!$N$1:$AA$20,$AC74,FALSE))</f>
        <v/>
      </c>
      <c r="K74" s="156" t="str">
        <f>+IF(VLOOKUP(K$1,Lecturas!$N$1:$AA$20,$AC74,FALSE)=0,"",VLOOKUP(K$1,Lecturas!$N$1:$AA$20,$AC74,FALSE))</f>
        <v/>
      </c>
      <c r="L74" s="156" t="str">
        <f>+IF(VLOOKUP(L$1,Lecturas!$N$1:$AA$20,$AC74,FALSE)=0,"",VLOOKUP(L$1,Lecturas!$N$1:$AA$20,$AC74,FALSE))</f>
        <v/>
      </c>
      <c r="M74" s="163">
        <f>+IF(VLOOKUP(M$1,Lecturas!$N$1:$AA$20,$AC74,FALSE)=0,"",VLOOKUP(M$1,Lecturas!$N$1:$AA$20,$AC74,FALSE))</f>
        <v>2500</v>
      </c>
      <c r="N74" s="163">
        <f>+IF(VLOOKUP(N$1,Lecturas!$N$1:$AA$20,$AC74,FALSE)=0,"",VLOOKUP(N$1,Lecturas!$N$1:$AA$20,$AC74,FALSE))</f>
        <v>2000</v>
      </c>
      <c r="O74" s="163">
        <f>+IF(VLOOKUP(O$1,Lecturas!$N$1:$AA$20,$AC74,FALSE)=0,"",VLOOKUP(O$1,Lecturas!$N$1:$AA$20,$AC74,FALSE))</f>
        <v>3000</v>
      </c>
      <c r="P74" s="156" t="str">
        <f>+IF(VLOOKUP(P$1,Lecturas!$N$1:$AA$20,$AC74,FALSE)=0,"",VLOOKUP(P$1,Lecturas!$N$1:$AA$20,$AC74,FALSE))</f>
        <v/>
      </c>
      <c r="Q74" s="156" t="str">
        <f>+IF(VLOOKUP(Q$1,Lecturas!$N$1:$AA$20,$AC74,FALSE)=0,"",VLOOKUP(Q$1,Lecturas!$N$1:$AA$20,$AC74,FALSE))</f>
        <v/>
      </c>
      <c r="R74" s="156" t="str">
        <f>+IF(VLOOKUP(R$1,Lecturas!$N$1:$AA$20,$AC74,FALSE)=0,"",VLOOKUP(R$1,Lecturas!$N$1:$AA$20,$AC74,FALSE))</f>
        <v/>
      </c>
      <c r="S74" s="163" t="str">
        <f>+IF(VLOOKUP(S$1,Lecturas!$N$1:$AA$20,$AC74,FALSE)=0,"",VLOOKUP(S$1,Lecturas!$N$1:$AA$20,$AC74,FALSE))</f>
        <v/>
      </c>
      <c r="T74" s="163" t="str">
        <f>+IF(VLOOKUP(T$1,Lecturas!$N$1:$AA$20,$AC74,FALSE)=0,"",VLOOKUP(T$1,Lecturas!$N$1:$AA$20,$AC74,FALSE))</f>
        <v/>
      </c>
      <c r="U74" s="163" t="str">
        <f>+IF(VLOOKUP(U$1,Lecturas!$N$1:$AA$20,$AC74,FALSE)=0,"",VLOOKUP(U$1,Lecturas!$N$1:$AA$20,$AC74,FALSE))</f>
        <v/>
      </c>
      <c r="V74" s="156" t="str">
        <f>+IF(VLOOKUP(V$1,Lecturas!$N$1:$AA$20,$AC74,FALSE)=0,"",VLOOKUP(V$1,Lecturas!$N$1:$AA$20,$AC74,FALSE))</f>
        <v/>
      </c>
      <c r="W74" s="156" t="str">
        <f>+IF(VLOOKUP(W$1,Lecturas!$N$1:$AA$20,$AC74,FALSE)=0,"",VLOOKUP(W$1,Lecturas!$N$1:$AA$20,$AC74,FALSE))</f>
        <v/>
      </c>
      <c r="X74" s="156" t="str">
        <f>+IF(VLOOKUP(X$1,Lecturas!$N$1:$AA$20,$AC74,FALSE)=0,"",VLOOKUP(X$1,Lecturas!$N$1:$AA$20,$AC74,FALSE))</f>
        <v/>
      </c>
      <c r="Y74" s="163">
        <f>+IF(VLOOKUP(Y$1,Lecturas!$N$1:$AA$20,$AC74,FALSE)=0,"",VLOOKUP(Y$1,Lecturas!$N$1:$AA$20,$AC74,FALSE))</f>
        <v>5000</v>
      </c>
      <c r="Z74" s="48"/>
      <c r="AA74" s="48"/>
      <c r="AB74" s="48"/>
      <c r="AC74" s="148">
        <f>+'CARGA DE DATOS'!AF75</f>
        <v>3</v>
      </c>
    </row>
    <row r="75" spans="1:29" x14ac:dyDescent="0.25">
      <c r="A75" s="148">
        <f>+'CARGA DE DATOS'!A76</f>
        <v>74</v>
      </c>
      <c r="B75" s="48" t="str">
        <f>+IF(RESULTADOS!H75="","",RESULTADOS!H75)</f>
        <v/>
      </c>
      <c r="C75" s="48" t="str">
        <f>+IF(RESULTADOS!D75="","",RESULTADOS!D75)</f>
        <v/>
      </c>
      <c r="D75" s="160" t="str">
        <f>+IF('CARGA DE DATOS'!K76="Cooperativa","COOP",IF(Salida!AT76="true","PROSU","GD"))</f>
        <v>GD</v>
      </c>
      <c r="E75" s="160" t="s">
        <v>9147</v>
      </c>
      <c r="F75" s="160" t="str">
        <f>+IF(OR(D75="COOP",'CARGA DE DATOS'!K76="GUMA"),"15.02.2022",IF('CARGA DE DATOS'!K76="GUME","05.02.2022","10.02.2022"))</f>
        <v>10.02.2022</v>
      </c>
      <c r="G75" s="163">
        <f>+IF(VLOOKUP(G$1,Lecturas!$N$1:$AA$20,$AC75,FALSE)=0,"",VLOOKUP(G$1,Lecturas!$N$1:$AA$20,$AC75,FALSE))</f>
        <v>1500</v>
      </c>
      <c r="H75" s="163">
        <f>+IF(VLOOKUP(H$1,Lecturas!$N$1:$AA$20,$AC75,FALSE)=0,"",VLOOKUP(H$1,Lecturas!$N$1:$AA$20,$AC75,FALSE))</f>
        <v>300</v>
      </c>
      <c r="I75" s="163">
        <f>+IF(VLOOKUP(I$1,Lecturas!$N$1:$AA$20,$AC75,FALSE)=0,"",VLOOKUP(I$1,Lecturas!$N$1:$AA$20,$AC75,FALSE))</f>
        <v>350</v>
      </c>
      <c r="J75" s="156" t="str">
        <f>+IF(VLOOKUP(J$1,Lecturas!$N$1:$AA$20,$AC75,FALSE)=0,"",VLOOKUP(J$1,Lecturas!$N$1:$AA$20,$AC75,FALSE))</f>
        <v/>
      </c>
      <c r="K75" s="156" t="str">
        <f>+IF(VLOOKUP(K$1,Lecturas!$N$1:$AA$20,$AC75,FALSE)=0,"",VLOOKUP(K$1,Lecturas!$N$1:$AA$20,$AC75,FALSE))</f>
        <v/>
      </c>
      <c r="L75" s="156" t="str">
        <f>+IF(VLOOKUP(L$1,Lecturas!$N$1:$AA$20,$AC75,FALSE)=0,"",VLOOKUP(L$1,Lecturas!$N$1:$AA$20,$AC75,FALSE))</f>
        <v/>
      </c>
      <c r="M75" s="163">
        <f>+IF(VLOOKUP(M$1,Lecturas!$N$1:$AA$20,$AC75,FALSE)=0,"",VLOOKUP(M$1,Lecturas!$N$1:$AA$20,$AC75,FALSE))</f>
        <v>2500</v>
      </c>
      <c r="N75" s="163">
        <f>+IF(VLOOKUP(N$1,Lecturas!$N$1:$AA$20,$AC75,FALSE)=0,"",VLOOKUP(N$1,Lecturas!$N$1:$AA$20,$AC75,FALSE))</f>
        <v>2000</v>
      </c>
      <c r="O75" s="163">
        <f>+IF(VLOOKUP(O$1,Lecturas!$N$1:$AA$20,$AC75,FALSE)=0,"",VLOOKUP(O$1,Lecturas!$N$1:$AA$20,$AC75,FALSE))</f>
        <v>3000</v>
      </c>
      <c r="P75" s="156" t="str">
        <f>+IF(VLOOKUP(P$1,Lecturas!$N$1:$AA$20,$AC75,FALSE)=0,"",VLOOKUP(P$1,Lecturas!$N$1:$AA$20,$AC75,FALSE))</f>
        <v/>
      </c>
      <c r="Q75" s="156" t="str">
        <f>+IF(VLOOKUP(Q$1,Lecturas!$N$1:$AA$20,$AC75,FALSE)=0,"",VLOOKUP(Q$1,Lecturas!$N$1:$AA$20,$AC75,FALSE))</f>
        <v/>
      </c>
      <c r="R75" s="156" t="str">
        <f>+IF(VLOOKUP(R$1,Lecturas!$N$1:$AA$20,$AC75,FALSE)=0,"",VLOOKUP(R$1,Lecturas!$N$1:$AA$20,$AC75,FALSE))</f>
        <v/>
      </c>
      <c r="S75" s="163" t="str">
        <f>+IF(VLOOKUP(S$1,Lecturas!$N$1:$AA$20,$AC75,FALSE)=0,"",VLOOKUP(S$1,Lecturas!$N$1:$AA$20,$AC75,FALSE))</f>
        <v/>
      </c>
      <c r="T75" s="163" t="str">
        <f>+IF(VLOOKUP(T$1,Lecturas!$N$1:$AA$20,$AC75,FALSE)=0,"",VLOOKUP(T$1,Lecturas!$N$1:$AA$20,$AC75,FALSE))</f>
        <v/>
      </c>
      <c r="U75" s="163" t="str">
        <f>+IF(VLOOKUP(U$1,Lecturas!$N$1:$AA$20,$AC75,FALSE)=0,"",VLOOKUP(U$1,Lecturas!$N$1:$AA$20,$AC75,FALSE))</f>
        <v/>
      </c>
      <c r="V75" s="156" t="str">
        <f>+IF(VLOOKUP(V$1,Lecturas!$N$1:$AA$20,$AC75,FALSE)=0,"",VLOOKUP(V$1,Lecturas!$N$1:$AA$20,$AC75,FALSE))</f>
        <v/>
      </c>
      <c r="W75" s="156" t="str">
        <f>+IF(VLOOKUP(W$1,Lecturas!$N$1:$AA$20,$AC75,FALSE)=0,"",VLOOKUP(W$1,Lecturas!$N$1:$AA$20,$AC75,FALSE))</f>
        <v/>
      </c>
      <c r="X75" s="156" t="str">
        <f>+IF(VLOOKUP(X$1,Lecturas!$N$1:$AA$20,$AC75,FALSE)=0,"",VLOOKUP(X$1,Lecturas!$N$1:$AA$20,$AC75,FALSE))</f>
        <v/>
      </c>
      <c r="Y75" s="163">
        <f>+IF(VLOOKUP(Y$1,Lecturas!$N$1:$AA$20,$AC75,FALSE)=0,"",VLOOKUP(Y$1,Lecturas!$N$1:$AA$20,$AC75,FALSE))</f>
        <v>6500</v>
      </c>
      <c r="Z75" s="48"/>
      <c r="AA75" s="48"/>
      <c r="AB75" s="48"/>
      <c r="AC75" s="148">
        <f>+'CARGA DE DATOS'!AF76</f>
        <v>9</v>
      </c>
    </row>
    <row r="76" spans="1:29" x14ac:dyDescent="0.25">
      <c r="A76" s="148">
        <f>+'CARGA DE DATOS'!A77</f>
        <v>75</v>
      </c>
      <c r="B76" s="48" t="str">
        <f>+IF(RESULTADOS!H76="","",RESULTADOS!H76)</f>
        <v/>
      </c>
      <c r="C76" s="48" t="str">
        <f>+IF(RESULTADOS!D76="","",RESULTADOS!D76)</f>
        <v/>
      </c>
      <c r="D76" s="160" t="str">
        <f>+IF('CARGA DE DATOS'!K77="Cooperativa","COOP",IF(Salida!AT77="true","PROSU","GD"))</f>
        <v>GD</v>
      </c>
      <c r="E76" s="160" t="s">
        <v>9147</v>
      </c>
      <c r="F76" s="160" t="str">
        <f>+IF(OR(D76="COOP",'CARGA DE DATOS'!K77="GUMA"),"15.02.2022",IF('CARGA DE DATOS'!K77="GUME","05.02.2022","10.02.2022"))</f>
        <v>10.02.2022</v>
      </c>
      <c r="G76" s="163">
        <f>+IF(VLOOKUP(G$1,Lecturas!$N$1:$AA$20,$AC76,FALSE)=0,"",VLOOKUP(G$1,Lecturas!$N$1:$AA$20,$AC76,FALSE))</f>
        <v>1500</v>
      </c>
      <c r="H76" s="163">
        <f>+IF(VLOOKUP(H$1,Lecturas!$N$1:$AA$20,$AC76,FALSE)=0,"",VLOOKUP(H$1,Lecturas!$N$1:$AA$20,$AC76,FALSE))</f>
        <v>300</v>
      </c>
      <c r="I76" s="163">
        <f>+IF(VLOOKUP(I$1,Lecturas!$N$1:$AA$20,$AC76,FALSE)=0,"",VLOOKUP(I$1,Lecturas!$N$1:$AA$20,$AC76,FALSE))</f>
        <v>350</v>
      </c>
      <c r="J76" s="156" t="str">
        <f>+IF(VLOOKUP(J$1,Lecturas!$N$1:$AA$20,$AC76,FALSE)=0,"",VLOOKUP(J$1,Lecturas!$N$1:$AA$20,$AC76,FALSE))</f>
        <v/>
      </c>
      <c r="K76" s="156" t="str">
        <f>+IF(VLOOKUP(K$1,Lecturas!$N$1:$AA$20,$AC76,FALSE)=0,"",VLOOKUP(K$1,Lecturas!$N$1:$AA$20,$AC76,FALSE))</f>
        <v/>
      </c>
      <c r="L76" s="156" t="str">
        <f>+IF(VLOOKUP(L$1,Lecturas!$N$1:$AA$20,$AC76,FALSE)=0,"",VLOOKUP(L$1,Lecturas!$N$1:$AA$20,$AC76,FALSE))</f>
        <v/>
      </c>
      <c r="M76" s="163">
        <f>+IF(VLOOKUP(M$1,Lecturas!$N$1:$AA$20,$AC76,FALSE)=0,"",VLOOKUP(M$1,Lecturas!$N$1:$AA$20,$AC76,FALSE))</f>
        <v>2500</v>
      </c>
      <c r="N76" s="163">
        <f>+IF(VLOOKUP(N$1,Lecturas!$N$1:$AA$20,$AC76,FALSE)=0,"",VLOOKUP(N$1,Lecturas!$N$1:$AA$20,$AC76,FALSE))</f>
        <v>2000</v>
      </c>
      <c r="O76" s="163">
        <f>+IF(VLOOKUP(O$1,Lecturas!$N$1:$AA$20,$AC76,FALSE)=0,"",VLOOKUP(O$1,Lecturas!$N$1:$AA$20,$AC76,FALSE))</f>
        <v>3000</v>
      </c>
      <c r="P76" s="156" t="str">
        <f>+IF(VLOOKUP(P$1,Lecturas!$N$1:$AA$20,$AC76,FALSE)=0,"",VLOOKUP(P$1,Lecturas!$N$1:$AA$20,$AC76,FALSE))</f>
        <v/>
      </c>
      <c r="Q76" s="156" t="str">
        <f>+IF(VLOOKUP(Q$1,Lecturas!$N$1:$AA$20,$AC76,FALSE)=0,"",VLOOKUP(Q$1,Lecturas!$N$1:$AA$20,$AC76,FALSE))</f>
        <v/>
      </c>
      <c r="R76" s="156" t="str">
        <f>+IF(VLOOKUP(R$1,Lecturas!$N$1:$AA$20,$AC76,FALSE)=0,"",VLOOKUP(R$1,Lecturas!$N$1:$AA$20,$AC76,FALSE))</f>
        <v/>
      </c>
      <c r="S76" s="163" t="str">
        <f>+IF(VLOOKUP(S$1,Lecturas!$N$1:$AA$20,$AC76,FALSE)=0,"",VLOOKUP(S$1,Lecturas!$N$1:$AA$20,$AC76,FALSE))</f>
        <v/>
      </c>
      <c r="T76" s="163" t="str">
        <f>+IF(VLOOKUP(T$1,Lecturas!$N$1:$AA$20,$AC76,FALSE)=0,"",VLOOKUP(T$1,Lecturas!$N$1:$AA$20,$AC76,FALSE))</f>
        <v/>
      </c>
      <c r="U76" s="163" t="str">
        <f>+IF(VLOOKUP(U$1,Lecturas!$N$1:$AA$20,$AC76,FALSE)=0,"",VLOOKUP(U$1,Lecturas!$N$1:$AA$20,$AC76,FALSE))</f>
        <v/>
      </c>
      <c r="V76" s="156" t="str">
        <f>+IF(VLOOKUP(V$1,Lecturas!$N$1:$AA$20,$AC76,FALSE)=0,"",VLOOKUP(V$1,Lecturas!$N$1:$AA$20,$AC76,FALSE))</f>
        <v/>
      </c>
      <c r="W76" s="156" t="str">
        <f>+IF(VLOOKUP(W$1,Lecturas!$N$1:$AA$20,$AC76,FALSE)=0,"",VLOOKUP(W$1,Lecturas!$N$1:$AA$20,$AC76,FALSE))</f>
        <v/>
      </c>
      <c r="X76" s="156" t="str">
        <f>+IF(VLOOKUP(X$1,Lecturas!$N$1:$AA$20,$AC76,FALSE)=0,"",VLOOKUP(X$1,Lecturas!$N$1:$AA$20,$AC76,FALSE))</f>
        <v/>
      </c>
      <c r="Y76" s="163">
        <f>+IF(VLOOKUP(Y$1,Lecturas!$N$1:$AA$20,$AC76,FALSE)=0,"",VLOOKUP(Y$1,Lecturas!$N$1:$AA$20,$AC76,FALSE))</f>
        <v>6500</v>
      </c>
      <c r="Z76" s="48"/>
      <c r="AA76" s="48"/>
      <c r="AB76" s="48"/>
      <c r="AC76" s="148">
        <f>+'CARGA DE DATOS'!AF77</f>
        <v>9</v>
      </c>
    </row>
    <row r="77" spans="1:29" x14ac:dyDescent="0.25">
      <c r="A77" s="148">
        <f>+'CARGA DE DATOS'!A78</f>
        <v>76</v>
      </c>
      <c r="B77" s="48" t="str">
        <f>+IF(RESULTADOS!H77="","",RESULTADOS!H77)</f>
        <v/>
      </c>
      <c r="C77" s="48" t="str">
        <f>+IF(RESULTADOS!D77="","",RESULTADOS!D77)</f>
        <v/>
      </c>
      <c r="D77" s="160" t="str">
        <f>+IF('CARGA DE DATOS'!K78="Cooperativa","COOP",IF(Salida!AT78="true","PROSU","GD"))</f>
        <v>GD</v>
      </c>
      <c r="E77" s="160" t="s">
        <v>9147</v>
      </c>
      <c r="F77" s="160" t="str">
        <f>+IF(OR(D77="COOP",'CARGA DE DATOS'!K78="GUMA"),"15.02.2022",IF('CARGA DE DATOS'!K78="GUME","05.02.2022","10.02.2022"))</f>
        <v>10.02.2022</v>
      </c>
      <c r="G77" s="163">
        <f>+IF(VLOOKUP(G$1,Lecturas!$N$1:$AA$20,$AC77,FALSE)=0,"",VLOOKUP(G$1,Lecturas!$N$1:$AA$20,$AC77,FALSE))</f>
        <v>1500</v>
      </c>
      <c r="H77" s="163">
        <f>+IF(VLOOKUP(H$1,Lecturas!$N$1:$AA$20,$AC77,FALSE)=0,"",VLOOKUP(H$1,Lecturas!$N$1:$AA$20,$AC77,FALSE))</f>
        <v>1550</v>
      </c>
      <c r="I77" s="163">
        <f>+IF(VLOOKUP(I$1,Lecturas!$N$1:$AA$20,$AC77,FALSE)=0,"",VLOOKUP(I$1,Lecturas!$N$1:$AA$20,$AC77,FALSE))</f>
        <v>1550</v>
      </c>
      <c r="J77" s="156" t="str">
        <f>+IF(VLOOKUP(J$1,Lecturas!$N$1:$AA$20,$AC77,FALSE)=0,"",VLOOKUP(J$1,Lecturas!$N$1:$AA$20,$AC77,FALSE))</f>
        <v/>
      </c>
      <c r="K77" s="156" t="str">
        <f>+IF(VLOOKUP(K$1,Lecturas!$N$1:$AA$20,$AC77,FALSE)=0,"",VLOOKUP(K$1,Lecturas!$N$1:$AA$20,$AC77,FALSE))</f>
        <v/>
      </c>
      <c r="L77" s="156" t="str">
        <f>+IF(VLOOKUP(L$1,Lecturas!$N$1:$AA$20,$AC77,FALSE)=0,"",VLOOKUP(L$1,Lecturas!$N$1:$AA$20,$AC77,FALSE))</f>
        <v/>
      </c>
      <c r="M77" s="163">
        <f>+IF(VLOOKUP(M$1,Lecturas!$N$1:$AA$20,$AC77,FALSE)=0,"",VLOOKUP(M$1,Lecturas!$N$1:$AA$20,$AC77,FALSE))</f>
        <v>2500</v>
      </c>
      <c r="N77" s="163">
        <f>+IF(VLOOKUP(N$1,Lecturas!$N$1:$AA$20,$AC77,FALSE)=0,"",VLOOKUP(N$1,Lecturas!$N$1:$AA$20,$AC77,FALSE))</f>
        <v>2000</v>
      </c>
      <c r="O77" s="163">
        <f>+IF(VLOOKUP(O$1,Lecturas!$N$1:$AA$20,$AC77,FALSE)=0,"",VLOOKUP(O$1,Lecturas!$N$1:$AA$20,$AC77,FALSE))</f>
        <v>3000</v>
      </c>
      <c r="P77" s="156" t="str">
        <f>+IF(VLOOKUP(P$1,Lecturas!$N$1:$AA$20,$AC77,FALSE)=0,"",VLOOKUP(P$1,Lecturas!$N$1:$AA$20,$AC77,FALSE))</f>
        <v/>
      </c>
      <c r="Q77" s="156" t="str">
        <f>+IF(VLOOKUP(Q$1,Lecturas!$N$1:$AA$20,$AC77,FALSE)=0,"",VLOOKUP(Q$1,Lecturas!$N$1:$AA$20,$AC77,FALSE))</f>
        <v/>
      </c>
      <c r="R77" s="156" t="str">
        <f>+IF(VLOOKUP(R$1,Lecturas!$N$1:$AA$20,$AC77,FALSE)=0,"",VLOOKUP(R$1,Lecturas!$N$1:$AA$20,$AC77,FALSE))</f>
        <v/>
      </c>
      <c r="S77" s="163" t="str">
        <f>+IF(VLOOKUP(S$1,Lecturas!$N$1:$AA$20,$AC77,FALSE)=0,"",VLOOKUP(S$1,Lecturas!$N$1:$AA$20,$AC77,FALSE))</f>
        <v/>
      </c>
      <c r="T77" s="163" t="str">
        <f>+IF(VLOOKUP(T$1,Lecturas!$N$1:$AA$20,$AC77,FALSE)=0,"",VLOOKUP(T$1,Lecturas!$N$1:$AA$20,$AC77,FALSE))</f>
        <v/>
      </c>
      <c r="U77" s="163" t="str">
        <f>+IF(VLOOKUP(U$1,Lecturas!$N$1:$AA$20,$AC77,FALSE)=0,"",VLOOKUP(U$1,Lecturas!$N$1:$AA$20,$AC77,FALSE))</f>
        <v/>
      </c>
      <c r="V77" s="156" t="str">
        <f>+IF(VLOOKUP(V$1,Lecturas!$N$1:$AA$20,$AC77,FALSE)=0,"",VLOOKUP(V$1,Lecturas!$N$1:$AA$20,$AC77,FALSE))</f>
        <v/>
      </c>
      <c r="W77" s="156" t="str">
        <f>+IF(VLOOKUP(W$1,Lecturas!$N$1:$AA$20,$AC77,FALSE)=0,"",VLOOKUP(W$1,Lecturas!$N$1:$AA$20,$AC77,FALSE))</f>
        <v/>
      </c>
      <c r="X77" s="156" t="str">
        <f>+IF(VLOOKUP(X$1,Lecturas!$N$1:$AA$20,$AC77,FALSE)=0,"",VLOOKUP(X$1,Lecturas!$N$1:$AA$20,$AC77,FALSE))</f>
        <v/>
      </c>
      <c r="Y77" s="163">
        <f>+IF(VLOOKUP(Y$1,Lecturas!$N$1:$AA$20,$AC77,FALSE)=0,"",VLOOKUP(Y$1,Lecturas!$N$1:$AA$20,$AC77,FALSE))</f>
        <v>7500</v>
      </c>
      <c r="Z77" s="48"/>
      <c r="AA77" s="48"/>
      <c r="AB77" s="48"/>
      <c r="AC77" s="148">
        <f>+'CARGA DE DATOS'!AF78</f>
        <v>7</v>
      </c>
    </row>
    <row r="78" spans="1:29" x14ac:dyDescent="0.25">
      <c r="A78" s="148">
        <f>+'CARGA DE DATOS'!A79</f>
        <v>77</v>
      </c>
      <c r="B78" s="48" t="str">
        <f>+IF(RESULTADOS!H78="","",RESULTADOS!H78)</f>
        <v/>
      </c>
      <c r="C78" s="48" t="str">
        <f>+IF(RESULTADOS!D78="","",RESULTADOS!D78)</f>
        <v/>
      </c>
      <c r="D78" s="160" t="str">
        <f>+IF('CARGA DE DATOS'!K79="Cooperativa","COOP",IF(Salida!AT79="true","PROSU","GD"))</f>
        <v>GD</v>
      </c>
      <c r="E78" s="160" t="s">
        <v>9147</v>
      </c>
      <c r="F78" s="160" t="str">
        <f>+IF(OR(D78="COOP",'CARGA DE DATOS'!K79="GUMA"),"15.02.2022",IF('CARGA DE DATOS'!K79="GUME","05.02.2022","10.02.2022"))</f>
        <v>10.02.2022</v>
      </c>
      <c r="G78" s="163">
        <f>+IF(VLOOKUP(G$1,Lecturas!$N$1:$AA$20,$AC78,FALSE)=0,"",VLOOKUP(G$1,Lecturas!$N$1:$AA$20,$AC78,FALSE))</f>
        <v>150</v>
      </c>
      <c r="H78" s="163">
        <f>+IF(VLOOKUP(H$1,Lecturas!$N$1:$AA$20,$AC78,FALSE)=0,"",VLOOKUP(H$1,Lecturas!$N$1:$AA$20,$AC78,FALSE))</f>
        <v>300</v>
      </c>
      <c r="I78" s="163">
        <f>+IF(VLOOKUP(I$1,Lecturas!$N$1:$AA$20,$AC78,FALSE)=0,"",VLOOKUP(I$1,Lecturas!$N$1:$AA$20,$AC78,FALSE))</f>
        <v>350</v>
      </c>
      <c r="J78" s="156" t="str">
        <f>+IF(VLOOKUP(J$1,Lecturas!$N$1:$AA$20,$AC78,FALSE)=0,"",VLOOKUP(J$1,Lecturas!$N$1:$AA$20,$AC78,FALSE))</f>
        <v/>
      </c>
      <c r="K78" s="156" t="str">
        <f>+IF(VLOOKUP(K$1,Lecturas!$N$1:$AA$20,$AC78,FALSE)=0,"",VLOOKUP(K$1,Lecturas!$N$1:$AA$20,$AC78,FALSE))</f>
        <v/>
      </c>
      <c r="L78" s="156" t="str">
        <f>+IF(VLOOKUP(L$1,Lecturas!$N$1:$AA$20,$AC78,FALSE)=0,"",VLOOKUP(L$1,Lecturas!$N$1:$AA$20,$AC78,FALSE))</f>
        <v/>
      </c>
      <c r="M78" s="163">
        <f>+IF(VLOOKUP(M$1,Lecturas!$N$1:$AA$20,$AC78,FALSE)=0,"",VLOOKUP(M$1,Lecturas!$N$1:$AA$20,$AC78,FALSE))</f>
        <v>2500</v>
      </c>
      <c r="N78" s="163">
        <f>+IF(VLOOKUP(N$1,Lecturas!$N$1:$AA$20,$AC78,FALSE)=0,"",VLOOKUP(N$1,Lecturas!$N$1:$AA$20,$AC78,FALSE))</f>
        <v>2000</v>
      </c>
      <c r="O78" s="163">
        <f>+IF(VLOOKUP(O$1,Lecturas!$N$1:$AA$20,$AC78,FALSE)=0,"",VLOOKUP(O$1,Lecturas!$N$1:$AA$20,$AC78,FALSE))</f>
        <v>3000</v>
      </c>
      <c r="P78" s="156" t="str">
        <f>+IF(VLOOKUP(P$1,Lecturas!$N$1:$AA$20,$AC78,FALSE)=0,"",VLOOKUP(P$1,Lecturas!$N$1:$AA$20,$AC78,FALSE))</f>
        <v/>
      </c>
      <c r="Q78" s="156" t="str">
        <f>+IF(VLOOKUP(Q$1,Lecturas!$N$1:$AA$20,$AC78,FALSE)=0,"",VLOOKUP(Q$1,Lecturas!$N$1:$AA$20,$AC78,FALSE))</f>
        <v/>
      </c>
      <c r="R78" s="156" t="str">
        <f>+IF(VLOOKUP(R$1,Lecturas!$N$1:$AA$20,$AC78,FALSE)=0,"",VLOOKUP(R$1,Lecturas!$N$1:$AA$20,$AC78,FALSE))</f>
        <v/>
      </c>
      <c r="S78" s="163" t="str">
        <f>+IF(VLOOKUP(S$1,Lecturas!$N$1:$AA$20,$AC78,FALSE)=0,"",VLOOKUP(S$1,Lecturas!$N$1:$AA$20,$AC78,FALSE))</f>
        <v/>
      </c>
      <c r="T78" s="163" t="str">
        <f>+IF(VLOOKUP(T$1,Lecturas!$N$1:$AA$20,$AC78,FALSE)=0,"",VLOOKUP(T$1,Lecturas!$N$1:$AA$20,$AC78,FALSE))</f>
        <v/>
      </c>
      <c r="U78" s="163" t="str">
        <f>+IF(VLOOKUP(U$1,Lecturas!$N$1:$AA$20,$AC78,FALSE)=0,"",VLOOKUP(U$1,Lecturas!$N$1:$AA$20,$AC78,FALSE))</f>
        <v/>
      </c>
      <c r="V78" s="156" t="str">
        <f>+IF(VLOOKUP(V$1,Lecturas!$N$1:$AA$20,$AC78,FALSE)=0,"",VLOOKUP(V$1,Lecturas!$N$1:$AA$20,$AC78,FALSE))</f>
        <v/>
      </c>
      <c r="W78" s="156" t="str">
        <f>+IF(VLOOKUP(W$1,Lecturas!$N$1:$AA$20,$AC78,FALSE)=0,"",VLOOKUP(W$1,Lecturas!$N$1:$AA$20,$AC78,FALSE))</f>
        <v/>
      </c>
      <c r="X78" s="156" t="str">
        <f>+IF(VLOOKUP(X$1,Lecturas!$N$1:$AA$20,$AC78,FALSE)=0,"",VLOOKUP(X$1,Lecturas!$N$1:$AA$20,$AC78,FALSE))</f>
        <v/>
      </c>
      <c r="Y78" s="163">
        <f>+IF(VLOOKUP(Y$1,Lecturas!$N$1:$AA$20,$AC78,FALSE)=0,"",VLOOKUP(Y$1,Lecturas!$N$1:$AA$20,$AC78,FALSE))</f>
        <v>2460</v>
      </c>
      <c r="Z78" s="48"/>
      <c r="AA78" s="48"/>
      <c r="AB78" s="48"/>
      <c r="AC78" s="148">
        <f>+'CARGA DE DATOS'!AF79</f>
        <v>5</v>
      </c>
    </row>
    <row r="79" spans="1:29" x14ac:dyDescent="0.25">
      <c r="A79" s="148">
        <f>+'CARGA DE DATOS'!A80</f>
        <v>78</v>
      </c>
      <c r="B79" s="48" t="str">
        <f>+IF(RESULTADOS!H79="","",RESULTADOS!H79)</f>
        <v/>
      </c>
      <c r="C79" s="48" t="str">
        <f>+IF(RESULTADOS!D79="","",RESULTADOS!D79)</f>
        <v/>
      </c>
      <c r="D79" s="160" t="str">
        <f>+IF('CARGA DE DATOS'!K80="Cooperativa","COOP",IF(Salida!AT80="true","PROSU","GD"))</f>
        <v>GD</v>
      </c>
      <c r="E79" s="160" t="s">
        <v>9147</v>
      </c>
      <c r="F79" s="160" t="str">
        <f>+IF(OR(D79="COOP",'CARGA DE DATOS'!K80="GUMA"),"15.02.2022",IF('CARGA DE DATOS'!K80="GUME","05.02.2022","10.02.2022"))</f>
        <v>10.02.2022</v>
      </c>
      <c r="G79" s="163">
        <f>+IF(VLOOKUP(G$1,Lecturas!$N$1:$AA$20,$AC79,FALSE)=0,"",VLOOKUP(G$1,Lecturas!$N$1:$AA$20,$AC79,FALSE))</f>
        <v>1000</v>
      </c>
      <c r="H79" s="163">
        <f>+IF(VLOOKUP(H$1,Lecturas!$N$1:$AA$20,$AC79,FALSE)=0,"",VLOOKUP(H$1,Lecturas!$N$1:$AA$20,$AC79,FALSE))</f>
        <v>150</v>
      </c>
      <c r="I79" s="163">
        <f>+IF(VLOOKUP(I$1,Lecturas!$N$1:$AA$20,$AC79,FALSE)=0,"",VLOOKUP(I$1,Lecturas!$N$1:$AA$20,$AC79,FALSE))</f>
        <v>350</v>
      </c>
      <c r="J79" s="156" t="str">
        <f>+IF(VLOOKUP(J$1,Lecturas!$N$1:$AA$20,$AC79,FALSE)=0,"",VLOOKUP(J$1,Lecturas!$N$1:$AA$20,$AC79,FALSE))</f>
        <v/>
      </c>
      <c r="K79" s="156" t="str">
        <f>+IF(VLOOKUP(K$1,Lecturas!$N$1:$AA$20,$AC79,FALSE)=0,"",VLOOKUP(K$1,Lecturas!$N$1:$AA$20,$AC79,FALSE))</f>
        <v/>
      </c>
      <c r="L79" s="156" t="str">
        <f>+IF(VLOOKUP(L$1,Lecturas!$N$1:$AA$20,$AC79,FALSE)=0,"",VLOOKUP(L$1,Lecturas!$N$1:$AA$20,$AC79,FALSE))</f>
        <v/>
      </c>
      <c r="M79" s="163">
        <f>+IF(VLOOKUP(M$1,Lecturas!$N$1:$AA$20,$AC79,FALSE)=0,"",VLOOKUP(M$1,Lecturas!$N$1:$AA$20,$AC79,FALSE))</f>
        <v>2500</v>
      </c>
      <c r="N79" s="163">
        <f>+IF(VLOOKUP(N$1,Lecturas!$N$1:$AA$20,$AC79,FALSE)=0,"",VLOOKUP(N$1,Lecturas!$N$1:$AA$20,$AC79,FALSE))</f>
        <v>2000</v>
      </c>
      <c r="O79" s="163">
        <f>+IF(VLOOKUP(O$1,Lecturas!$N$1:$AA$20,$AC79,FALSE)=0,"",VLOOKUP(O$1,Lecturas!$N$1:$AA$20,$AC79,FALSE))</f>
        <v>3000</v>
      </c>
      <c r="P79" s="156" t="str">
        <f>+IF(VLOOKUP(P$1,Lecturas!$N$1:$AA$20,$AC79,FALSE)=0,"",VLOOKUP(P$1,Lecturas!$N$1:$AA$20,$AC79,FALSE))</f>
        <v/>
      </c>
      <c r="Q79" s="156" t="str">
        <f>+IF(VLOOKUP(Q$1,Lecturas!$N$1:$AA$20,$AC79,FALSE)=0,"",VLOOKUP(Q$1,Lecturas!$N$1:$AA$20,$AC79,FALSE))</f>
        <v/>
      </c>
      <c r="R79" s="156" t="str">
        <f>+IF(VLOOKUP(R$1,Lecturas!$N$1:$AA$20,$AC79,FALSE)=0,"",VLOOKUP(R$1,Lecturas!$N$1:$AA$20,$AC79,FALSE))</f>
        <v/>
      </c>
      <c r="S79" s="163" t="str">
        <f>+IF(VLOOKUP(S$1,Lecturas!$N$1:$AA$20,$AC79,FALSE)=0,"",VLOOKUP(S$1,Lecturas!$N$1:$AA$20,$AC79,FALSE))</f>
        <v/>
      </c>
      <c r="T79" s="163" t="str">
        <f>+IF(VLOOKUP(T$1,Lecturas!$N$1:$AA$20,$AC79,FALSE)=0,"",VLOOKUP(T$1,Lecturas!$N$1:$AA$20,$AC79,FALSE))</f>
        <v/>
      </c>
      <c r="U79" s="163" t="str">
        <f>+IF(VLOOKUP(U$1,Lecturas!$N$1:$AA$20,$AC79,FALSE)=0,"",VLOOKUP(U$1,Lecturas!$N$1:$AA$20,$AC79,FALSE))</f>
        <v/>
      </c>
      <c r="V79" s="156" t="str">
        <f>+IF(VLOOKUP(V$1,Lecturas!$N$1:$AA$20,$AC79,FALSE)=0,"",VLOOKUP(V$1,Lecturas!$N$1:$AA$20,$AC79,FALSE))</f>
        <v/>
      </c>
      <c r="W79" s="156" t="str">
        <f>+IF(VLOOKUP(W$1,Lecturas!$N$1:$AA$20,$AC79,FALSE)=0,"",VLOOKUP(W$1,Lecturas!$N$1:$AA$20,$AC79,FALSE))</f>
        <v/>
      </c>
      <c r="X79" s="156" t="str">
        <f>+IF(VLOOKUP(X$1,Lecturas!$N$1:$AA$20,$AC79,FALSE)=0,"",VLOOKUP(X$1,Lecturas!$N$1:$AA$20,$AC79,FALSE))</f>
        <v/>
      </c>
      <c r="Y79" s="163">
        <f>+IF(VLOOKUP(Y$1,Lecturas!$N$1:$AA$20,$AC79,FALSE)=0,"",VLOOKUP(Y$1,Lecturas!$N$1:$AA$20,$AC79,FALSE))</f>
        <v>7500</v>
      </c>
      <c r="Z79" s="48"/>
      <c r="AA79" s="48"/>
      <c r="AB79" s="48"/>
      <c r="AC79" s="148">
        <f>+'CARGA DE DATOS'!AF80</f>
        <v>6</v>
      </c>
    </row>
    <row r="80" spans="1:29" x14ac:dyDescent="0.25">
      <c r="A80" s="148">
        <f>+'CARGA DE DATOS'!A81</f>
        <v>79</v>
      </c>
      <c r="B80" s="48" t="str">
        <f>+IF(RESULTADOS!H80="","",RESULTADOS!H80)</f>
        <v/>
      </c>
      <c r="C80" s="48" t="str">
        <f>+IF(RESULTADOS!D80="","",RESULTADOS!D80)</f>
        <v/>
      </c>
      <c r="D80" s="160" t="str">
        <f>+IF('CARGA DE DATOS'!K81="Cooperativa","COOP",IF(Salida!AT81="true","PROSU","GD"))</f>
        <v>GD</v>
      </c>
      <c r="E80" s="160" t="s">
        <v>9147</v>
      </c>
      <c r="F80" s="160" t="str">
        <f>+IF(OR(D80="COOP",'CARGA DE DATOS'!K81="GUMA"),"15.02.2022",IF('CARGA DE DATOS'!K81="GUME","05.02.2022","10.02.2022"))</f>
        <v>10.02.2022</v>
      </c>
      <c r="G80" s="163">
        <f>+IF(VLOOKUP(G$1,Lecturas!$N$1:$AA$20,$AC80,FALSE)=0,"",VLOOKUP(G$1,Lecturas!$N$1:$AA$20,$AC80,FALSE))</f>
        <v>1500</v>
      </c>
      <c r="H80" s="163">
        <f>+IF(VLOOKUP(H$1,Lecturas!$N$1:$AA$20,$AC80,FALSE)=0,"",VLOOKUP(H$1,Lecturas!$N$1:$AA$20,$AC80,FALSE))</f>
        <v>1550</v>
      </c>
      <c r="I80" s="163">
        <f>+IF(VLOOKUP(I$1,Lecturas!$N$1:$AA$20,$AC80,FALSE)=0,"",VLOOKUP(I$1,Lecturas!$N$1:$AA$20,$AC80,FALSE))</f>
        <v>1550</v>
      </c>
      <c r="J80" s="156" t="str">
        <f>+IF(VLOOKUP(J$1,Lecturas!$N$1:$AA$20,$AC80,FALSE)=0,"",VLOOKUP(J$1,Lecturas!$N$1:$AA$20,$AC80,FALSE))</f>
        <v/>
      </c>
      <c r="K80" s="156" t="str">
        <f>+IF(VLOOKUP(K$1,Lecturas!$N$1:$AA$20,$AC80,FALSE)=0,"",VLOOKUP(K$1,Lecturas!$N$1:$AA$20,$AC80,FALSE))</f>
        <v/>
      </c>
      <c r="L80" s="156" t="str">
        <f>+IF(VLOOKUP(L$1,Lecturas!$N$1:$AA$20,$AC80,FALSE)=0,"",VLOOKUP(L$1,Lecturas!$N$1:$AA$20,$AC80,FALSE))</f>
        <v/>
      </c>
      <c r="M80" s="163">
        <f>+IF(VLOOKUP(M$1,Lecturas!$N$1:$AA$20,$AC80,FALSE)=0,"",VLOOKUP(M$1,Lecturas!$N$1:$AA$20,$AC80,FALSE))</f>
        <v>2500</v>
      </c>
      <c r="N80" s="163">
        <f>+IF(VLOOKUP(N$1,Lecturas!$N$1:$AA$20,$AC80,FALSE)=0,"",VLOOKUP(N$1,Lecturas!$N$1:$AA$20,$AC80,FALSE))</f>
        <v>2000</v>
      </c>
      <c r="O80" s="163">
        <f>+IF(VLOOKUP(O$1,Lecturas!$N$1:$AA$20,$AC80,FALSE)=0,"",VLOOKUP(O$1,Lecturas!$N$1:$AA$20,$AC80,FALSE))</f>
        <v>3000</v>
      </c>
      <c r="P80" s="156" t="str">
        <f>+IF(VLOOKUP(P$1,Lecturas!$N$1:$AA$20,$AC80,FALSE)=0,"",VLOOKUP(P$1,Lecturas!$N$1:$AA$20,$AC80,FALSE))</f>
        <v/>
      </c>
      <c r="Q80" s="156" t="str">
        <f>+IF(VLOOKUP(Q$1,Lecturas!$N$1:$AA$20,$AC80,FALSE)=0,"",VLOOKUP(Q$1,Lecturas!$N$1:$AA$20,$AC80,FALSE))</f>
        <v/>
      </c>
      <c r="R80" s="156" t="str">
        <f>+IF(VLOOKUP(R$1,Lecturas!$N$1:$AA$20,$AC80,FALSE)=0,"",VLOOKUP(R$1,Lecturas!$N$1:$AA$20,$AC80,FALSE))</f>
        <v/>
      </c>
      <c r="S80" s="163" t="str">
        <f>+IF(VLOOKUP(S$1,Lecturas!$N$1:$AA$20,$AC80,FALSE)=0,"",VLOOKUP(S$1,Lecturas!$N$1:$AA$20,$AC80,FALSE))</f>
        <v/>
      </c>
      <c r="T80" s="163" t="str">
        <f>+IF(VLOOKUP(T$1,Lecturas!$N$1:$AA$20,$AC80,FALSE)=0,"",VLOOKUP(T$1,Lecturas!$N$1:$AA$20,$AC80,FALSE))</f>
        <v/>
      </c>
      <c r="U80" s="163" t="str">
        <f>+IF(VLOOKUP(U$1,Lecturas!$N$1:$AA$20,$AC80,FALSE)=0,"",VLOOKUP(U$1,Lecturas!$N$1:$AA$20,$AC80,FALSE))</f>
        <v/>
      </c>
      <c r="V80" s="156" t="str">
        <f>+IF(VLOOKUP(V$1,Lecturas!$N$1:$AA$20,$AC80,FALSE)=0,"",VLOOKUP(V$1,Lecturas!$N$1:$AA$20,$AC80,FALSE))</f>
        <v/>
      </c>
      <c r="W80" s="156" t="str">
        <f>+IF(VLOOKUP(W$1,Lecturas!$N$1:$AA$20,$AC80,FALSE)=0,"",VLOOKUP(W$1,Lecturas!$N$1:$AA$20,$AC80,FALSE))</f>
        <v/>
      </c>
      <c r="X80" s="156" t="str">
        <f>+IF(VLOOKUP(X$1,Lecturas!$N$1:$AA$20,$AC80,FALSE)=0,"",VLOOKUP(X$1,Lecturas!$N$1:$AA$20,$AC80,FALSE))</f>
        <v/>
      </c>
      <c r="Y80" s="163">
        <f>+IF(VLOOKUP(Y$1,Lecturas!$N$1:$AA$20,$AC80,FALSE)=0,"",VLOOKUP(Y$1,Lecturas!$N$1:$AA$20,$AC80,FALSE))</f>
        <v>7500</v>
      </c>
      <c r="Z80" s="48"/>
      <c r="AA80" s="48"/>
      <c r="AB80" s="48"/>
      <c r="AC80" s="148">
        <f>+'CARGA DE DATOS'!AF81</f>
        <v>7</v>
      </c>
    </row>
    <row r="81" spans="1:29" x14ac:dyDescent="0.25">
      <c r="A81" s="148">
        <f>+'CARGA DE DATOS'!A82</f>
        <v>80</v>
      </c>
      <c r="B81" s="48" t="str">
        <f>+IF(RESULTADOS!H81="","",RESULTADOS!H81)</f>
        <v/>
      </c>
      <c r="C81" s="48" t="str">
        <f>+IF(RESULTADOS!D81="","",RESULTADOS!D81)</f>
        <v/>
      </c>
      <c r="D81" s="160" t="str">
        <f>+IF('CARGA DE DATOS'!K82="Cooperativa","COOP",IF(Salida!AT82="true","PROSU","GD"))</f>
        <v>GD</v>
      </c>
      <c r="E81" s="160" t="s">
        <v>9147</v>
      </c>
      <c r="F81" s="160" t="str">
        <f>+IF(OR(D81="COOP",'CARGA DE DATOS'!K82="GUMA"),"15.02.2022",IF('CARGA DE DATOS'!K82="GUME","05.02.2022","10.02.2022"))</f>
        <v>10.02.2022</v>
      </c>
      <c r="G81" s="163">
        <f>+IF(VLOOKUP(G$1,Lecturas!$N$1:$AA$20,$AC81,FALSE)=0,"",VLOOKUP(G$1,Lecturas!$N$1:$AA$20,$AC81,FALSE))</f>
        <v>1000</v>
      </c>
      <c r="H81" s="163">
        <f>+IF(VLOOKUP(H$1,Lecturas!$N$1:$AA$20,$AC81,FALSE)=0,"",VLOOKUP(H$1,Lecturas!$N$1:$AA$20,$AC81,FALSE))</f>
        <v>150</v>
      </c>
      <c r="I81" s="163">
        <f>+IF(VLOOKUP(I$1,Lecturas!$N$1:$AA$20,$AC81,FALSE)=0,"",VLOOKUP(I$1,Lecturas!$N$1:$AA$20,$AC81,FALSE))</f>
        <v>350</v>
      </c>
      <c r="J81" s="156" t="str">
        <f>+IF(VLOOKUP(J$1,Lecturas!$N$1:$AA$20,$AC81,FALSE)=0,"",VLOOKUP(J$1,Lecturas!$N$1:$AA$20,$AC81,FALSE))</f>
        <v/>
      </c>
      <c r="K81" s="156" t="str">
        <f>+IF(VLOOKUP(K$1,Lecturas!$N$1:$AA$20,$AC81,FALSE)=0,"",VLOOKUP(K$1,Lecturas!$N$1:$AA$20,$AC81,FALSE))</f>
        <v/>
      </c>
      <c r="L81" s="156" t="str">
        <f>+IF(VLOOKUP(L$1,Lecturas!$N$1:$AA$20,$AC81,FALSE)=0,"",VLOOKUP(L$1,Lecturas!$N$1:$AA$20,$AC81,FALSE))</f>
        <v/>
      </c>
      <c r="M81" s="163">
        <f>+IF(VLOOKUP(M$1,Lecturas!$N$1:$AA$20,$AC81,FALSE)=0,"",VLOOKUP(M$1,Lecturas!$N$1:$AA$20,$AC81,FALSE))</f>
        <v>2500</v>
      </c>
      <c r="N81" s="163">
        <f>+IF(VLOOKUP(N$1,Lecturas!$N$1:$AA$20,$AC81,FALSE)=0,"",VLOOKUP(N$1,Lecturas!$N$1:$AA$20,$AC81,FALSE))</f>
        <v>2000</v>
      </c>
      <c r="O81" s="163">
        <f>+IF(VLOOKUP(O$1,Lecturas!$N$1:$AA$20,$AC81,FALSE)=0,"",VLOOKUP(O$1,Lecturas!$N$1:$AA$20,$AC81,FALSE))</f>
        <v>3000</v>
      </c>
      <c r="P81" s="156" t="str">
        <f>+IF(VLOOKUP(P$1,Lecturas!$N$1:$AA$20,$AC81,FALSE)=0,"",VLOOKUP(P$1,Lecturas!$N$1:$AA$20,$AC81,FALSE))</f>
        <v/>
      </c>
      <c r="Q81" s="156" t="str">
        <f>+IF(VLOOKUP(Q$1,Lecturas!$N$1:$AA$20,$AC81,FALSE)=0,"",VLOOKUP(Q$1,Lecturas!$N$1:$AA$20,$AC81,FALSE))</f>
        <v/>
      </c>
      <c r="R81" s="156" t="str">
        <f>+IF(VLOOKUP(R$1,Lecturas!$N$1:$AA$20,$AC81,FALSE)=0,"",VLOOKUP(R$1,Lecturas!$N$1:$AA$20,$AC81,FALSE))</f>
        <v/>
      </c>
      <c r="S81" s="163" t="str">
        <f>+IF(VLOOKUP(S$1,Lecturas!$N$1:$AA$20,$AC81,FALSE)=0,"",VLOOKUP(S$1,Lecturas!$N$1:$AA$20,$AC81,FALSE))</f>
        <v/>
      </c>
      <c r="T81" s="163" t="str">
        <f>+IF(VLOOKUP(T$1,Lecturas!$N$1:$AA$20,$AC81,FALSE)=0,"",VLOOKUP(T$1,Lecturas!$N$1:$AA$20,$AC81,FALSE))</f>
        <v/>
      </c>
      <c r="U81" s="163" t="str">
        <f>+IF(VLOOKUP(U$1,Lecturas!$N$1:$AA$20,$AC81,FALSE)=0,"",VLOOKUP(U$1,Lecturas!$N$1:$AA$20,$AC81,FALSE))</f>
        <v/>
      </c>
      <c r="V81" s="156" t="str">
        <f>+IF(VLOOKUP(V$1,Lecturas!$N$1:$AA$20,$AC81,FALSE)=0,"",VLOOKUP(V$1,Lecturas!$N$1:$AA$20,$AC81,FALSE))</f>
        <v/>
      </c>
      <c r="W81" s="156" t="str">
        <f>+IF(VLOOKUP(W$1,Lecturas!$N$1:$AA$20,$AC81,FALSE)=0,"",VLOOKUP(W$1,Lecturas!$N$1:$AA$20,$AC81,FALSE))</f>
        <v/>
      </c>
      <c r="X81" s="156" t="str">
        <f>+IF(VLOOKUP(X$1,Lecturas!$N$1:$AA$20,$AC81,FALSE)=0,"",VLOOKUP(X$1,Lecturas!$N$1:$AA$20,$AC81,FALSE))</f>
        <v/>
      </c>
      <c r="Y81" s="163">
        <f>+IF(VLOOKUP(Y$1,Lecturas!$N$1:$AA$20,$AC81,FALSE)=0,"",VLOOKUP(Y$1,Lecturas!$N$1:$AA$20,$AC81,FALSE))</f>
        <v>7500</v>
      </c>
      <c r="Z81" s="48"/>
      <c r="AA81" s="48"/>
      <c r="AB81" s="48"/>
      <c r="AC81" s="148">
        <f>+'CARGA DE DATOS'!AF82</f>
        <v>6</v>
      </c>
    </row>
    <row r="82" spans="1:29" x14ac:dyDescent="0.25">
      <c r="A82" s="148">
        <f>+'CARGA DE DATOS'!A83</f>
        <v>81</v>
      </c>
      <c r="B82" s="48" t="str">
        <f>+IF(RESULTADOS!H82="","",RESULTADOS!H82)</f>
        <v/>
      </c>
      <c r="C82" s="48" t="str">
        <f>+IF(RESULTADOS!D82="","",RESULTADOS!D82)</f>
        <v/>
      </c>
      <c r="D82" s="160" t="str">
        <f>+IF('CARGA DE DATOS'!K83="Cooperativa","COOP",IF(Salida!AT83="true","PROSU","GD"))</f>
        <v>GD</v>
      </c>
      <c r="E82" s="160" t="s">
        <v>9147</v>
      </c>
      <c r="F82" s="160" t="str">
        <f>+IF(OR(D82="COOP",'CARGA DE DATOS'!K83="GUMA"),"15.02.2022",IF('CARGA DE DATOS'!K83="GUME","05.02.2022","10.02.2022"))</f>
        <v>10.02.2022</v>
      </c>
      <c r="G82" s="163">
        <f>+IF(VLOOKUP(G$1,Lecturas!$N$1:$AA$20,$AC82,FALSE)=0,"",VLOOKUP(G$1,Lecturas!$N$1:$AA$20,$AC82,FALSE))</f>
        <v>150</v>
      </c>
      <c r="H82" s="163">
        <f>+IF(VLOOKUP(H$1,Lecturas!$N$1:$AA$20,$AC82,FALSE)=0,"",VLOOKUP(H$1,Lecturas!$N$1:$AA$20,$AC82,FALSE))</f>
        <v>150</v>
      </c>
      <c r="I82" s="163">
        <f>+IF(VLOOKUP(I$1,Lecturas!$N$1:$AA$20,$AC82,FALSE)=0,"",VLOOKUP(I$1,Lecturas!$N$1:$AA$20,$AC82,FALSE))</f>
        <v>150</v>
      </c>
      <c r="J82" s="156" t="str">
        <f>+IF(VLOOKUP(J$1,Lecturas!$N$1:$AA$20,$AC82,FALSE)=0,"",VLOOKUP(J$1,Lecturas!$N$1:$AA$20,$AC82,FALSE))</f>
        <v/>
      </c>
      <c r="K82" s="156" t="str">
        <f>+IF(VLOOKUP(K$1,Lecturas!$N$1:$AA$20,$AC82,FALSE)=0,"",VLOOKUP(K$1,Lecturas!$N$1:$AA$20,$AC82,FALSE))</f>
        <v/>
      </c>
      <c r="L82" s="156" t="str">
        <f>+IF(VLOOKUP(L$1,Lecturas!$N$1:$AA$20,$AC82,FALSE)=0,"",VLOOKUP(L$1,Lecturas!$N$1:$AA$20,$AC82,FALSE))</f>
        <v/>
      </c>
      <c r="M82" s="163">
        <f>+IF(VLOOKUP(M$1,Lecturas!$N$1:$AA$20,$AC82,FALSE)=0,"",VLOOKUP(M$1,Lecturas!$N$1:$AA$20,$AC82,FALSE))</f>
        <v>2500</v>
      </c>
      <c r="N82" s="163">
        <f>+IF(VLOOKUP(N$1,Lecturas!$N$1:$AA$20,$AC82,FALSE)=0,"",VLOOKUP(N$1,Lecturas!$N$1:$AA$20,$AC82,FALSE))</f>
        <v>2000</v>
      </c>
      <c r="O82" s="163">
        <f>+IF(VLOOKUP(O$1,Lecturas!$N$1:$AA$20,$AC82,FALSE)=0,"",VLOOKUP(O$1,Lecturas!$N$1:$AA$20,$AC82,FALSE))</f>
        <v>3000</v>
      </c>
      <c r="P82" s="156" t="str">
        <f>+IF(VLOOKUP(P$1,Lecturas!$N$1:$AA$20,$AC82,FALSE)=0,"",VLOOKUP(P$1,Lecturas!$N$1:$AA$20,$AC82,FALSE))</f>
        <v/>
      </c>
      <c r="Q82" s="156" t="str">
        <f>+IF(VLOOKUP(Q$1,Lecturas!$N$1:$AA$20,$AC82,FALSE)=0,"",VLOOKUP(Q$1,Lecturas!$N$1:$AA$20,$AC82,FALSE))</f>
        <v/>
      </c>
      <c r="R82" s="156" t="str">
        <f>+IF(VLOOKUP(R$1,Lecturas!$N$1:$AA$20,$AC82,FALSE)=0,"",VLOOKUP(R$1,Lecturas!$N$1:$AA$20,$AC82,FALSE))</f>
        <v/>
      </c>
      <c r="S82" s="163" t="str">
        <f>+IF(VLOOKUP(S$1,Lecturas!$N$1:$AA$20,$AC82,FALSE)=0,"",VLOOKUP(S$1,Lecturas!$N$1:$AA$20,$AC82,FALSE))</f>
        <v/>
      </c>
      <c r="T82" s="163" t="str">
        <f>+IF(VLOOKUP(T$1,Lecturas!$N$1:$AA$20,$AC82,FALSE)=0,"",VLOOKUP(T$1,Lecturas!$N$1:$AA$20,$AC82,FALSE))</f>
        <v/>
      </c>
      <c r="U82" s="163" t="str">
        <f>+IF(VLOOKUP(U$1,Lecturas!$N$1:$AA$20,$AC82,FALSE)=0,"",VLOOKUP(U$1,Lecturas!$N$1:$AA$20,$AC82,FALSE))</f>
        <v/>
      </c>
      <c r="V82" s="156" t="str">
        <f>+IF(VLOOKUP(V$1,Lecturas!$N$1:$AA$20,$AC82,FALSE)=0,"",VLOOKUP(V$1,Lecturas!$N$1:$AA$20,$AC82,FALSE))</f>
        <v/>
      </c>
      <c r="W82" s="156" t="str">
        <f>+IF(VLOOKUP(W$1,Lecturas!$N$1:$AA$20,$AC82,FALSE)=0,"",VLOOKUP(W$1,Lecturas!$N$1:$AA$20,$AC82,FALSE))</f>
        <v/>
      </c>
      <c r="X82" s="156" t="str">
        <f>+IF(VLOOKUP(X$1,Lecturas!$N$1:$AA$20,$AC82,FALSE)=0,"",VLOOKUP(X$1,Lecturas!$N$1:$AA$20,$AC82,FALSE))</f>
        <v/>
      </c>
      <c r="Y82" s="163">
        <f>+IF(VLOOKUP(Y$1,Lecturas!$N$1:$AA$20,$AC82,FALSE)=0,"",VLOOKUP(Y$1,Lecturas!$N$1:$AA$20,$AC82,FALSE))</f>
        <v>15000</v>
      </c>
      <c r="Z82" s="48"/>
      <c r="AA82" s="48"/>
      <c r="AB82" s="48"/>
      <c r="AC82" s="148">
        <f>+'CARGA DE DATOS'!AF83</f>
        <v>4</v>
      </c>
    </row>
    <row r="83" spans="1:29" x14ac:dyDescent="0.25">
      <c r="A83" s="148">
        <f>+'CARGA DE DATOS'!A84</f>
        <v>82</v>
      </c>
      <c r="B83" s="48" t="str">
        <f>+IF(RESULTADOS!H83="","",RESULTADOS!H83)</f>
        <v/>
      </c>
      <c r="C83" s="48" t="str">
        <f>+IF(RESULTADOS!D83="","",RESULTADOS!D83)</f>
        <v/>
      </c>
      <c r="D83" s="160" t="str">
        <f>+IF('CARGA DE DATOS'!K84="Cooperativa","COOP",IF(Salida!AT84="true","PROSU","GD"))</f>
        <v>GD</v>
      </c>
      <c r="E83" s="160" t="s">
        <v>9147</v>
      </c>
      <c r="F83" s="160" t="str">
        <f>+IF(OR(D83="COOP",'CARGA DE DATOS'!K84="GUMA"),"15.02.2022",IF('CARGA DE DATOS'!K84="GUME","05.02.2022","10.02.2022"))</f>
        <v>10.02.2022</v>
      </c>
      <c r="G83" s="163">
        <f>+IF(VLOOKUP(G$1,Lecturas!$N$1:$AA$20,$AC83,FALSE)=0,"",VLOOKUP(G$1,Lecturas!$N$1:$AA$20,$AC83,FALSE))</f>
        <v>150</v>
      </c>
      <c r="H83" s="163">
        <f>+IF(VLOOKUP(H$1,Lecturas!$N$1:$AA$20,$AC83,FALSE)=0,"",VLOOKUP(H$1,Lecturas!$N$1:$AA$20,$AC83,FALSE))</f>
        <v>300</v>
      </c>
      <c r="I83" s="163">
        <f>+IF(VLOOKUP(I$1,Lecturas!$N$1:$AA$20,$AC83,FALSE)=0,"",VLOOKUP(I$1,Lecturas!$N$1:$AA$20,$AC83,FALSE))</f>
        <v>350</v>
      </c>
      <c r="J83" s="156" t="str">
        <f>+IF(VLOOKUP(J$1,Lecturas!$N$1:$AA$20,$AC83,FALSE)=0,"",VLOOKUP(J$1,Lecturas!$N$1:$AA$20,$AC83,FALSE))</f>
        <v/>
      </c>
      <c r="K83" s="156" t="str">
        <f>+IF(VLOOKUP(K$1,Lecturas!$N$1:$AA$20,$AC83,FALSE)=0,"",VLOOKUP(K$1,Lecturas!$N$1:$AA$20,$AC83,FALSE))</f>
        <v/>
      </c>
      <c r="L83" s="156" t="str">
        <f>+IF(VLOOKUP(L$1,Lecturas!$N$1:$AA$20,$AC83,FALSE)=0,"",VLOOKUP(L$1,Lecturas!$N$1:$AA$20,$AC83,FALSE))</f>
        <v/>
      </c>
      <c r="M83" s="163">
        <f>+IF(VLOOKUP(M$1,Lecturas!$N$1:$AA$20,$AC83,FALSE)=0,"",VLOOKUP(M$1,Lecturas!$N$1:$AA$20,$AC83,FALSE))</f>
        <v>2500</v>
      </c>
      <c r="N83" s="163">
        <f>+IF(VLOOKUP(N$1,Lecturas!$N$1:$AA$20,$AC83,FALSE)=0,"",VLOOKUP(N$1,Lecturas!$N$1:$AA$20,$AC83,FALSE))</f>
        <v>2000</v>
      </c>
      <c r="O83" s="163">
        <f>+IF(VLOOKUP(O$1,Lecturas!$N$1:$AA$20,$AC83,FALSE)=0,"",VLOOKUP(O$1,Lecturas!$N$1:$AA$20,$AC83,FALSE))</f>
        <v>3000</v>
      </c>
      <c r="P83" s="156" t="str">
        <f>+IF(VLOOKUP(P$1,Lecturas!$N$1:$AA$20,$AC83,FALSE)=0,"",VLOOKUP(P$1,Lecturas!$N$1:$AA$20,$AC83,FALSE))</f>
        <v/>
      </c>
      <c r="Q83" s="156" t="str">
        <f>+IF(VLOOKUP(Q$1,Lecturas!$N$1:$AA$20,$AC83,FALSE)=0,"",VLOOKUP(Q$1,Lecturas!$N$1:$AA$20,$AC83,FALSE))</f>
        <v/>
      </c>
      <c r="R83" s="156" t="str">
        <f>+IF(VLOOKUP(R$1,Lecturas!$N$1:$AA$20,$AC83,FALSE)=0,"",VLOOKUP(R$1,Lecturas!$N$1:$AA$20,$AC83,FALSE))</f>
        <v/>
      </c>
      <c r="S83" s="163" t="str">
        <f>+IF(VLOOKUP(S$1,Lecturas!$N$1:$AA$20,$AC83,FALSE)=0,"",VLOOKUP(S$1,Lecturas!$N$1:$AA$20,$AC83,FALSE))</f>
        <v/>
      </c>
      <c r="T83" s="163" t="str">
        <f>+IF(VLOOKUP(T$1,Lecturas!$N$1:$AA$20,$AC83,FALSE)=0,"",VLOOKUP(T$1,Lecturas!$N$1:$AA$20,$AC83,FALSE))</f>
        <v/>
      </c>
      <c r="U83" s="163" t="str">
        <f>+IF(VLOOKUP(U$1,Lecturas!$N$1:$AA$20,$AC83,FALSE)=0,"",VLOOKUP(U$1,Lecturas!$N$1:$AA$20,$AC83,FALSE))</f>
        <v/>
      </c>
      <c r="V83" s="156" t="str">
        <f>+IF(VLOOKUP(V$1,Lecturas!$N$1:$AA$20,$AC83,FALSE)=0,"",VLOOKUP(V$1,Lecturas!$N$1:$AA$20,$AC83,FALSE))</f>
        <v/>
      </c>
      <c r="W83" s="156" t="str">
        <f>+IF(VLOOKUP(W$1,Lecturas!$N$1:$AA$20,$AC83,FALSE)=0,"",VLOOKUP(W$1,Lecturas!$N$1:$AA$20,$AC83,FALSE))</f>
        <v/>
      </c>
      <c r="X83" s="156" t="str">
        <f>+IF(VLOOKUP(X$1,Lecturas!$N$1:$AA$20,$AC83,FALSE)=0,"",VLOOKUP(X$1,Lecturas!$N$1:$AA$20,$AC83,FALSE))</f>
        <v/>
      </c>
      <c r="Y83" s="163">
        <f>+IF(VLOOKUP(Y$1,Lecturas!$N$1:$AA$20,$AC83,FALSE)=0,"",VLOOKUP(Y$1,Lecturas!$N$1:$AA$20,$AC83,FALSE))</f>
        <v>2460</v>
      </c>
      <c r="Z83" s="48"/>
      <c r="AA83" s="48"/>
      <c r="AB83" s="48"/>
      <c r="AC83" s="148">
        <f>+'CARGA DE DATOS'!AF84</f>
        <v>5</v>
      </c>
    </row>
    <row r="84" spans="1:29" x14ac:dyDescent="0.25">
      <c r="A84" s="148">
        <f>+'CARGA DE DATOS'!A85</f>
        <v>83</v>
      </c>
      <c r="B84" s="48" t="str">
        <f>+IF(RESULTADOS!H84="","",RESULTADOS!H84)</f>
        <v/>
      </c>
      <c r="C84" s="48" t="str">
        <f>+IF(RESULTADOS!D84="","",RESULTADOS!D84)</f>
        <v/>
      </c>
      <c r="D84" s="160" t="str">
        <f>+IF('CARGA DE DATOS'!K85="Cooperativa","COOP",IF(Salida!AT85="true","PROSU","GD"))</f>
        <v>GD</v>
      </c>
      <c r="E84" s="160" t="s">
        <v>9147</v>
      </c>
      <c r="F84" s="160" t="str">
        <f>+IF(OR(D84="COOP",'CARGA DE DATOS'!K85="GUMA"),"15.02.2022",IF('CARGA DE DATOS'!K85="GUME","05.02.2022","10.02.2022"))</f>
        <v>10.02.2022</v>
      </c>
      <c r="G84" s="163">
        <f>+IF(VLOOKUP(G$1,Lecturas!$N$1:$AA$20,$AC84,FALSE)=0,"",VLOOKUP(G$1,Lecturas!$N$1:$AA$20,$AC84,FALSE))</f>
        <v>150</v>
      </c>
      <c r="H84" s="163">
        <f>+IF(VLOOKUP(H$1,Lecturas!$N$1:$AA$20,$AC84,FALSE)=0,"",VLOOKUP(H$1,Lecturas!$N$1:$AA$20,$AC84,FALSE))</f>
        <v>300</v>
      </c>
      <c r="I84" s="163">
        <f>+IF(VLOOKUP(I$1,Lecturas!$N$1:$AA$20,$AC84,FALSE)=0,"",VLOOKUP(I$1,Lecturas!$N$1:$AA$20,$AC84,FALSE))</f>
        <v>350</v>
      </c>
      <c r="J84" s="156" t="str">
        <f>+IF(VLOOKUP(J$1,Lecturas!$N$1:$AA$20,$AC84,FALSE)=0,"",VLOOKUP(J$1,Lecturas!$N$1:$AA$20,$AC84,FALSE))</f>
        <v/>
      </c>
      <c r="K84" s="156" t="str">
        <f>+IF(VLOOKUP(K$1,Lecturas!$N$1:$AA$20,$AC84,FALSE)=0,"",VLOOKUP(K$1,Lecturas!$N$1:$AA$20,$AC84,FALSE))</f>
        <v/>
      </c>
      <c r="L84" s="156" t="str">
        <f>+IF(VLOOKUP(L$1,Lecturas!$N$1:$AA$20,$AC84,FALSE)=0,"",VLOOKUP(L$1,Lecturas!$N$1:$AA$20,$AC84,FALSE))</f>
        <v/>
      </c>
      <c r="M84" s="163">
        <f>+IF(VLOOKUP(M$1,Lecturas!$N$1:$AA$20,$AC84,FALSE)=0,"",VLOOKUP(M$1,Lecturas!$N$1:$AA$20,$AC84,FALSE))</f>
        <v>2500</v>
      </c>
      <c r="N84" s="163">
        <f>+IF(VLOOKUP(N$1,Lecturas!$N$1:$AA$20,$AC84,FALSE)=0,"",VLOOKUP(N$1,Lecturas!$N$1:$AA$20,$AC84,FALSE))</f>
        <v>2000</v>
      </c>
      <c r="O84" s="163">
        <f>+IF(VLOOKUP(O$1,Lecturas!$N$1:$AA$20,$AC84,FALSE)=0,"",VLOOKUP(O$1,Lecturas!$N$1:$AA$20,$AC84,FALSE))</f>
        <v>3000</v>
      </c>
      <c r="P84" s="156" t="str">
        <f>+IF(VLOOKUP(P$1,Lecturas!$N$1:$AA$20,$AC84,FALSE)=0,"",VLOOKUP(P$1,Lecturas!$N$1:$AA$20,$AC84,FALSE))</f>
        <v/>
      </c>
      <c r="Q84" s="156" t="str">
        <f>+IF(VLOOKUP(Q$1,Lecturas!$N$1:$AA$20,$AC84,FALSE)=0,"",VLOOKUP(Q$1,Lecturas!$N$1:$AA$20,$AC84,FALSE))</f>
        <v/>
      </c>
      <c r="R84" s="156" t="str">
        <f>+IF(VLOOKUP(R$1,Lecturas!$N$1:$AA$20,$AC84,FALSE)=0,"",VLOOKUP(R$1,Lecturas!$N$1:$AA$20,$AC84,FALSE))</f>
        <v/>
      </c>
      <c r="S84" s="163" t="str">
        <f>+IF(VLOOKUP(S$1,Lecturas!$N$1:$AA$20,$AC84,FALSE)=0,"",VLOOKUP(S$1,Lecturas!$N$1:$AA$20,$AC84,FALSE))</f>
        <v/>
      </c>
      <c r="T84" s="163" t="str">
        <f>+IF(VLOOKUP(T$1,Lecturas!$N$1:$AA$20,$AC84,FALSE)=0,"",VLOOKUP(T$1,Lecturas!$N$1:$AA$20,$AC84,FALSE))</f>
        <v/>
      </c>
      <c r="U84" s="163" t="str">
        <f>+IF(VLOOKUP(U$1,Lecturas!$N$1:$AA$20,$AC84,FALSE)=0,"",VLOOKUP(U$1,Lecturas!$N$1:$AA$20,$AC84,FALSE))</f>
        <v/>
      </c>
      <c r="V84" s="156" t="str">
        <f>+IF(VLOOKUP(V$1,Lecturas!$N$1:$AA$20,$AC84,FALSE)=0,"",VLOOKUP(V$1,Lecturas!$N$1:$AA$20,$AC84,FALSE))</f>
        <v/>
      </c>
      <c r="W84" s="156" t="str">
        <f>+IF(VLOOKUP(W$1,Lecturas!$N$1:$AA$20,$AC84,FALSE)=0,"",VLOOKUP(W$1,Lecturas!$N$1:$AA$20,$AC84,FALSE))</f>
        <v/>
      </c>
      <c r="X84" s="156" t="str">
        <f>+IF(VLOOKUP(X$1,Lecturas!$N$1:$AA$20,$AC84,FALSE)=0,"",VLOOKUP(X$1,Lecturas!$N$1:$AA$20,$AC84,FALSE))</f>
        <v/>
      </c>
      <c r="Y84" s="163">
        <f>+IF(VLOOKUP(Y$1,Lecturas!$N$1:$AA$20,$AC84,FALSE)=0,"",VLOOKUP(Y$1,Lecturas!$N$1:$AA$20,$AC84,FALSE))</f>
        <v>2460</v>
      </c>
      <c r="Z84" s="48"/>
      <c r="AA84" s="48"/>
      <c r="AB84" s="48"/>
      <c r="AC84" s="148">
        <f>+'CARGA DE DATOS'!AF85</f>
        <v>5</v>
      </c>
    </row>
    <row r="85" spans="1:29" x14ac:dyDescent="0.25">
      <c r="A85" s="148">
        <f>+'CARGA DE DATOS'!A86</f>
        <v>84</v>
      </c>
      <c r="B85" s="48" t="str">
        <f>+IF(RESULTADOS!H85="","",RESULTADOS!H85)</f>
        <v/>
      </c>
      <c r="C85" s="48" t="str">
        <f>+IF(RESULTADOS!D85="","",RESULTADOS!D85)</f>
        <v/>
      </c>
      <c r="D85" s="160" t="str">
        <f>+IF('CARGA DE DATOS'!K86="Cooperativa","COOP",IF(Salida!AT86="true","PROSU","GD"))</f>
        <v>GD</v>
      </c>
      <c r="E85" s="160" t="s">
        <v>9147</v>
      </c>
      <c r="F85" s="160" t="str">
        <f>+IF(OR(D85="COOP",'CARGA DE DATOS'!K86="GUMA"),"15.02.2022",IF('CARGA DE DATOS'!K86="GUME","05.02.2022","10.02.2022"))</f>
        <v>10.02.2022</v>
      </c>
      <c r="G85" s="163">
        <f>+IF(VLOOKUP(G$1,Lecturas!$N$1:$AA$20,$AC85,FALSE)=0,"",VLOOKUP(G$1,Lecturas!$N$1:$AA$20,$AC85,FALSE))</f>
        <v>150</v>
      </c>
      <c r="H85" s="163">
        <f>+IF(VLOOKUP(H$1,Lecturas!$N$1:$AA$20,$AC85,FALSE)=0,"",VLOOKUP(H$1,Lecturas!$N$1:$AA$20,$AC85,FALSE))</f>
        <v>300</v>
      </c>
      <c r="I85" s="163">
        <f>+IF(VLOOKUP(I$1,Lecturas!$N$1:$AA$20,$AC85,FALSE)=0,"",VLOOKUP(I$1,Lecturas!$N$1:$AA$20,$AC85,FALSE))</f>
        <v>150</v>
      </c>
      <c r="J85" s="156" t="str">
        <f>+IF(VLOOKUP(J$1,Lecturas!$N$1:$AA$20,$AC85,FALSE)=0,"",VLOOKUP(J$1,Lecturas!$N$1:$AA$20,$AC85,FALSE))</f>
        <v/>
      </c>
      <c r="K85" s="156" t="str">
        <f>+IF(VLOOKUP(K$1,Lecturas!$N$1:$AA$20,$AC85,FALSE)=0,"",VLOOKUP(K$1,Lecturas!$N$1:$AA$20,$AC85,FALSE))</f>
        <v/>
      </c>
      <c r="L85" s="156" t="str">
        <f>+IF(VLOOKUP(L$1,Lecturas!$N$1:$AA$20,$AC85,FALSE)=0,"",VLOOKUP(L$1,Lecturas!$N$1:$AA$20,$AC85,FALSE))</f>
        <v/>
      </c>
      <c r="M85" s="163">
        <f>+IF(VLOOKUP(M$1,Lecturas!$N$1:$AA$20,$AC85,FALSE)=0,"",VLOOKUP(M$1,Lecturas!$N$1:$AA$20,$AC85,FALSE))</f>
        <v>2500</v>
      </c>
      <c r="N85" s="163">
        <f>+IF(VLOOKUP(N$1,Lecturas!$N$1:$AA$20,$AC85,FALSE)=0,"",VLOOKUP(N$1,Lecturas!$N$1:$AA$20,$AC85,FALSE))</f>
        <v>2000</v>
      </c>
      <c r="O85" s="163">
        <f>+IF(VLOOKUP(O$1,Lecturas!$N$1:$AA$20,$AC85,FALSE)=0,"",VLOOKUP(O$1,Lecturas!$N$1:$AA$20,$AC85,FALSE))</f>
        <v>3000</v>
      </c>
      <c r="P85" s="156" t="str">
        <f>+IF(VLOOKUP(P$1,Lecturas!$N$1:$AA$20,$AC85,FALSE)=0,"",VLOOKUP(P$1,Lecturas!$N$1:$AA$20,$AC85,FALSE))</f>
        <v/>
      </c>
      <c r="Q85" s="156" t="str">
        <f>+IF(VLOOKUP(Q$1,Lecturas!$N$1:$AA$20,$AC85,FALSE)=0,"",VLOOKUP(Q$1,Lecturas!$N$1:$AA$20,$AC85,FALSE))</f>
        <v/>
      </c>
      <c r="R85" s="156" t="str">
        <f>+IF(VLOOKUP(R$1,Lecturas!$N$1:$AA$20,$AC85,FALSE)=0,"",VLOOKUP(R$1,Lecturas!$N$1:$AA$20,$AC85,FALSE))</f>
        <v/>
      </c>
      <c r="S85" s="163" t="str">
        <f>+IF(VLOOKUP(S$1,Lecturas!$N$1:$AA$20,$AC85,FALSE)=0,"",VLOOKUP(S$1,Lecturas!$N$1:$AA$20,$AC85,FALSE))</f>
        <v/>
      </c>
      <c r="T85" s="163" t="str">
        <f>+IF(VLOOKUP(T$1,Lecturas!$N$1:$AA$20,$AC85,FALSE)=0,"",VLOOKUP(T$1,Lecturas!$N$1:$AA$20,$AC85,FALSE))</f>
        <v/>
      </c>
      <c r="U85" s="163" t="str">
        <f>+IF(VLOOKUP(U$1,Lecturas!$N$1:$AA$20,$AC85,FALSE)=0,"",VLOOKUP(U$1,Lecturas!$N$1:$AA$20,$AC85,FALSE))</f>
        <v/>
      </c>
      <c r="V85" s="156" t="str">
        <f>+IF(VLOOKUP(V$1,Lecturas!$N$1:$AA$20,$AC85,FALSE)=0,"",VLOOKUP(V$1,Lecturas!$N$1:$AA$20,$AC85,FALSE))</f>
        <v/>
      </c>
      <c r="W85" s="156" t="str">
        <f>+IF(VLOOKUP(W$1,Lecturas!$N$1:$AA$20,$AC85,FALSE)=0,"",VLOOKUP(W$1,Lecturas!$N$1:$AA$20,$AC85,FALSE))</f>
        <v/>
      </c>
      <c r="X85" s="156" t="str">
        <f>+IF(VLOOKUP(X$1,Lecturas!$N$1:$AA$20,$AC85,FALSE)=0,"",VLOOKUP(X$1,Lecturas!$N$1:$AA$20,$AC85,FALSE))</f>
        <v/>
      </c>
      <c r="Y85" s="163">
        <f>+IF(VLOOKUP(Y$1,Lecturas!$N$1:$AA$20,$AC85,FALSE)=0,"",VLOOKUP(Y$1,Lecturas!$N$1:$AA$20,$AC85,FALSE))</f>
        <v>5000</v>
      </c>
      <c r="Z85" s="48"/>
      <c r="AA85" s="48"/>
      <c r="AB85" s="48"/>
      <c r="AC85" s="148">
        <f>+'CARGA DE DATOS'!AF86</f>
        <v>3</v>
      </c>
    </row>
    <row r="86" spans="1:29" x14ac:dyDescent="0.25">
      <c r="A86" s="148">
        <f>+'CARGA DE DATOS'!A87</f>
        <v>85</v>
      </c>
      <c r="B86" s="48" t="str">
        <f>+IF(RESULTADOS!H86="","",RESULTADOS!H86)</f>
        <v/>
      </c>
      <c r="C86" s="48" t="str">
        <f>+IF(RESULTADOS!D86="","",RESULTADOS!D86)</f>
        <v/>
      </c>
      <c r="D86" s="160" t="str">
        <f>+IF('CARGA DE DATOS'!K87="Cooperativa","COOP",IF(Salida!AT87="true","PROSU","GD"))</f>
        <v>GD</v>
      </c>
      <c r="E86" s="160" t="s">
        <v>9147</v>
      </c>
      <c r="F86" s="160" t="str">
        <f>+IF(OR(D86="COOP",'CARGA DE DATOS'!K87="GUMA"),"15.02.2022",IF('CARGA DE DATOS'!K87="GUME","05.02.2022","10.02.2022"))</f>
        <v>10.02.2022</v>
      </c>
      <c r="G86" s="163">
        <f>+IF(VLOOKUP(G$1,Lecturas!$N$1:$AA$20,$AC86,FALSE)=0,"",VLOOKUP(G$1,Lecturas!$N$1:$AA$20,$AC86,FALSE))</f>
        <v>150</v>
      </c>
      <c r="H86" s="163">
        <f>+IF(VLOOKUP(H$1,Lecturas!$N$1:$AA$20,$AC86,FALSE)=0,"",VLOOKUP(H$1,Lecturas!$N$1:$AA$20,$AC86,FALSE))</f>
        <v>300</v>
      </c>
      <c r="I86" s="163">
        <f>+IF(VLOOKUP(I$1,Lecturas!$N$1:$AA$20,$AC86,FALSE)=0,"",VLOOKUP(I$1,Lecturas!$N$1:$AA$20,$AC86,FALSE))</f>
        <v>150</v>
      </c>
      <c r="J86" s="156" t="str">
        <f>+IF(VLOOKUP(J$1,Lecturas!$N$1:$AA$20,$AC86,FALSE)=0,"",VLOOKUP(J$1,Lecturas!$N$1:$AA$20,$AC86,FALSE))</f>
        <v/>
      </c>
      <c r="K86" s="156" t="str">
        <f>+IF(VLOOKUP(K$1,Lecturas!$N$1:$AA$20,$AC86,FALSE)=0,"",VLOOKUP(K$1,Lecturas!$N$1:$AA$20,$AC86,FALSE))</f>
        <v/>
      </c>
      <c r="L86" s="156" t="str">
        <f>+IF(VLOOKUP(L$1,Lecturas!$N$1:$AA$20,$AC86,FALSE)=0,"",VLOOKUP(L$1,Lecturas!$N$1:$AA$20,$AC86,FALSE))</f>
        <v/>
      </c>
      <c r="M86" s="163">
        <f>+IF(VLOOKUP(M$1,Lecturas!$N$1:$AA$20,$AC86,FALSE)=0,"",VLOOKUP(M$1,Lecturas!$N$1:$AA$20,$AC86,FALSE))</f>
        <v>2500</v>
      </c>
      <c r="N86" s="163">
        <f>+IF(VLOOKUP(N$1,Lecturas!$N$1:$AA$20,$AC86,FALSE)=0,"",VLOOKUP(N$1,Lecturas!$N$1:$AA$20,$AC86,FALSE))</f>
        <v>2000</v>
      </c>
      <c r="O86" s="163">
        <f>+IF(VLOOKUP(O$1,Lecturas!$N$1:$AA$20,$AC86,FALSE)=0,"",VLOOKUP(O$1,Lecturas!$N$1:$AA$20,$AC86,FALSE))</f>
        <v>3000</v>
      </c>
      <c r="P86" s="156" t="str">
        <f>+IF(VLOOKUP(P$1,Lecturas!$N$1:$AA$20,$AC86,FALSE)=0,"",VLOOKUP(P$1,Lecturas!$N$1:$AA$20,$AC86,FALSE))</f>
        <v/>
      </c>
      <c r="Q86" s="156" t="str">
        <f>+IF(VLOOKUP(Q$1,Lecturas!$N$1:$AA$20,$AC86,FALSE)=0,"",VLOOKUP(Q$1,Lecturas!$N$1:$AA$20,$AC86,FALSE))</f>
        <v/>
      </c>
      <c r="R86" s="156" t="str">
        <f>+IF(VLOOKUP(R$1,Lecturas!$N$1:$AA$20,$AC86,FALSE)=0,"",VLOOKUP(R$1,Lecturas!$N$1:$AA$20,$AC86,FALSE))</f>
        <v/>
      </c>
      <c r="S86" s="163" t="str">
        <f>+IF(VLOOKUP(S$1,Lecturas!$N$1:$AA$20,$AC86,FALSE)=0,"",VLOOKUP(S$1,Lecturas!$N$1:$AA$20,$AC86,FALSE))</f>
        <v/>
      </c>
      <c r="T86" s="163" t="str">
        <f>+IF(VLOOKUP(T$1,Lecturas!$N$1:$AA$20,$AC86,FALSE)=0,"",VLOOKUP(T$1,Lecturas!$N$1:$AA$20,$AC86,FALSE))</f>
        <v/>
      </c>
      <c r="U86" s="163" t="str">
        <f>+IF(VLOOKUP(U$1,Lecturas!$N$1:$AA$20,$AC86,FALSE)=0,"",VLOOKUP(U$1,Lecturas!$N$1:$AA$20,$AC86,FALSE))</f>
        <v/>
      </c>
      <c r="V86" s="156" t="str">
        <f>+IF(VLOOKUP(V$1,Lecturas!$N$1:$AA$20,$AC86,FALSE)=0,"",VLOOKUP(V$1,Lecturas!$N$1:$AA$20,$AC86,FALSE))</f>
        <v/>
      </c>
      <c r="W86" s="156" t="str">
        <f>+IF(VLOOKUP(W$1,Lecturas!$N$1:$AA$20,$AC86,FALSE)=0,"",VLOOKUP(W$1,Lecturas!$N$1:$AA$20,$AC86,FALSE))</f>
        <v/>
      </c>
      <c r="X86" s="156" t="str">
        <f>+IF(VLOOKUP(X$1,Lecturas!$N$1:$AA$20,$AC86,FALSE)=0,"",VLOOKUP(X$1,Lecturas!$N$1:$AA$20,$AC86,FALSE))</f>
        <v/>
      </c>
      <c r="Y86" s="163">
        <f>+IF(VLOOKUP(Y$1,Lecturas!$N$1:$AA$20,$AC86,FALSE)=0,"",VLOOKUP(Y$1,Lecturas!$N$1:$AA$20,$AC86,FALSE))</f>
        <v>5000</v>
      </c>
      <c r="Z86" s="48"/>
      <c r="AA86" s="48"/>
      <c r="AB86" s="48"/>
      <c r="AC86" s="148">
        <f>+'CARGA DE DATOS'!AF87</f>
        <v>3</v>
      </c>
    </row>
    <row r="87" spans="1:29" x14ac:dyDescent="0.25">
      <c r="A87" s="148">
        <f>+'CARGA DE DATOS'!A88</f>
        <v>86</v>
      </c>
      <c r="B87" s="48" t="str">
        <f>+IF(RESULTADOS!H87="","",RESULTADOS!H87)</f>
        <v/>
      </c>
      <c r="C87" s="48" t="str">
        <f>+IF(RESULTADOS!D87="","",RESULTADOS!D87)</f>
        <v/>
      </c>
      <c r="D87" s="160" t="str">
        <f>+IF('CARGA DE DATOS'!K88="Cooperativa","COOP",IF(Salida!AT88="true","PROSU","GD"))</f>
        <v>GD</v>
      </c>
      <c r="E87" s="160" t="s">
        <v>9147</v>
      </c>
      <c r="F87" s="160" t="str">
        <f>+IF(OR(D87="COOP",'CARGA DE DATOS'!K88="GUMA"),"15.02.2022",IF('CARGA DE DATOS'!K88="GUME","05.02.2022","10.02.2022"))</f>
        <v>10.02.2022</v>
      </c>
      <c r="G87" s="163">
        <f>+IF(VLOOKUP(G$1,Lecturas!$N$1:$AA$20,$AC87,FALSE)=0,"",VLOOKUP(G$1,Lecturas!$N$1:$AA$20,$AC87,FALSE))</f>
        <v>1000</v>
      </c>
      <c r="H87" s="163">
        <f>+IF(VLOOKUP(H$1,Lecturas!$N$1:$AA$20,$AC87,FALSE)=0,"",VLOOKUP(H$1,Lecturas!$N$1:$AA$20,$AC87,FALSE))</f>
        <v>150</v>
      </c>
      <c r="I87" s="163">
        <f>+IF(VLOOKUP(I$1,Lecturas!$N$1:$AA$20,$AC87,FALSE)=0,"",VLOOKUP(I$1,Lecturas!$N$1:$AA$20,$AC87,FALSE))</f>
        <v>350</v>
      </c>
      <c r="J87" s="156" t="str">
        <f>+IF(VLOOKUP(J$1,Lecturas!$N$1:$AA$20,$AC87,FALSE)=0,"",VLOOKUP(J$1,Lecturas!$N$1:$AA$20,$AC87,FALSE))</f>
        <v/>
      </c>
      <c r="K87" s="156" t="str">
        <f>+IF(VLOOKUP(K$1,Lecturas!$N$1:$AA$20,$AC87,FALSE)=0,"",VLOOKUP(K$1,Lecturas!$N$1:$AA$20,$AC87,FALSE))</f>
        <v/>
      </c>
      <c r="L87" s="156" t="str">
        <f>+IF(VLOOKUP(L$1,Lecturas!$N$1:$AA$20,$AC87,FALSE)=0,"",VLOOKUP(L$1,Lecturas!$N$1:$AA$20,$AC87,FALSE))</f>
        <v/>
      </c>
      <c r="M87" s="163">
        <f>+IF(VLOOKUP(M$1,Lecturas!$N$1:$AA$20,$AC87,FALSE)=0,"",VLOOKUP(M$1,Lecturas!$N$1:$AA$20,$AC87,FALSE))</f>
        <v>2500</v>
      </c>
      <c r="N87" s="163">
        <f>+IF(VLOOKUP(N$1,Lecturas!$N$1:$AA$20,$AC87,FALSE)=0,"",VLOOKUP(N$1,Lecturas!$N$1:$AA$20,$AC87,FALSE))</f>
        <v>2000</v>
      </c>
      <c r="O87" s="163">
        <f>+IF(VLOOKUP(O$1,Lecturas!$N$1:$AA$20,$AC87,FALSE)=0,"",VLOOKUP(O$1,Lecturas!$N$1:$AA$20,$AC87,FALSE))</f>
        <v>3000</v>
      </c>
      <c r="P87" s="156" t="str">
        <f>+IF(VLOOKUP(P$1,Lecturas!$N$1:$AA$20,$AC87,FALSE)=0,"",VLOOKUP(P$1,Lecturas!$N$1:$AA$20,$AC87,FALSE))</f>
        <v/>
      </c>
      <c r="Q87" s="156" t="str">
        <f>+IF(VLOOKUP(Q$1,Lecturas!$N$1:$AA$20,$AC87,FALSE)=0,"",VLOOKUP(Q$1,Lecturas!$N$1:$AA$20,$AC87,FALSE))</f>
        <v/>
      </c>
      <c r="R87" s="156" t="str">
        <f>+IF(VLOOKUP(R$1,Lecturas!$N$1:$AA$20,$AC87,FALSE)=0,"",VLOOKUP(R$1,Lecturas!$N$1:$AA$20,$AC87,FALSE))</f>
        <v/>
      </c>
      <c r="S87" s="163" t="str">
        <f>+IF(VLOOKUP(S$1,Lecturas!$N$1:$AA$20,$AC87,FALSE)=0,"",VLOOKUP(S$1,Lecturas!$N$1:$AA$20,$AC87,FALSE))</f>
        <v/>
      </c>
      <c r="T87" s="163" t="str">
        <f>+IF(VLOOKUP(T$1,Lecturas!$N$1:$AA$20,$AC87,FALSE)=0,"",VLOOKUP(T$1,Lecturas!$N$1:$AA$20,$AC87,FALSE))</f>
        <v/>
      </c>
      <c r="U87" s="163" t="str">
        <f>+IF(VLOOKUP(U$1,Lecturas!$N$1:$AA$20,$AC87,FALSE)=0,"",VLOOKUP(U$1,Lecturas!$N$1:$AA$20,$AC87,FALSE))</f>
        <v/>
      </c>
      <c r="V87" s="156" t="str">
        <f>+IF(VLOOKUP(V$1,Lecturas!$N$1:$AA$20,$AC87,FALSE)=0,"",VLOOKUP(V$1,Lecturas!$N$1:$AA$20,$AC87,FALSE))</f>
        <v/>
      </c>
      <c r="W87" s="156" t="str">
        <f>+IF(VLOOKUP(W$1,Lecturas!$N$1:$AA$20,$AC87,FALSE)=0,"",VLOOKUP(W$1,Lecturas!$N$1:$AA$20,$AC87,FALSE))</f>
        <v/>
      </c>
      <c r="X87" s="156" t="str">
        <f>+IF(VLOOKUP(X$1,Lecturas!$N$1:$AA$20,$AC87,FALSE)=0,"",VLOOKUP(X$1,Lecturas!$N$1:$AA$20,$AC87,FALSE))</f>
        <v/>
      </c>
      <c r="Y87" s="163">
        <f>+IF(VLOOKUP(Y$1,Lecturas!$N$1:$AA$20,$AC87,FALSE)=0,"",VLOOKUP(Y$1,Lecturas!$N$1:$AA$20,$AC87,FALSE))</f>
        <v>7500</v>
      </c>
      <c r="Z87" s="48"/>
      <c r="AA87" s="48"/>
      <c r="AB87" s="48"/>
      <c r="AC87" s="148">
        <f>+'CARGA DE DATOS'!AF88</f>
        <v>6</v>
      </c>
    </row>
    <row r="88" spans="1:29" x14ac:dyDescent="0.25">
      <c r="A88" s="148">
        <f>+'CARGA DE DATOS'!A89</f>
        <v>87</v>
      </c>
      <c r="B88" s="48" t="str">
        <f>+IF(RESULTADOS!H88="","",RESULTADOS!H88)</f>
        <v/>
      </c>
      <c r="C88" s="48" t="str">
        <f>+IF(RESULTADOS!D88="","",RESULTADOS!D88)</f>
        <v/>
      </c>
      <c r="D88" s="160" t="str">
        <f>+IF('CARGA DE DATOS'!K89="Cooperativa","COOP",IF(Salida!AT89="true","PROSU","GD"))</f>
        <v>GD</v>
      </c>
      <c r="E88" s="160" t="s">
        <v>9147</v>
      </c>
      <c r="F88" s="160" t="str">
        <f>+IF(OR(D88="COOP",'CARGA DE DATOS'!K89="GUMA"),"15.02.2022",IF('CARGA DE DATOS'!K89="GUME","05.02.2022","10.02.2022"))</f>
        <v>10.02.2022</v>
      </c>
      <c r="G88" s="163">
        <f>+IF(VLOOKUP(G$1,Lecturas!$N$1:$AA$20,$AC88,FALSE)=0,"",VLOOKUP(G$1,Lecturas!$N$1:$AA$20,$AC88,FALSE))</f>
        <v>150</v>
      </c>
      <c r="H88" s="163">
        <f>+IF(VLOOKUP(H$1,Lecturas!$N$1:$AA$20,$AC88,FALSE)=0,"",VLOOKUP(H$1,Lecturas!$N$1:$AA$20,$AC88,FALSE))</f>
        <v>300</v>
      </c>
      <c r="I88" s="163">
        <f>+IF(VLOOKUP(I$1,Lecturas!$N$1:$AA$20,$AC88,FALSE)=0,"",VLOOKUP(I$1,Lecturas!$N$1:$AA$20,$AC88,FALSE))</f>
        <v>150</v>
      </c>
      <c r="J88" s="156" t="str">
        <f>+IF(VLOOKUP(J$1,Lecturas!$N$1:$AA$20,$AC88,FALSE)=0,"",VLOOKUP(J$1,Lecturas!$N$1:$AA$20,$AC88,FALSE))</f>
        <v/>
      </c>
      <c r="K88" s="156" t="str">
        <f>+IF(VLOOKUP(K$1,Lecturas!$N$1:$AA$20,$AC88,FALSE)=0,"",VLOOKUP(K$1,Lecturas!$N$1:$AA$20,$AC88,FALSE))</f>
        <v/>
      </c>
      <c r="L88" s="156" t="str">
        <f>+IF(VLOOKUP(L$1,Lecturas!$N$1:$AA$20,$AC88,FALSE)=0,"",VLOOKUP(L$1,Lecturas!$N$1:$AA$20,$AC88,FALSE))</f>
        <v/>
      </c>
      <c r="M88" s="163">
        <f>+IF(VLOOKUP(M$1,Lecturas!$N$1:$AA$20,$AC88,FALSE)=0,"",VLOOKUP(M$1,Lecturas!$N$1:$AA$20,$AC88,FALSE))</f>
        <v>2500</v>
      </c>
      <c r="N88" s="163">
        <f>+IF(VLOOKUP(N$1,Lecturas!$N$1:$AA$20,$AC88,FALSE)=0,"",VLOOKUP(N$1,Lecturas!$N$1:$AA$20,$AC88,FALSE))</f>
        <v>2000</v>
      </c>
      <c r="O88" s="163">
        <f>+IF(VLOOKUP(O$1,Lecturas!$N$1:$AA$20,$AC88,FALSE)=0,"",VLOOKUP(O$1,Lecturas!$N$1:$AA$20,$AC88,FALSE))</f>
        <v>3000</v>
      </c>
      <c r="P88" s="156" t="str">
        <f>+IF(VLOOKUP(P$1,Lecturas!$N$1:$AA$20,$AC88,FALSE)=0,"",VLOOKUP(P$1,Lecturas!$N$1:$AA$20,$AC88,FALSE))</f>
        <v/>
      </c>
      <c r="Q88" s="156" t="str">
        <f>+IF(VLOOKUP(Q$1,Lecturas!$N$1:$AA$20,$AC88,FALSE)=0,"",VLOOKUP(Q$1,Lecturas!$N$1:$AA$20,$AC88,FALSE))</f>
        <v/>
      </c>
      <c r="R88" s="156" t="str">
        <f>+IF(VLOOKUP(R$1,Lecturas!$N$1:$AA$20,$AC88,FALSE)=0,"",VLOOKUP(R$1,Lecturas!$N$1:$AA$20,$AC88,FALSE))</f>
        <v/>
      </c>
      <c r="S88" s="163" t="str">
        <f>+IF(VLOOKUP(S$1,Lecturas!$N$1:$AA$20,$AC88,FALSE)=0,"",VLOOKUP(S$1,Lecturas!$N$1:$AA$20,$AC88,FALSE))</f>
        <v/>
      </c>
      <c r="T88" s="163" t="str">
        <f>+IF(VLOOKUP(T$1,Lecturas!$N$1:$AA$20,$AC88,FALSE)=0,"",VLOOKUP(T$1,Lecturas!$N$1:$AA$20,$AC88,FALSE))</f>
        <v/>
      </c>
      <c r="U88" s="163" t="str">
        <f>+IF(VLOOKUP(U$1,Lecturas!$N$1:$AA$20,$AC88,FALSE)=0,"",VLOOKUP(U$1,Lecturas!$N$1:$AA$20,$AC88,FALSE))</f>
        <v/>
      </c>
      <c r="V88" s="156" t="str">
        <f>+IF(VLOOKUP(V$1,Lecturas!$N$1:$AA$20,$AC88,FALSE)=0,"",VLOOKUP(V$1,Lecturas!$N$1:$AA$20,$AC88,FALSE))</f>
        <v/>
      </c>
      <c r="W88" s="156" t="str">
        <f>+IF(VLOOKUP(W$1,Lecturas!$N$1:$AA$20,$AC88,FALSE)=0,"",VLOOKUP(W$1,Lecturas!$N$1:$AA$20,$AC88,FALSE))</f>
        <v/>
      </c>
      <c r="X88" s="156" t="str">
        <f>+IF(VLOOKUP(X$1,Lecturas!$N$1:$AA$20,$AC88,FALSE)=0,"",VLOOKUP(X$1,Lecturas!$N$1:$AA$20,$AC88,FALSE))</f>
        <v/>
      </c>
      <c r="Y88" s="163">
        <f>+IF(VLOOKUP(Y$1,Lecturas!$N$1:$AA$20,$AC88,FALSE)=0,"",VLOOKUP(Y$1,Lecturas!$N$1:$AA$20,$AC88,FALSE))</f>
        <v>5000</v>
      </c>
      <c r="Z88" s="48"/>
      <c r="AA88" s="48"/>
      <c r="AB88" s="48"/>
      <c r="AC88" s="148">
        <f>+'CARGA DE DATOS'!AF89</f>
        <v>3</v>
      </c>
    </row>
    <row r="89" spans="1:29" x14ac:dyDescent="0.25">
      <c r="A89" s="148">
        <f>+'CARGA DE DATOS'!A90</f>
        <v>88</v>
      </c>
      <c r="B89" s="48" t="str">
        <f>+IF(RESULTADOS!H89="","",RESULTADOS!H89)</f>
        <v/>
      </c>
      <c r="C89" s="48" t="str">
        <f>+IF(RESULTADOS!D89="","",RESULTADOS!D89)</f>
        <v/>
      </c>
      <c r="D89" s="160" t="str">
        <f>+IF('CARGA DE DATOS'!K90="Cooperativa","COOP",IF(Salida!AT90="true","PROSU","GD"))</f>
        <v>GD</v>
      </c>
      <c r="E89" s="160" t="s">
        <v>9147</v>
      </c>
      <c r="F89" s="160" t="str">
        <f>+IF(OR(D89="COOP",'CARGA DE DATOS'!K90="GUMA"),"15.02.2022",IF('CARGA DE DATOS'!K90="GUME","05.02.2022","10.02.2022"))</f>
        <v>10.02.2022</v>
      </c>
      <c r="G89" s="163">
        <f>+IF(VLOOKUP(G$1,Lecturas!$N$1:$AA$20,$AC89,FALSE)=0,"",VLOOKUP(G$1,Lecturas!$N$1:$AA$20,$AC89,FALSE))</f>
        <v>150</v>
      </c>
      <c r="H89" s="163">
        <f>+IF(VLOOKUP(H$1,Lecturas!$N$1:$AA$20,$AC89,FALSE)=0,"",VLOOKUP(H$1,Lecturas!$N$1:$AA$20,$AC89,FALSE))</f>
        <v>300</v>
      </c>
      <c r="I89" s="163">
        <f>+IF(VLOOKUP(I$1,Lecturas!$N$1:$AA$20,$AC89,FALSE)=0,"",VLOOKUP(I$1,Lecturas!$N$1:$AA$20,$AC89,FALSE))</f>
        <v>350</v>
      </c>
      <c r="J89" s="156" t="str">
        <f>+IF(VLOOKUP(J$1,Lecturas!$N$1:$AA$20,$AC89,FALSE)=0,"",VLOOKUP(J$1,Lecturas!$N$1:$AA$20,$AC89,FALSE))</f>
        <v/>
      </c>
      <c r="K89" s="156" t="str">
        <f>+IF(VLOOKUP(K$1,Lecturas!$N$1:$AA$20,$AC89,FALSE)=0,"",VLOOKUP(K$1,Lecturas!$N$1:$AA$20,$AC89,FALSE))</f>
        <v/>
      </c>
      <c r="L89" s="156" t="str">
        <f>+IF(VLOOKUP(L$1,Lecturas!$N$1:$AA$20,$AC89,FALSE)=0,"",VLOOKUP(L$1,Lecturas!$N$1:$AA$20,$AC89,FALSE))</f>
        <v/>
      </c>
      <c r="M89" s="163">
        <f>+IF(VLOOKUP(M$1,Lecturas!$N$1:$AA$20,$AC89,FALSE)=0,"",VLOOKUP(M$1,Lecturas!$N$1:$AA$20,$AC89,FALSE))</f>
        <v>2500</v>
      </c>
      <c r="N89" s="163">
        <f>+IF(VLOOKUP(N$1,Lecturas!$N$1:$AA$20,$AC89,FALSE)=0,"",VLOOKUP(N$1,Lecturas!$N$1:$AA$20,$AC89,FALSE))</f>
        <v>2000</v>
      </c>
      <c r="O89" s="163">
        <f>+IF(VLOOKUP(O$1,Lecturas!$N$1:$AA$20,$AC89,FALSE)=0,"",VLOOKUP(O$1,Lecturas!$N$1:$AA$20,$AC89,FALSE))</f>
        <v>3000</v>
      </c>
      <c r="P89" s="156" t="str">
        <f>+IF(VLOOKUP(P$1,Lecturas!$N$1:$AA$20,$AC89,FALSE)=0,"",VLOOKUP(P$1,Lecturas!$N$1:$AA$20,$AC89,FALSE))</f>
        <v/>
      </c>
      <c r="Q89" s="156" t="str">
        <f>+IF(VLOOKUP(Q$1,Lecturas!$N$1:$AA$20,$AC89,FALSE)=0,"",VLOOKUP(Q$1,Lecturas!$N$1:$AA$20,$AC89,FALSE))</f>
        <v/>
      </c>
      <c r="R89" s="156" t="str">
        <f>+IF(VLOOKUP(R$1,Lecturas!$N$1:$AA$20,$AC89,FALSE)=0,"",VLOOKUP(R$1,Lecturas!$N$1:$AA$20,$AC89,FALSE))</f>
        <v/>
      </c>
      <c r="S89" s="163" t="str">
        <f>+IF(VLOOKUP(S$1,Lecturas!$N$1:$AA$20,$AC89,FALSE)=0,"",VLOOKUP(S$1,Lecturas!$N$1:$AA$20,$AC89,FALSE))</f>
        <v/>
      </c>
      <c r="T89" s="163" t="str">
        <f>+IF(VLOOKUP(T$1,Lecturas!$N$1:$AA$20,$AC89,FALSE)=0,"",VLOOKUP(T$1,Lecturas!$N$1:$AA$20,$AC89,FALSE))</f>
        <v/>
      </c>
      <c r="U89" s="163" t="str">
        <f>+IF(VLOOKUP(U$1,Lecturas!$N$1:$AA$20,$AC89,FALSE)=0,"",VLOOKUP(U$1,Lecturas!$N$1:$AA$20,$AC89,FALSE))</f>
        <v/>
      </c>
      <c r="V89" s="156" t="str">
        <f>+IF(VLOOKUP(V$1,Lecturas!$N$1:$AA$20,$AC89,FALSE)=0,"",VLOOKUP(V$1,Lecturas!$N$1:$AA$20,$AC89,FALSE))</f>
        <v/>
      </c>
      <c r="W89" s="156" t="str">
        <f>+IF(VLOOKUP(W$1,Lecturas!$N$1:$AA$20,$AC89,FALSE)=0,"",VLOOKUP(W$1,Lecturas!$N$1:$AA$20,$AC89,FALSE))</f>
        <v/>
      </c>
      <c r="X89" s="156" t="str">
        <f>+IF(VLOOKUP(X$1,Lecturas!$N$1:$AA$20,$AC89,FALSE)=0,"",VLOOKUP(X$1,Lecturas!$N$1:$AA$20,$AC89,FALSE))</f>
        <v/>
      </c>
      <c r="Y89" s="163">
        <f>+IF(VLOOKUP(Y$1,Lecturas!$N$1:$AA$20,$AC89,FALSE)=0,"",VLOOKUP(Y$1,Lecturas!$N$1:$AA$20,$AC89,FALSE))</f>
        <v>500</v>
      </c>
      <c r="Z89" s="48"/>
      <c r="AA89" s="48"/>
      <c r="AB89" s="48"/>
      <c r="AC89" s="148">
        <f>+'CARGA DE DATOS'!AF90</f>
        <v>8</v>
      </c>
    </row>
    <row r="90" spans="1:29" x14ac:dyDescent="0.25">
      <c r="A90" s="148">
        <f>+'CARGA DE DATOS'!A91</f>
        <v>89</v>
      </c>
      <c r="B90" s="48" t="str">
        <f>+IF(RESULTADOS!H90="","",RESULTADOS!H90)</f>
        <v/>
      </c>
      <c r="C90" s="48" t="str">
        <f>+IF(RESULTADOS!D90="","",RESULTADOS!D90)</f>
        <v/>
      </c>
      <c r="D90" s="160" t="str">
        <f>+IF('CARGA DE DATOS'!K91="Cooperativa","COOP",IF(Salida!AT91="true","PROSU","GD"))</f>
        <v>GD</v>
      </c>
      <c r="E90" s="160" t="s">
        <v>9147</v>
      </c>
      <c r="F90" s="160" t="str">
        <f>+IF(OR(D90="COOP",'CARGA DE DATOS'!K91="GUMA"),"15.02.2022",IF('CARGA DE DATOS'!K91="GUME","05.02.2022","10.02.2022"))</f>
        <v>10.02.2022</v>
      </c>
      <c r="G90" s="163">
        <f>+IF(VLOOKUP(G$1,Lecturas!$N$1:$AA$20,$AC90,FALSE)=0,"",VLOOKUP(G$1,Lecturas!$N$1:$AA$20,$AC90,FALSE))</f>
        <v>1500</v>
      </c>
      <c r="H90" s="163">
        <f>+IF(VLOOKUP(H$1,Lecturas!$N$1:$AA$20,$AC90,FALSE)=0,"",VLOOKUP(H$1,Lecturas!$N$1:$AA$20,$AC90,FALSE))</f>
        <v>1550</v>
      </c>
      <c r="I90" s="163">
        <f>+IF(VLOOKUP(I$1,Lecturas!$N$1:$AA$20,$AC90,FALSE)=0,"",VLOOKUP(I$1,Lecturas!$N$1:$AA$20,$AC90,FALSE))</f>
        <v>1550</v>
      </c>
      <c r="J90" s="156" t="str">
        <f>+IF(VLOOKUP(J$1,Lecturas!$N$1:$AA$20,$AC90,FALSE)=0,"",VLOOKUP(J$1,Lecturas!$N$1:$AA$20,$AC90,FALSE))</f>
        <v/>
      </c>
      <c r="K90" s="156" t="str">
        <f>+IF(VLOOKUP(K$1,Lecturas!$N$1:$AA$20,$AC90,FALSE)=0,"",VLOOKUP(K$1,Lecturas!$N$1:$AA$20,$AC90,FALSE))</f>
        <v/>
      </c>
      <c r="L90" s="156" t="str">
        <f>+IF(VLOOKUP(L$1,Lecturas!$N$1:$AA$20,$AC90,FALSE)=0,"",VLOOKUP(L$1,Lecturas!$N$1:$AA$20,$AC90,FALSE))</f>
        <v/>
      </c>
      <c r="M90" s="163">
        <f>+IF(VLOOKUP(M$1,Lecturas!$N$1:$AA$20,$AC90,FALSE)=0,"",VLOOKUP(M$1,Lecturas!$N$1:$AA$20,$AC90,FALSE))</f>
        <v>2500</v>
      </c>
      <c r="N90" s="163">
        <f>+IF(VLOOKUP(N$1,Lecturas!$N$1:$AA$20,$AC90,FALSE)=0,"",VLOOKUP(N$1,Lecturas!$N$1:$AA$20,$AC90,FALSE))</f>
        <v>2000</v>
      </c>
      <c r="O90" s="163">
        <f>+IF(VLOOKUP(O$1,Lecturas!$N$1:$AA$20,$AC90,FALSE)=0,"",VLOOKUP(O$1,Lecturas!$N$1:$AA$20,$AC90,FALSE))</f>
        <v>3000</v>
      </c>
      <c r="P90" s="156" t="str">
        <f>+IF(VLOOKUP(P$1,Lecturas!$N$1:$AA$20,$AC90,FALSE)=0,"",VLOOKUP(P$1,Lecturas!$N$1:$AA$20,$AC90,FALSE))</f>
        <v/>
      </c>
      <c r="Q90" s="156" t="str">
        <f>+IF(VLOOKUP(Q$1,Lecturas!$N$1:$AA$20,$AC90,FALSE)=0,"",VLOOKUP(Q$1,Lecturas!$N$1:$AA$20,$AC90,FALSE))</f>
        <v/>
      </c>
      <c r="R90" s="156" t="str">
        <f>+IF(VLOOKUP(R$1,Lecturas!$N$1:$AA$20,$AC90,FALSE)=0,"",VLOOKUP(R$1,Lecturas!$N$1:$AA$20,$AC90,FALSE))</f>
        <v/>
      </c>
      <c r="S90" s="163" t="str">
        <f>+IF(VLOOKUP(S$1,Lecturas!$N$1:$AA$20,$AC90,FALSE)=0,"",VLOOKUP(S$1,Lecturas!$N$1:$AA$20,$AC90,FALSE))</f>
        <v/>
      </c>
      <c r="T90" s="163" t="str">
        <f>+IF(VLOOKUP(T$1,Lecturas!$N$1:$AA$20,$AC90,FALSE)=0,"",VLOOKUP(T$1,Lecturas!$N$1:$AA$20,$AC90,FALSE))</f>
        <v/>
      </c>
      <c r="U90" s="163" t="str">
        <f>+IF(VLOOKUP(U$1,Lecturas!$N$1:$AA$20,$AC90,FALSE)=0,"",VLOOKUP(U$1,Lecturas!$N$1:$AA$20,$AC90,FALSE))</f>
        <v/>
      </c>
      <c r="V90" s="156" t="str">
        <f>+IF(VLOOKUP(V$1,Lecturas!$N$1:$AA$20,$AC90,FALSE)=0,"",VLOOKUP(V$1,Lecturas!$N$1:$AA$20,$AC90,FALSE))</f>
        <v/>
      </c>
      <c r="W90" s="156" t="str">
        <f>+IF(VLOOKUP(W$1,Lecturas!$N$1:$AA$20,$AC90,FALSE)=0,"",VLOOKUP(W$1,Lecturas!$N$1:$AA$20,$AC90,FALSE))</f>
        <v/>
      </c>
      <c r="X90" s="156" t="str">
        <f>+IF(VLOOKUP(X$1,Lecturas!$N$1:$AA$20,$AC90,FALSE)=0,"",VLOOKUP(X$1,Lecturas!$N$1:$AA$20,$AC90,FALSE))</f>
        <v/>
      </c>
      <c r="Y90" s="163">
        <f>+IF(VLOOKUP(Y$1,Lecturas!$N$1:$AA$20,$AC90,FALSE)=0,"",VLOOKUP(Y$1,Lecturas!$N$1:$AA$20,$AC90,FALSE))</f>
        <v>7500</v>
      </c>
      <c r="Z90" s="48"/>
      <c r="AA90" s="48"/>
      <c r="AB90" s="48"/>
      <c r="AC90" s="148">
        <f>+'CARGA DE DATOS'!AF91</f>
        <v>7</v>
      </c>
    </row>
    <row r="91" spans="1:29" x14ac:dyDescent="0.25">
      <c r="A91" s="148">
        <f>+'CARGA DE DATOS'!A92</f>
        <v>90</v>
      </c>
      <c r="B91" s="48" t="str">
        <f>+IF(RESULTADOS!H91="","",RESULTADOS!H91)</f>
        <v/>
      </c>
      <c r="C91" s="48" t="str">
        <f>+IF(RESULTADOS!D91="","",RESULTADOS!D91)</f>
        <v/>
      </c>
      <c r="D91" s="160" t="str">
        <f>+IF('CARGA DE DATOS'!K92="Cooperativa","COOP",IF(Salida!AT92="true","PROSU","GD"))</f>
        <v>GD</v>
      </c>
      <c r="E91" s="160" t="s">
        <v>9147</v>
      </c>
      <c r="F91" s="160" t="str">
        <f>+IF(OR(D91="COOP",'CARGA DE DATOS'!K92="GUMA"),"15.02.2022",IF('CARGA DE DATOS'!K92="GUME","05.02.2022","10.02.2022"))</f>
        <v>10.02.2022</v>
      </c>
      <c r="G91" s="163">
        <f>+IF(VLOOKUP(G$1,Lecturas!$N$1:$AA$20,$AC91,FALSE)=0,"",VLOOKUP(G$1,Lecturas!$N$1:$AA$20,$AC91,FALSE))</f>
        <v>150</v>
      </c>
      <c r="H91" s="163">
        <f>+IF(VLOOKUP(H$1,Lecturas!$N$1:$AA$20,$AC91,FALSE)=0,"",VLOOKUP(H$1,Lecturas!$N$1:$AA$20,$AC91,FALSE))</f>
        <v>150</v>
      </c>
      <c r="I91" s="163">
        <f>+IF(VLOOKUP(I$1,Lecturas!$N$1:$AA$20,$AC91,FALSE)=0,"",VLOOKUP(I$1,Lecturas!$N$1:$AA$20,$AC91,FALSE))</f>
        <v>150</v>
      </c>
      <c r="J91" s="156" t="str">
        <f>+IF(VLOOKUP(J$1,Lecturas!$N$1:$AA$20,$AC91,FALSE)=0,"",VLOOKUP(J$1,Lecturas!$N$1:$AA$20,$AC91,FALSE))</f>
        <v/>
      </c>
      <c r="K91" s="156" t="str">
        <f>+IF(VLOOKUP(K$1,Lecturas!$N$1:$AA$20,$AC91,FALSE)=0,"",VLOOKUP(K$1,Lecturas!$N$1:$AA$20,$AC91,FALSE))</f>
        <v/>
      </c>
      <c r="L91" s="156" t="str">
        <f>+IF(VLOOKUP(L$1,Lecturas!$N$1:$AA$20,$AC91,FALSE)=0,"",VLOOKUP(L$1,Lecturas!$N$1:$AA$20,$AC91,FALSE))</f>
        <v/>
      </c>
      <c r="M91" s="163">
        <f>+IF(VLOOKUP(M$1,Lecturas!$N$1:$AA$20,$AC91,FALSE)=0,"",VLOOKUP(M$1,Lecturas!$N$1:$AA$20,$AC91,FALSE))</f>
        <v>2500</v>
      </c>
      <c r="N91" s="163">
        <f>+IF(VLOOKUP(N$1,Lecturas!$N$1:$AA$20,$AC91,FALSE)=0,"",VLOOKUP(N$1,Lecturas!$N$1:$AA$20,$AC91,FALSE))</f>
        <v>2000</v>
      </c>
      <c r="O91" s="163">
        <f>+IF(VLOOKUP(O$1,Lecturas!$N$1:$AA$20,$AC91,FALSE)=0,"",VLOOKUP(O$1,Lecturas!$N$1:$AA$20,$AC91,FALSE))</f>
        <v>3000</v>
      </c>
      <c r="P91" s="156" t="str">
        <f>+IF(VLOOKUP(P$1,Lecturas!$N$1:$AA$20,$AC91,FALSE)=0,"",VLOOKUP(P$1,Lecturas!$N$1:$AA$20,$AC91,FALSE))</f>
        <v/>
      </c>
      <c r="Q91" s="156" t="str">
        <f>+IF(VLOOKUP(Q$1,Lecturas!$N$1:$AA$20,$AC91,FALSE)=0,"",VLOOKUP(Q$1,Lecturas!$N$1:$AA$20,$AC91,FALSE))</f>
        <v/>
      </c>
      <c r="R91" s="156" t="str">
        <f>+IF(VLOOKUP(R$1,Lecturas!$N$1:$AA$20,$AC91,FALSE)=0,"",VLOOKUP(R$1,Lecturas!$N$1:$AA$20,$AC91,FALSE))</f>
        <v/>
      </c>
      <c r="S91" s="163" t="str">
        <f>+IF(VLOOKUP(S$1,Lecturas!$N$1:$AA$20,$AC91,FALSE)=0,"",VLOOKUP(S$1,Lecturas!$N$1:$AA$20,$AC91,FALSE))</f>
        <v/>
      </c>
      <c r="T91" s="163" t="str">
        <f>+IF(VLOOKUP(T$1,Lecturas!$N$1:$AA$20,$AC91,FALSE)=0,"",VLOOKUP(T$1,Lecturas!$N$1:$AA$20,$AC91,FALSE))</f>
        <v/>
      </c>
      <c r="U91" s="163" t="str">
        <f>+IF(VLOOKUP(U$1,Lecturas!$N$1:$AA$20,$AC91,FALSE)=0,"",VLOOKUP(U$1,Lecturas!$N$1:$AA$20,$AC91,FALSE))</f>
        <v/>
      </c>
      <c r="V91" s="156" t="str">
        <f>+IF(VLOOKUP(V$1,Lecturas!$N$1:$AA$20,$AC91,FALSE)=0,"",VLOOKUP(V$1,Lecturas!$N$1:$AA$20,$AC91,FALSE))</f>
        <v/>
      </c>
      <c r="W91" s="156" t="str">
        <f>+IF(VLOOKUP(W$1,Lecturas!$N$1:$AA$20,$AC91,FALSE)=0,"",VLOOKUP(W$1,Lecturas!$N$1:$AA$20,$AC91,FALSE))</f>
        <v/>
      </c>
      <c r="X91" s="156" t="str">
        <f>+IF(VLOOKUP(X$1,Lecturas!$N$1:$AA$20,$AC91,FALSE)=0,"",VLOOKUP(X$1,Lecturas!$N$1:$AA$20,$AC91,FALSE))</f>
        <v/>
      </c>
      <c r="Y91" s="163">
        <f>+IF(VLOOKUP(Y$1,Lecturas!$N$1:$AA$20,$AC91,FALSE)=0,"",VLOOKUP(Y$1,Lecturas!$N$1:$AA$20,$AC91,FALSE))</f>
        <v>5000</v>
      </c>
      <c r="Z91" s="48"/>
      <c r="AA91" s="48"/>
      <c r="AB91" s="48"/>
      <c r="AC91" s="148">
        <f>+'CARGA DE DATOS'!AF92</f>
        <v>2</v>
      </c>
    </row>
    <row r="92" spans="1:29" x14ac:dyDescent="0.25">
      <c r="A92" s="148">
        <f>+'CARGA DE DATOS'!A93</f>
        <v>91</v>
      </c>
      <c r="B92" s="48" t="str">
        <f>+IF(RESULTADOS!H92="","",RESULTADOS!H92)</f>
        <v/>
      </c>
      <c r="C92" s="48" t="str">
        <f>+IF(RESULTADOS!D92="","",RESULTADOS!D92)</f>
        <v/>
      </c>
      <c r="D92" s="160" t="str">
        <f>+IF('CARGA DE DATOS'!K93="Cooperativa","COOP",IF(Salida!AT93="true","PROSU","GD"))</f>
        <v>GD</v>
      </c>
      <c r="E92" s="160" t="s">
        <v>9147</v>
      </c>
      <c r="F92" s="160" t="str">
        <f>+IF(OR(D92="COOP",'CARGA DE DATOS'!K93="GUMA"),"15.02.2022",IF('CARGA DE DATOS'!K93="GUME","05.02.2022","10.02.2022"))</f>
        <v>10.02.2022</v>
      </c>
      <c r="G92" s="163">
        <f>+IF(VLOOKUP(G$1,Lecturas!$N$1:$AA$20,$AC92,FALSE)=0,"",VLOOKUP(G$1,Lecturas!$N$1:$AA$20,$AC92,FALSE))</f>
        <v>150</v>
      </c>
      <c r="H92" s="163">
        <f>+IF(VLOOKUP(H$1,Lecturas!$N$1:$AA$20,$AC92,FALSE)=0,"",VLOOKUP(H$1,Lecturas!$N$1:$AA$20,$AC92,FALSE))</f>
        <v>150</v>
      </c>
      <c r="I92" s="163">
        <f>+IF(VLOOKUP(I$1,Lecturas!$N$1:$AA$20,$AC92,FALSE)=0,"",VLOOKUP(I$1,Lecturas!$N$1:$AA$20,$AC92,FALSE))</f>
        <v>150</v>
      </c>
      <c r="J92" s="156" t="str">
        <f>+IF(VLOOKUP(J$1,Lecturas!$N$1:$AA$20,$AC92,FALSE)=0,"",VLOOKUP(J$1,Lecturas!$N$1:$AA$20,$AC92,FALSE))</f>
        <v/>
      </c>
      <c r="K92" s="156" t="str">
        <f>+IF(VLOOKUP(K$1,Lecturas!$N$1:$AA$20,$AC92,FALSE)=0,"",VLOOKUP(K$1,Lecturas!$N$1:$AA$20,$AC92,FALSE))</f>
        <v/>
      </c>
      <c r="L92" s="156" t="str">
        <f>+IF(VLOOKUP(L$1,Lecturas!$N$1:$AA$20,$AC92,FALSE)=0,"",VLOOKUP(L$1,Lecturas!$N$1:$AA$20,$AC92,FALSE))</f>
        <v/>
      </c>
      <c r="M92" s="163">
        <f>+IF(VLOOKUP(M$1,Lecturas!$N$1:$AA$20,$AC92,FALSE)=0,"",VLOOKUP(M$1,Lecturas!$N$1:$AA$20,$AC92,FALSE))</f>
        <v>2500</v>
      </c>
      <c r="N92" s="163">
        <f>+IF(VLOOKUP(N$1,Lecturas!$N$1:$AA$20,$AC92,FALSE)=0,"",VLOOKUP(N$1,Lecturas!$N$1:$AA$20,$AC92,FALSE))</f>
        <v>2000</v>
      </c>
      <c r="O92" s="163">
        <f>+IF(VLOOKUP(O$1,Lecturas!$N$1:$AA$20,$AC92,FALSE)=0,"",VLOOKUP(O$1,Lecturas!$N$1:$AA$20,$AC92,FALSE))</f>
        <v>3000</v>
      </c>
      <c r="P92" s="156" t="str">
        <f>+IF(VLOOKUP(P$1,Lecturas!$N$1:$AA$20,$AC92,FALSE)=0,"",VLOOKUP(P$1,Lecturas!$N$1:$AA$20,$AC92,FALSE))</f>
        <v/>
      </c>
      <c r="Q92" s="156" t="str">
        <f>+IF(VLOOKUP(Q$1,Lecturas!$N$1:$AA$20,$AC92,FALSE)=0,"",VLOOKUP(Q$1,Lecturas!$N$1:$AA$20,$AC92,FALSE))</f>
        <v/>
      </c>
      <c r="R92" s="156" t="str">
        <f>+IF(VLOOKUP(R$1,Lecturas!$N$1:$AA$20,$AC92,FALSE)=0,"",VLOOKUP(R$1,Lecturas!$N$1:$AA$20,$AC92,FALSE))</f>
        <v/>
      </c>
      <c r="S92" s="163" t="str">
        <f>+IF(VLOOKUP(S$1,Lecturas!$N$1:$AA$20,$AC92,FALSE)=0,"",VLOOKUP(S$1,Lecturas!$N$1:$AA$20,$AC92,FALSE))</f>
        <v/>
      </c>
      <c r="T92" s="163" t="str">
        <f>+IF(VLOOKUP(T$1,Lecturas!$N$1:$AA$20,$AC92,FALSE)=0,"",VLOOKUP(T$1,Lecturas!$N$1:$AA$20,$AC92,FALSE))</f>
        <v/>
      </c>
      <c r="U92" s="163" t="str">
        <f>+IF(VLOOKUP(U$1,Lecturas!$N$1:$AA$20,$AC92,FALSE)=0,"",VLOOKUP(U$1,Lecturas!$N$1:$AA$20,$AC92,FALSE))</f>
        <v/>
      </c>
      <c r="V92" s="156" t="str">
        <f>+IF(VLOOKUP(V$1,Lecturas!$N$1:$AA$20,$AC92,FALSE)=0,"",VLOOKUP(V$1,Lecturas!$N$1:$AA$20,$AC92,FALSE))</f>
        <v/>
      </c>
      <c r="W92" s="156" t="str">
        <f>+IF(VLOOKUP(W$1,Lecturas!$N$1:$AA$20,$AC92,FALSE)=0,"",VLOOKUP(W$1,Lecturas!$N$1:$AA$20,$AC92,FALSE))</f>
        <v/>
      </c>
      <c r="X92" s="156" t="str">
        <f>+IF(VLOOKUP(X$1,Lecturas!$N$1:$AA$20,$AC92,FALSE)=0,"",VLOOKUP(X$1,Lecturas!$N$1:$AA$20,$AC92,FALSE))</f>
        <v/>
      </c>
      <c r="Y92" s="163">
        <f>+IF(VLOOKUP(Y$1,Lecturas!$N$1:$AA$20,$AC92,FALSE)=0,"",VLOOKUP(Y$1,Lecturas!$N$1:$AA$20,$AC92,FALSE))</f>
        <v>15000</v>
      </c>
      <c r="Z92" s="48"/>
      <c r="AA92" s="48"/>
      <c r="AB92" s="48"/>
      <c r="AC92" s="148">
        <f>+'CARGA DE DATOS'!AF93</f>
        <v>4</v>
      </c>
    </row>
    <row r="93" spans="1:29" x14ac:dyDescent="0.25">
      <c r="A93" s="148">
        <f>+'CARGA DE DATOS'!A94</f>
        <v>92</v>
      </c>
      <c r="B93" s="48" t="str">
        <f>+IF(RESULTADOS!H93="","",RESULTADOS!H93)</f>
        <v/>
      </c>
      <c r="C93" s="48" t="str">
        <f>+IF(RESULTADOS!D93="","",RESULTADOS!D93)</f>
        <v/>
      </c>
      <c r="D93" s="160" t="str">
        <f>+IF('CARGA DE DATOS'!K94="Cooperativa","COOP",IF(Salida!AT94="true","PROSU","GD"))</f>
        <v>GD</v>
      </c>
      <c r="E93" s="160" t="s">
        <v>9147</v>
      </c>
      <c r="F93" s="160" t="str">
        <f>+IF(OR(D93="COOP",'CARGA DE DATOS'!K94="GUMA"),"15.02.2022",IF('CARGA DE DATOS'!K94="GUME","05.02.2022","10.02.2022"))</f>
        <v>10.02.2022</v>
      </c>
      <c r="G93" s="163">
        <f>+IF(VLOOKUP(G$1,Lecturas!$N$1:$AA$20,$AC93,FALSE)=0,"",VLOOKUP(G$1,Lecturas!$N$1:$AA$20,$AC93,FALSE))</f>
        <v>1500</v>
      </c>
      <c r="H93" s="163">
        <f>+IF(VLOOKUP(H$1,Lecturas!$N$1:$AA$20,$AC93,FALSE)=0,"",VLOOKUP(H$1,Lecturas!$N$1:$AA$20,$AC93,FALSE))</f>
        <v>1550</v>
      </c>
      <c r="I93" s="163">
        <f>+IF(VLOOKUP(I$1,Lecturas!$N$1:$AA$20,$AC93,FALSE)=0,"",VLOOKUP(I$1,Lecturas!$N$1:$AA$20,$AC93,FALSE))</f>
        <v>1550</v>
      </c>
      <c r="J93" s="156" t="str">
        <f>+IF(VLOOKUP(J$1,Lecturas!$N$1:$AA$20,$AC93,FALSE)=0,"",VLOOKUP(J$1,Lecturas!$N$1:$AA$20,$AC93,FALSE))</f>
        <v/>
      </c>
      <c r="K93" s="156" t="str">
        <f>+IF(VLOOKUP(K$1,Lecturas!$N$1:$AA$20,$AC93,FALSE)=0,"",VLOOKUP(K$1,Lecturas!$N$1:$AA$20,$AC93,FALSE))</f>
        <v/>
      </c>
      <c r="L93" s="156" t="str">
        <f>+IF(VLOOKUP(L$1,Lecturas!$N$1:$AA$20,$AC93,FALSE)=0,"",VLOOKUP(L$1,Lecturas!$N$1:$AA$20,$AC93,FALSE))</f>
        <v/>
      </c>
      <c r="M93" s="163">
        <f>+IF(VLOOKUP(M$1,Lecturas!$N$1:$AA$20,$AC93,FALSE)=0,"",VLOOKUP(M$1,Lecturas!$N$1:$AA$20,$AC93,FALSE))</f>
        <v>2500</v>
      </c>
      <c r="N93" s="163">
        <f>+IF(VLOOKUP(N$1,Lecturas!$N$1:$AA$20,$AC93,FALSE)=0,"",VLOOKUP(N$1,Lecturas!$N$1:$AA$20,$AC93,FALSE))</f>
        <v>2000</v>
      </c>
      <c r="O93" s="163">
        <f>+IF(VLOOKUP(O$1,Lecturas!$N$1:$AA$20,$AC93,FALSE)=0,"",VLOOKUP(O$1,Lecturas!$N$1:$AA$20,$AC93,FALSE))</f>
        <v>3000</v>
      </c>
      <c r="P93" s="156" t="str">
        <f>+IF(VLOOKUP(P$1,Lecturas!$N$1:$AA$20,$AC93,FALSE)=0,"",VLOOKUP(P$1,Lecturas!$N$1:$AA$20,$AC93,FALSE))</f>
        <v/>
      </c>
      <c r="Q93" s="156" t="str">
        <f>+IF(VLOOKUP(Q$1,Lecturas!$N$1:$AA$20,$AC93,FALSE)=0,"",VLOOKUP(Q$1,Lecturas!$N$1:$AA$20,$AC93,FALSE))</f>
        <v/>
      </c>
      <c r="R93" s="156" t="str">
        <f>+IF(VLOOKUP(R$1,Lecturas!$N$1:$AA$20,$AC93,FALSE)=0,"",VLOOKUP(R$1,Lecturas!$N$1:$AA$20,$AC93,FALSE))</f>
        <v/>
      </c>
      <c r="S93" s="163" t="str">
        <f>+IF(VLOOKUP(S$1,Lecturas!$N$1:$AA$20,$AC93,FALSE)=0,"",VLOOKUP(S$1,Lecturas!$N$1:$AA$20,$AC93,FALSE))</f>
        <v/>
      </c>
      <c r="T93" s="163" t="str">
        <f>+IF(VLOOKUP(T$1,Lecturas!$N$1:$AA$20,$AC93,FALSE)=0,"",VLOOKUP(T$1,Lecturas!$N$1:$AA$20,$AC93,FALSE))</f>
        <v/>
      </c>
      <c r="U93" s="163" t="str">
        <f>+IF(VLOOKUP(U$1,Lecturas!$N$1:$AA$20,$AC93,FALSE)=0,"",VLOOKUP(U$1,Lecturas!$N$1:$AA$20,$AC93,FALSE))</f>
        <v/>
      </c>
      <c r="V93" s="156" t="str">
        <f>+IF(VLOOKUP(V$1,Lecturas!$N$1:$AA$20,$AC93,FALSE)=0,"",VLOOKUP(V$1,Lecturas!$N$1:$AA$20,$AC93,FALSE))</f>
        <v/>
      </c>
      <c r="W93" s="156" t="str">
        <f>+IF(VLOOKUP(W$1,Lecturas!$N$1:$AA$20,$AC93,FALSE)=0,"",VLOOKUP(W$1,Lecturas!$N$1:$AA$20,$AC93,FALSE))</f>
        <v/>
      </c>
      <c r="X93" s="156" t="str">
        <f>+IF(VLOOKUP(X$1,Lecturas!$N$1:$AA$20,$AC93,FALSE)=0,"",VLOOKUP(X$1,Lecturas!$N$1:$AA$20,$AC93,FALSE))</f>
        <v/>
      </c>
      <c r="Y93" s="163">
        <f>+IF(VLOOKUP(Y$1,Lecturas!$N$1:$AA$20,$AC93,FALSE)=0,"",VLOOKUP(Y$1,Lecturas!$N$1:$AA$20,$AC93,FALSE))</f>
        <v>7500</v>
      </c>
      <c r="Z93" s="48"/>
      <c r="AA93" s="48"/>
      <c r="AB93" s="48"/>
      <c r="AC93" s="148">
        <f>+'CARGA DE DATOS'!AF94</f>
        <v>7</v>
      </c>
    </row>
    <row r="94" spans="1:29" x14ac:dyDescent="0.25">
      <c r="A94" s="148">
        <f>+'CARGA DE DATOS'!A95</f>
        <v>93</v>
      </c>
      <c r="B94" s="48" t="str">
        <f>+IF(RESULTADOS!H94="","",RESULTADOS!H94)</f>
        <v/>
      </c>
      <c r="C94" s="48" t="str">
        <f>+IF(RESULTADOS!D94="","",RESULTADOS!D94)</f>
        <v/>
      </c>
      <c r="D94" s="160" t="str">
        <f>+IF('CARGA DE DATOS'!K95="Cooperativa","COOP",IF(Salida!AT95="true","PROSU","GD"))</f>
        <v>GD</v>
      </c>
      <c r="E94" s="160" t="s">
        <v>9147</v>
      </c>
      <c r="F94" s="160" t="str">
        <f>+IF(OR(D94="COOP",'CARGA DE DATOS'!K95="GUMA"),"15.02.2022",IF('CARGA DE DATOS'!K95="GUME","05.02.2022","10.02.2022"))</f>
        <v>10.02.2022</v>
      </c>
      <c r="G94" s="163">
        <f>+IF(VLOOKUP(G$1,Lecturas!$N$1:$AA$20,$AC94,FALSE)=0,"",VLOOKUP(G$1,Lecturas!$N$1:$AA$20,$AC94,FALSE))</f>
        <v>1500</v>
      </c>
      <c r="H94" s="163">
        <f>+IF(VLOOKUP(H$1,Lecturas!$N$1:$AA$20,$AC94,FALSE)=0,"",VLOOKUP(H$1,Lecturas!$N$1:$AA$20,$AC94,FALSE))</f>
        <v>1550</v>
      </c>
      <c r="I94" s="163">
        <f>+IF(VLOOKUP(I$1,Lecturas!$N$1:$AA$20,$AC94,FALSE)=0,"",VLOOKUP(I$1,Lecturas!$N$1:$AA$20,$AC94,FALSE))</f>
        <v>1550</v>
      </c>
      <c r="J94" s="156" t="str">
        <f>+IF(VLOOKUP(J$1,Lecturas!$N$1:$AA$20,$AC94,FALSE)=0,"",VLOOKUP(J$1,Lecturas!$N$1:$AA$20,$AC94,FALSE))</f>
        <v/>
      </c>
      <c r="K94" s="156" t="str">
        <f>+IF(VLOOKUP(K$1,Lecturas!$N$1:$AA$20,$AC94,FALSE)=0,"",VLOOKUP(K$1,Lecturas!$N$1:$AA$20,$AC94,FALSE))</f>
        <v/>
      </c>
      <c r="L94" s="156" t="str">
        <f>+IF(VLOOKUP(L$1,Lecturas!$N$1:$AA$20,$AC94,FALSE)=0,"",VLOOKUP(L$1,Lecturas!$N$1:$AA$20,$AC94,FALSE))</f>
        <v/>
      </c>
      <c r="M94" s="163">
        <f>+IF(VLOOKUP(M$1,Lecturas!$N$1:$AA$20,$AC94,FALSE)=0,"",VLOOKUP(M$1,Lecturas!$N$1:$AA$20,$AC94,FALSE))</f>
        <v>2500</v>
      </c>
      <c r="N94" s="163">
        <f>+IF(VLOOKUP(N$1,Lecturas!$N$1:$AA$20,$AC94,FALSE)=0,"",VLOOKUP(N$1,Lecturas!$N$1:$AA$20,$AC94,FALSE))</f>
        <v>2000</v>
      </c>
      <c r="O94" s="163">
        <f>+IF(VLOOKUP(O$1,Lecturas!$N$1:$AA$20,$AC94,FALSE)=0,"",VLOOKUP(O$1,Lecturas!$N$1:$AA$20,$AC94,FALSE))</f>
        <v>3000</v>
      </c>
      <c r="P94" s="156" t="str">
        <f>+IF(VLOOKUP(P$1,Lecturas!$N$1:$AA$20,$AC94,FALSE)=0,"",VLOOKUP(P$1,Lecturas!$N$1:$AA$20,$AC94,FALSE))</f>
        <v/>
      </c>
      <c r="Q94" s="156" t="str">
        <f>+IF(VLOOKUP(Q$1,Lecturas!$N$1:$AA$20,$AC94,FALSE)=0,"",VLOOKUP(Q$1,Lecturas!$N$1:$AA$20,$AC94,FALSE))</f>
        <v/>
      </c>
      <c r="R94" s="156" t="str">
        <f>+IF(VLOOKUP(R$1,Lecturas!$N$1:$AA$20,$AC94,FALSE)=0,"",VLOOKUP(R$1,Lecturas!$N$1:$AA$20,$AC94,FALSE))</f>
        <v/>
      </c>
      <c r="S94" s="163" t="str">
        <f>+IF(VLOOKUP(S$1,Lecturas!$N$1:$AA$20,$AC94,FALSE)=0,"",VLOOKUP(S$1,Lecturas!$N$1:$AA$20,$AC94,FALSE))</f>
        <v/>
      </c>
      <c r="T94" s="163" t="str">
        <f>+IF(VLOOKUP(T$1,Lecturas!$N$1:$AA$20,$AC94,FALSE)=0,"",VLOOKUP(T$1,Lecturas!$N$1:$AA$20,$AC94,FALSE))</f>
        <v/>
      </c>
      <c r="U94" s="163" t="str">
        <f>+IF(VLOOKUP(U$1,Lecturas!$N$1:$AA$20,$AC94,FALSE)=0,"",VLOOKUP(U$1,Lecturas!$N$1:$AA$20,$AC94,FALSE))</f>
        <v/>
      </c>
      <c r="V94" s="156" t="str">
        <f>+IF(VLOOKUP(V$1,Lecturas!$N$1:$AA$20,$AC94,FALSE)=0,"",VLOOKUP(V$1,Lecturas!$N$1:$AA$20,$AC94,FALSE))</f>
        <v/>
      </c>
      <c r="W94" s="156" t="str">
        <f>+IF(VLOOKUP(W$1,Lecturas!$N$1:$AA$20,$AC94,FALSE)=0,"",VLOOKUP(W$1,Lecturas!$N$1:$AA$20,$AC94,FALSE))</f>
        <v/>
      </c>
      <c r="X94" s="156" t="str">
        <f>+IF(VLOOKUP(X$1,Lecturas!$N$1:$AA$20,$AC94,FALSE)=0,"",VLOOKUP(X$1,Lecturas!$N$1:$AA$20,$AC94,FALSE))</f>
        <v/>
      </c>
      <c r="Y94" s="163">
        <f>+IF(VLOOKUP(Y$1,Lecturas!$N$1:$AA$20,$AC94,FALSE)=0,"",VLOOKUP(Y$1,Lecturas!$N$1:$AA$20,$AC94,FALSE))</f>
        <v>7500</v>
      </c>
      <c r="Z94" s="48"/>
      <c r="AA94" s="48"/>
      <c r="AB94" s="48"/>
      <c r="AC94" s="148">
        <f>+'CARGA DE DATOS'!AF95</f>
        <v>7</v>
      </c>
    </row>
    <row r="95" spans="1:29" x14ac:dyDescent="0.25">
      <c r="A95" s="148">
        <f>+'CARGA DE DATOS'!A96</f>
        <v>94</v>
      </c>
      <c r="B95" s="48" t="str">
        <f>+IF(RESULTADOS!H95="","",RESULTADOS!H95)</f>
        <v/>
      </c>
      <c r="C95" s="48" t="str">
        <f>+IF(RESULTADOS!D95="","",RESULTADOS!D95)</f>
        <v/>
      </c>
      <c r="D95" s="160" t="str">
        <f>+IF('CARGA DE DATOS'!K96="Cooperativa","COOP",IF(Salida!AT96="true","PROSU","GD"))</f>
        <v>GD</v>
      </c>
      <c r="E95" s="160" t="s">
        <v>9147</v>
      </c>
      <c r="F95" s="160" t="str">
        <f>+IF(OR(D95="COOP",'CARGA DE DATOS'!K96="GUMA"),"15.02.2022",IF('CARGA DE DATOS'!K96="GUME","05.02.2022","10.02.2022"))</f>
        <v>10.02.2022</v>
      </c>
      <c r="G95" s="163">
        <f>+IF(VLOOKUP(G$1,Lecturas!$N$1:$AA$20,$AC95,FALSE)=0,"",VLOOKUP(G$1,Lecturas!$N$1:$AA$20,$AC95,FALSE))</f>
        <v>150</v>
      </c>
      <c r="H95" s="163">
        <f>+IF(VLOOKUP(H$1,Lecturas!$N$1:$AA$20,$AC95,FALSE)=0,"",VLOOKUP(H$1,Lecturas!$N$1:$AA$20,$AC95,FALSE))</f>
        <v>300</v>
      </c>
      <c r="I95" s="163">
        <f>+IF(VLOOKUP(I$1,Lecturas!$N$1:$AA$20,$AC95,FALSE)=0,"",VLOOKUP(I$1,Lecturas!$N$1:$AA$20,$AC95,FALSE))</f>
        <v>150</v>
      </c>
      <c r="J95" s="156" t="str">
        <f>+IF(VLOOKUP(J$1,Lecturas!$N$1:$AA$20,$AC95,FALSE)=0,"",VLOOKUP(J$1,Lecturas!$N$1:$AA$20,$AC95,FALSE))</f>
        <v/>
      </c>
      <c r="K95" s="156" t="str">
        <f>+IF(VLOOKUP(K$1,Lecturas!$N$1:$AA$20,$AC95,FALSE)=0,"",VLOOKUP(K$1,Lecturas!$N$1:$AA$20,$AC95,FALSE))</f>
        <v/>
      </c>
      <c r="L95" s="156" t="str">
        <f>+IF(VLOOKUP(L$1,Lecturas!$N$1:$AA$20,$AC95,FALSE)=0,"",VLOOKUP(L$1,Lecturas!$N$1:$AA$20,$AC95,FALSE))</f>
        <v/>
      </c>
      <c r="M95" s="163">
        <f>+IF(VLOOKUP(M$1,Lecturas!$N$1:$AA$20,$AC95,FALSE)=0,"",VLOOKUP(M$1,Lecturas!$N$1:$AA$20,$AC95,FALSE))</f>
        <v>2500</v>
      </c>
      <c r="N95" s="163">
        <f>+IF(VLOOKUP(N$1,Lecturas!$N$1:$AA$20,$AC95,FALSE)=0,"",VLOOKUP(N$1,Lecturas!$N$1:$AA$20,$AC95,FALSE))</f>
        <v>2000</v>
      </c>
      <c r="O95" s="163">
        <f>+IF(VLOOKUP(O$1,Lecturas!$N$1:$AA$20,$AC95,FALSE)=0,"",VLOOKUP(O$1,Lecturas!$N$1:$AA$20,$AC95,FALSE))</f>
        <v>3000</v>
      </c>
      <c r="P95" s="156" t="str">
        <f>+IF(VLOOKUP(P$1,Lecturas!$N$1:$AA$20,$AC95,FALSE)=0,"",VLOOKUP(P$1,Lecturas!$N$1:$AA$20,$AC95,FALSE))</f>
        <v/>
      </c>
      <c r="Q95" s="156" t="str">
        <f>+IF(VLOOKUP(Q$1,Lecturas!$N$1:$AA$20,$AC95,FALSE)=0,"",VLOOKUP(Q$1,Lecturas!$N$1:$AA$20,$AC95,FALSE))</f>
        <v/>
      </c>
      <c r="R95" s="156" t="str">
        <f>+IF(VLOOKUP(R$1,Lecturas!$N$1:$AA$20,$AC95,FALSE)=0,"",VLOOKUP(R$1,Lecturas!$N$1:$AA$20,$AC95,FALSE))</f>
        <v/>
      </c>
      <c r="S95" s="163" t="str">
        <f>+IF(VLOOKUP(S$1,Lecturas!$N$1:$AA$20,$AC95,FALSE)=0,"",VLOOKUP(S$1,Lecturas!$N$1:$AA$20,$AC95,FALSE))</f>
        <v/>
      </c>
      <c r="T95" s="163" t="str">
        <f>+IF(VLOOKUP(T$1,Lecturas!$N$1:$AA$20,$AC95,FALSE)=0,"",VLOOKUP(T$1,Lecturas!$N$1:$AA$20,$AC95,FALSE))</f>
        <v/>
      </c>
      <c r="U95" s="163" t="str">
        <f>+IF(VLOOKUP(U$1,Lecturas!$N$1:$AA$20,$AC95,FALSE)=0,"",VLOOKUP(U$1,Lecturas!$N$1:$AA$20,$AC95,FALSE))</f>
        <v/>
      </c>
      <c r="V95" s="156" t="str">
        <f>+IF(VLOOKUP(V$1,Lecturas!$N$1:$AA$20,$AC95,FALSE)=0,"",VLOOKUP(V$1,Lecturas!$N$1:$AA$20,$AC95,FALSE))</f>
        <v/>
      </c>
      <c r="W95" s="156" t="str">
        <f>+IF(VLOOKUP(W$1,Lecturas!$N$1:$AA$20,$AC95,FALSE)=0,"",VLOOKUP(W$1,Lecturas!$N$1:$AA$20,$AC95,FALSE))</f>
        <v/>
      </c>
      <c r="X95" s="156" t="str">
        <f>+IF(VLOOKUP(X$1,Lecturas!$N$1:$AA$20,$AC95,FALSE)=0,"",VLOOKUP(X$1,Lecturas!$N$1:$AA$20,$AC95,FALSE))</f>
        <v/>
      </c>
      <c r="Y95" s="163">
        <f>+IF(VLOOKUP(Y$1,Lecturas!$N$1:$AA$20,$AC95,FALSE)=0,"",VLOOKUP(Y$1,Lecturas!$N$1:$AA$20,$AC95,FALSE))</f>
        <v>5000</v>
      </c>
      <c r="Z95" s="48"/>
      <c r="AA95" s="48"/>
      <c r="AB95" s="48"/>
      <c r="AC95" s="148">
        <f>+'CARGA DE DATOS'!AF96</f>
        <v>3</v>
      </c>
    </row>
    <row r="96" spans="1:29" x14ac:dyDescent="0.25">
      <c r="A96" s="148">
        <f>+'CARGA DE DATOS'!A97</f>
        <v>95</v>
      </c>
      <c r="B96" s="48" t="str">
        <f>+IF(RESULTADOS!H96="","",RESULTADOS!H96)</f>
        <v/>
      </c>
      <c r="C96" s="48" t="str">
        <f>+IF(RESULTADOS!D96="","",RESULTADOS!D96)</f>
        <v/>
      </c>
      <c r="D96" s="160" t="str">
        <f>+IF('CARGA DE DATOS'!K97="Cooperativa","COOP",IF(Salida!AT97="true","PROSU","GD"))</f>
        <v>GD</v>
      </c>
      <c r="E96" s="160" t="s">
        <v>9147</v>
      </c>
      <c r="F96" s="160" t="str">
        <f>+IF(OR(D96="COOP",'CARGA DE DATOS'!K97="GUMA"),"15.02.2022",IF('CARGA DE DATOS'!K97="GUME","05.02.2022","10.02.2022"))</f>
        <v>10.02.2022</v>
      </c>
      <c r="G96" s="163">
        <f>+IF(VLOOKUP(G$1,Lecturas!$N$1:$AA$20,$AC96,FALSE)=0,"",VLOOKUP(G$1,Lecturas!$N$1:$AA$20,$AC96,FALSE))</f>
        <v>1500</v>
      </c>
      <c r="H96" s="163">
        <f>+IF(VLOOKUP(H$1,Lecturas!$N$1:$AA$20,$AC96,FALSE)=0,"",VLOOKUP(H$1,Lecturas!$N$1:$AA$20,$AC96,FALSE))</f>
        <v>1550</v>
      </c>
      <c r="I96" s="163">
        <f>+IF(VLOOKUP(I$1,Lecturas!$N$1:$AA$20,$AC96,FALSE)=0,"",VLOOKUP(I$1,Lecturas!$N$1:$AA$20,$AC96,FALSE))</f>
        <v>1550</v>
      </c>
      <c r="J96" s="156" t="str">
        <f>+IF(VLOOKUP(J$1,Lecturas!$N$1:$AA$20,$AC96,FALSE)=0,"",VLOOKUP(J$1,Lecturas!$N$1:$AA$20,$AC96,FALSE))</f>
        <v/>
      </c>
      <c r="K96" s="156" t="str">
        <f>+IF(VLOOKUP(K$1,Lecturas!$N$1:$AA$20,$AC96,FALSE)=0,"",VLOOKUP(K$1,Lecturas!$N$1:$AA$20,$AC96,FALSE))</f>
        <v/>
      </c>
      <c r="L96" s="156" t="str">
        <f>+IF(VLOOKUP(L$1,Lecturas!$N$1:$AA$20,$AC96,FALSE)=0,"",VLOOKUP(L$1,Lecturas!$N$1:$AA$20,$AC96,FALSE))</f>
        <v/>
      </c>
      <c r="M96" s="163">
        <f>+IF(VLOOKUP(M$1,Lecturas!$N$1:$AA$20,$AC96,FALSE)=0,"",VLOOKUP(M$1,Lecturas!$N$1:$AA$20,$AC96,FALSE))</f>
        <v>2500</v>
      </c>
      <c r="N96" s="163">
        <f>+IF(VLOOKUP(N$1,Lecturas!$N$1:$AA$20,$AC96,FALSE)=0,"",VLOOKUP(N$1,Lecturas!$N$1:$AA$20,$AC96,FALSE))</f>
        <v>2000</v>
      </c>
      <c r="O96" s="163">
        <f>+IF(VLOOKUP(O$1,Lecturas!$N$1:$AA$20,$AC96,FALSE)=0,"",VLOOKUP(O$1,Lecturas!$N$1:$AA$20,$AC96,FALSE))</f>
        <v>3000</v>
      </c>
      <c r="P96" s="156" t="str">
        <f>+IF(VLOOKUP(P$1,Lecturas!$N$1:$AA$20,$AC96,FALSE)=0,"",VLOOKUP(P$1,Lecturas!$N$1:$AA$20,$AC96,FALSE))</f>
        <v/>
      </c>
      <c r="Q96" s="156" t="str">
        <f>+IF(VLOOKUP(Q$1,Lecturas!$N$1:$AA$20,$AC96,FALSE)=0,"",VLOOKUP(Q$1,Lecturas!$N$1:$AA$20,$AC96,FALSE))</f>
        <v/>
      </c>
      <c r="R96" s="156" t="str">
        <f>+IF(VLOOKUP(R$1,Lecturas!$N$1:$AA$20,$AC96,FALSE)=0,"",VLOOKUP(R$1,Lecturas!$N$1:$AA$20,$AC96,FALSE))</f>
        <v/>
      </c>
      <c r="S96" s="163" t="str">
        <f>+IF(VLOOKUP(S$1,Lecturas!$N$1:$AA$20,$AC96,FALSE)=0,"",VLOOKUP(S$1,Lecturas!$N$1:$AA$20,$AC96,FALSE))</f>
        <v/>
      </c>
      <c r="T96" s="163" t="str">
        <f>+IF(VLOOKUP(T$1,Lecturas!$N$1:$AA$20,$AC96,FALSE)=0,"",VLOOKUP(T$1,Lecturas!$N$1:$AA$20,$AC96,FALSE))</f>
        <v/>
      </c>
      <c r="U96" s="163" t="str">
        <f>+IF(VLOOKUP(U$1,Lecturas!$N$1:$AA$20,$AC96,FALSE)=0,"",VLOOKUP(U$1,Lecturas!$N$1:$AA$20,$AC96,FALSE))</f>
        <v/>
      </c>
      <c r="V96" s="156" t="str">
        <f>+IF(VLOOKUP(V$1,Lecturas!$N$1:$AA$20,$AC96,FALSE)=0,"",VLOOKUP(V$1,Lecturas!$N$1:$AA$20,$AC96,FALSE))</f>
        <v/>
      </c>
      <c r="W96" s="156" t="str">
        <f>+IF(VLOOKUP(W$1,Lecturas!$N$1:$AA$20,$AC96,FALSE)=0,"",VLOOKUP(W$1,Lecturas!$N$1:$AA$20,$AC96,FALSE))</f>
        <v/>
      </c>
      <c r="X96" s="156" t="str">
        <f>+IF(VLOOKUP(X$1,Lecturas!$N$1:$AA$20,$AC96,FALSE)=0,"",VLOOKUP(X$1,Lecturas!$N$1:$AA$20,$AC96,FALSE))</f>
        <v/>
      </c>
      <c r="Y96" s="163">
        <f>+IF(VLOOKUP(Y$1,Lecturas!$N$1:$AA$20,$AC96,FALSE)=0,"",VLOOKUP(Y$1,Lecturas!$N$1:$AA$20,$AC96,FALSE))</f>
        <v>7500</v>
      </c>
      <c r="Z96" s="48"/>
      <c r="AA96" s="48"/>
      <c r="AB96" s="48"/>
      <c r="AC96" s="148">
        <f>+'CARGA DE DATOS'!AF97</f>
        <v>7</v>
      </c>
    </row>
    <row r="97" spans="1:29" x14ac:dyDescent="0.25">
      <c r="A97" s="148">
        <f>+'CARGA DE DATOS'!A98</f>
        <v>96</v>
      </c>
      <c r="B97" s="48" t="str">
        <f>+IF(RESULTADOS!H97="","",RESULTADOS!H97)</f>
        <v/>
      </c>
      <c r="C97" s="48" t="str">
        <f>+IF(RESULTADOS!D97="","",RESULTADOS!D97)</f>
        <v/>
      </c>
      <c r="D97" s="160" t="str">
        <f>+IF('CARGA DE DATOS'!K98="Cooperativa","COOP",IF(Salida!AT98="true","PROSU","GD"))</f>
        <v>GD</v>
      </c>
      <c r="E97" s="160" t="s">
        <v>9147</v>
      </c>
      <c r="F97" s="160" t="str">
        <f>+IF(OR(D97="COOP",'CARGA DE DATOS'!K98="GUMA"),"15.02.2022",IF('CARGA DE DATOS'!K98="GUME","05.02.2022","10.02.2022"))</f>
        <v>10.02.2022</v>
      </c>
      <c r="G97" s="163">
        <f>+IF(VLOOKUP(G$1,Lecturas!$N$1:$AA$20,$AC97,FALSE)=0,"",VLOOKUP(G$1,Lecturas!$N$1:$AA$20,$AC97,FALSE))</f>
        <v>150</v>
      </c>
      <c r="H97" s="163">
        <f>+IF(VLOOKUP(H$1,Lecturas!$N$1:$AA$20,$AC97,FALSE)=0,"",VLOOKUP(H$1,Lecturas!$N$1:$AA$20,$AC97,FALSE))</f>
        <v>150</v>
      </c>
      <c r="I97" s="163">
        <f>+IF(VLOOKUP(I$1,Lecturas!$N$1:$AA$20,$AC97,FALSE)=0,"",VLOOKUP(I$1,Lecturas!$N$1:$AA$20,$AC97,FALSE))</f>
        <v>150</v>
      </c>
      <c r="J97" s="156" t="str">
        <f>+IF(VLOOKUP(J$1,Lecturas!$N$1:$AA$20,$AC97,FALSE)=0,"",VLOOKUP(J$1,Lecturas!$N$1:$AA$20,$AC97,FALSE))</f>
        <v/>
      </c>
      <c r="K97" s="156" t="str">
        <f>+IF(VLOOKUP(K$1,Lecturas!$N$1:$AA$20,$AC97,FALSE)=0,"",VLOOKUP(K$1,Lecturas!$N$1:$AA$20,$AC97,FALSE))</f>
        <v/>
      </c>
      <c r="L97" s="156" t="str">
        <f>+IF(VLOOKUP(L$1,Lecturas!$N$1:$AA$20,$AC97,FALSE)=0,"",VLOOKUP(L$1,Lecturas!$N$1:$AA$20,$AC97,FALSE))</f>
        <v/>
      </c>
      <c r="M97" s="163">
        <f>+IF(VLOOKUP(M$1,Lecturas!$N$1:$AA$20,$AC97,FALSE)=0,"",VLOOKUP(M$1,Lecturas!$N$1:$AA$20,$AC97,FALSE))</f>
        <v>2500</v>
      </c>
      <c r="N97" s="163">
        <f>+IF(VLOOKUP(N$1,Lecturas!$N$1:$AA$20,$AC97,FALSE)=0,"",VLOOKUP(N$1,Lecturas!$N$1:$AA$20,$AC97,FALSE))</f>
        <v>2000</v>
      </c>
      <c r="O97" s="163">
        <f>+IF(VLOOKUP(O$1,Lecturas!$N$1:$AA$20,$AC97,FALSE)=0,"",VLOOKUP(O$1,Lecturas!$N$1:$AA$20,$AC97,FALSE))</f>
        <v>3000</v>
      </c>
      <c r="P97" s="156" t="str">
        <f>+IF(VLOOKUP(P$1,Lecturas!$N$1:$AA$20,$AC97,FALSE)=0,"",VLOOKUP(P$1,Lecturas!$N$1:$AA$20,$AC97,FALSE))</f>
        <v/>
      </c>
      <c r="Q97" s="156" t="str">
        <f>+IF(VLOOKUP(Q$1,Lecturas!$N$1:$AA$20,$AC97,FALSE)=0,"",VLOOKUP(Q$1,Lecturas!$N$1:$AA$20,$AC97,FALSE))</f>
        <v/>
      </c>
      <c r="R97" s="156" t="str">
        <f>+IF(VLOOKUP(R$1,Lecturas!$N$1:$AA$20,$AC97,FALSE)=0,"",VLOOKUP(R$1,Lecturas!$N$1:$AA$20,$AC97,FALSE))</f>
        <v/>
      </c>
      <c r="S97" s="163" t="str">
        <f>+IF(VLOOKUP(S$1,Lecturas!$N$1:$AA$20,$AC97,FALSE)=0,"",VLOOKUP(S$1,Lecturas!$N$1:$AA$20,$AC97,FALSE))</f>
        <v/>
      </c>
      <c r="T97" s="163" t="str">
        <f>+IF(VLOOKUP(T$1,Lecturas!$N$1:$AA$20,$AC97,FALSE)=0,"",VLOOKUP(T$1,Lecturas!$N$1:$AA$20,$AC97,FALSE))</f>
        <v/>
      </c>
      <c r="U97" s="163" t="str">
        <f>+IF(VLOOKUP(U$1,Lecturas!$N$1:$AA$20,$AC97,FALSE)=0,"",VLOOKUP(U$1,Lecturas!$N$1:$AA$20,$AC97,FALSE))</f>
        <v/>
      </c>
      <c r="V97" s="156" t="str">
        <f>+IF(VLOOKUP(V$1,Lecturas!$N$1:$AA$20,$AC97,FALSE)=0,"",VLOOKUP(V$1,Lecturas!$N$1:$AA$20,$AC97,FALSE))</f>
        <v/>
      </c>
      <c r="W97" s="156" t="str">
        <f>+IF(VLOOKUP(W$1,Lecturas!$N$1:$AA$20,$AC97,FALSE)=0,"",VLOOKUP(W$1,Lecturas!$N$1:$AA$20,$AC97,FALSE))</f>
        <v/>
      </c>
      <c r="X97" s="156" t="str">
        <f>+IF(VLOOKUP(X$1,Lecturas!$N$1:$AA$20,$AC97,FALSE)=0,"",VLOOKUP(X$1,Lecturas!$N$1:$AA$20,$AC97,FALSE))</f>
        <v/>
      </c>
      <c r="Y97" s="163">
        <f>+IF(VLOOKUP(Y$1,Lecturas!$N$1:$AA$20,$AC97,FALSE)=0,"",VLOOKUP(Y$1,Lecturas!$N$1:$AA$20,$AC97,FALSE))</f>
        <v>15000</v>
      </c>
      <c r="Z97" s="48"/>
      <c r="AA97" s="48"/>
      <c r="AB97" s="48"/>
      <c r="AC97" s="148">
        <f>+'CARGA DE DATOS'!AF98</f>
        <v>4</v>
      </c>
    </row>
    <row r="98" spans="1:29" x14ac:dyDescent="0.25">
      <c r="A98" s="148">
        <f>+'CARGA DE DATOS'!A99</f>
        <v>97</v>
      </c>
      <c r="B98" s="48" t="str">
        <f>+IF(RESULTADOS!H98="","",RESULTADOS!H98)</f>
        <v/>
      </c>
      <c r="C98" s="48" t="str">
        <f>+IF(RESULTADOS!D98="","",RESULTADOS!D98)</f>
        <v/>
      </c>
      <c r="D98" s="160" t="str">
        <f>+IF('CARGA DE DATOS'!K99="Cooperativa","COOP",IF(Salida!AT99="true","PROSU","GD"))</f>
        <v>GD</v>
      </c>
      <c r="E98" s="160" t="s">
        <v>9147</v>
      </c>
      <c r="F98" s="160" t="str">
        <f>+IF(OR(D98="COOP",'CARGA DE DATOS'!K99="GUMA"),"15.02.2022",IF('CARGA DE DATOS'!K99="GUME","05.02.2022","10.02.2022"))</f>
        <v>10.02.2022</v>
      </c>
      <c r="G98" s="163">
        <f>+IF(VLOOKUP(G$1,Lecturas!$N$1:$AA$20,$AC98,FALSE)=0,"",VLOOKUP(G$1,Lecturas!$N$1:$AA$20,$AC98,FALSE))</f>
        <v>1500</v>
      </c>
      <c r="H98" s="163">
        <f>+IF(VLOOKUP(H$1,Lecturas!$N$1:$AA$20,$AC98,FALSE)=0,"",VLOOKUP(H$1,Lecturas!$N$1:$AA$20,$AC98,FALSE))</f>
        <v>1550</v>
      </c>
      <c r="I98" s="163">
        <f>+IF(VLOOKUP(I$1,Lecturas!$N$1:$AA$20,$AC98,FALSE)=0,"",VLOOKUP(I$1,Lecturas!$N$1:$AA$20,$AC98,FALSE))</f>
        <v>1550</v>
      </c>
      <c r="J98" s="156" t="str">
        <f>+IF(VLOOKUP(J$1,Lecturas!$N$1:$AA$20,$AC98,FALSE)=0,"",VLOOKUP(J$1,Lecturas!$N$1:$AA$20,$AC98,FALSE))</f>
        <v/>
      </c>
      <c r="K98" s="156" t="str">
        <f>+IF(VLOOKUP(K$1,Lecturas!$N$1:$AA$20,$AC98,FALSE)=0,"",VLOOKUP(K$1,Lecturas!$N$1:$AA$20,$AC98,FALSE))</f>
        <v/>
      </c>
      <c r="L98" s="156" t="str">
        <f>+IF(VLOOKUP(L$1,Lecturas!$N$1:$AA$20,$AC98,FALSE)=0,"",VLOOKUP(L$1,Lecturas!$N$1:$AA$20,$AC98,FALSE))</f>
        <v/>
      </c>
      <c r="M98" s="163">
        <f>+IF(VLOOKUP(M$1,Lecturas!$N$1:$AA$20,$AC98,FALSE)=0,"",VLOOKUP(M$1,Lecturas!$N$1:$AA$20,$AC98,FALSE))</f>
        <v>2500</v>
      </c>
      <c r="N98" s="163">
        <f>+IF(VLOOKUP(N$1,Lecturas!$N$1:$AA$20,$AC98,FALSE)=0,"",VLOOKUP(N$1,Lecturas!$N$1:$AA$20,$AC98,FALSE))</f>
        <v>2000</v>
      </c>
      <c r="O98" s="163">
        <f>+IF(VLOOKUP(O$1,Lecturas!$N$1:$AA$20,$AC98,FALSE)=0,"",VLOOKUP(O$1,Lecturas!$N$1:$AA$20,$AC98,FALSE))</f>
        <v>3000</v>
      </c>
      <c r="P98" s="156" t="str">
        <f>+IF(VLOOKUP(P$1,Lecturas!$N$1:$AA$20,$AC98,FALSE)=0,"",VLOOKUP(P$1,Lecturas!$N$1:$AA$20,$AC98,FALSE))</f>
        <v/>
      </c>
      <c r="Q98" s="156" t="str">
        <f>+IF(VLOOKUP(Q$1,Lecturas!$N$1:$AA$20,$AC98,FALSE)=0,"",VLOOKUP(Q$1,Lecturas!$N$1:$AA$20,$AC98,FALSE))</f>
        <v/>
      </c>
      <c r="R98" s="156" t="str">
        <f>+IF(VLOOKUP(R$1,Lecturas!$N$1:$AA$20,$AC98,FALSE)=0,"",VLOOKUP(R$1,Lecturas!$N$1:$AA$20,$AC98,FALSE))</f>
        <v/>
      </c>
      <c r="S98" s="163" t="str">
        <f>+IF(VLOOKUP(S$1,Lecturas!$N$1:$AA$20,$AC98,FALSE)=0,"",VLOOKUP(S$1,Lecturas!$N$1:$AA$20,$AC98,FALSE))</f>
        <v/>
      </c>
      <c r="T98" s="163" t="str">
        <f>+IF(VLOOKUP(T$1,Lecturas!$N$1:$AA$20,$AC98,FALSE)=0,"",VLOOKUP(T$1,Lecturas!$N$1:$AA$20,$AC98,FALSE))</f>
        <v/>
      </c>
      <c r="U98" s="163" t="str">
        <f>+IF(VLOOKUP(U$1,Lecturas!$N$1:$AA$20,$AC98,FALSE)=0,"",VLOOKUP(U$1,Lecturas!$N$1:$AA$20,$AC98,FALSE))</f>
        <v/>
      </c>
      <c r="V98" s="156" t="str">
        <f>+IF(VLOOKUP(V$1,Lecturas!$N$1:$AA$20,$AC98,FALSE)=0,"",VLOOKUP(V$1,Lecturas!$N$1:$AA$20,$AC98,FALSE))</f>
        <v/>
      </c>
      <c r="W98" s="156" t="str">
        <f>+IF(VLOOKUP(W$1,Lecturas!$N$1:$AA$20,$AC98,FALSE)=0,"",VLOOKUP(W$1,Lecturas!$N$1:$AA$20,$AC98,FALSE))</f>
        <v/>
      </c>
      <c r="X98" s="156" t="str">
        <f>+IF(VLOOKUP(X$1,Lecturas!$N$1:$AA$20,$AC98,FALSE)=0,"",VLOOKUP(X$1,Lecturas!$N$1:$AA$20,$AC98,FALSE))</f>
        <v/>
      </c>
      <c r="Y98" s="163">
        <f>+IF(VLOOKUP(Y$1,Lecturas!$N$1:$AA$20,$AC98,FALSE)=0,"",VLOOKUP(Y$1,Lecturas!$N$1:$AA$20,$AC98,FALSE))</f>
        <v>7500</v>
      </c>
      <c r="Z98" s="48"/>
      <c r="AA98" s="48"/>
      <c r="AB98" s="48"/>
      <c r="AC98" s="148">
        <f>+'CARGA DE DATOS'!AF99</f>
        <v>7</v>
      </c>
    </row>
    <row r="99" spans="1:29" x14ac:dyDescent="0.25">
      <c r="A99" s="148">
        <f>+'CARGA DE DATOS'!A100</f>
        <v>98</v>
      </c>
      <c r="B99" s="48" t="str">
        <f>+IF(RESULTADOS!H99="","",RESULTADOS!H99)</f>
        <v/>
      </c>
      <c r="C99" s="48" t="str">
        <f>+IF(RESULTADOS!D99="","",RESULTADOS!D99)</f>
        <v/>
      </c>
      <c r="D99" s="160" t="str">
        <f>+IF('CARGA DE DATOS'!K100="Cooperativa","COOP",IF(Salida!AT100="true","PROSU","GD"))</f>
        <v>GD</v>
      </c>
      <c r="E99" s="160" t="s">
        <v>9147</v>
      </c>
      <c r="F99" s="160" t="str">
        <f>+IF(OR(D99="COOP",'CARGA DE DATOS'!K100="GUMA"),"15.02.2022",IF('CARGA DE DATOS'!K100="GUME","05.02.2022","10.02.2022"))</f>
        <v>10.02.2022</v>
      </c>
      <c r="G99" s="163">
        <f>+IF(VLOOKUP(G$1,Lecturas!$N$1:$AA$20,$AC99,FALSE)=0,"",VLOOKUP(G$1,Lecturas!$N$1:$AA$20,$AC99,FALSE))</f>
        <v>1500</v>
      </c>
      <c r="H99" s="163">
        <f>+IF(VLOOKUP(H$1,Lecturas!$N$1:$AA$20,$AC99,FALSE)=0,"",VLOOKUP(H$1,Lecturas!$N$1:$AA$20,$AC99,FALSE))</f>
        <v>300</v>
      </c>
      <c r="I99" s="163">
        <f>+IF(VLOOKUP(I$1,Lecturas!$N$1:$AA$20,$AC99,FALSE)=0,"",VLOOKUP(I$1,Lecturas!$N$1:$AA$20,$AC99,FALSE))</f>
        <v>350</v>
      </c>
      <c r="J99" s="156" t="str">
        <f>+IF(VLOOKUP(J$1,Lecturas!$N$1:$AA$20,$AC99,FALSE)=0,"",VLOOKUP(J$1,Lecturas!$N$1:$AA$20,$AC99,FALSE))</f>
        <v/>
      </c>
      <c r="K99" s="156" t="str">
        <f>+IF(VLOOKUP(K$1,Lecturas!$N$1:$AA$20,$AC99,FALSE)=0,"",VLOOKUP(K$1,Lecturas!$N$1:$AA$20,$AC99,FALSE))</f>
        <v/>
      </c>
      <c r="L99" s="156" t="str">
        <f>+IF(VLOOKUP(L$1,Lecturas!$N$1:$AA$20,$AC99,FALSE)=0,"",VLOOKUP(L$1,Lecturas!$N$1:$AA$20,$AC99,FALSE))</f>
        <v/>
      </c>
      <c r="M99" s="163">
        <f>+IF(VLOOKUP(M$1,Lecturas!$N$1:$AA$20,$AC99,FALSE)=0,"",VLOOKUP(M$1,Lecturas!$N$1:$AA$20,$AC99,FALSE))</f>
        <v>2500</v>
      </c>
      <c r="N99" s="163">
        <f>+IF(VLOOKUP(N$1,Lecturas!$N$1:$AA$20,$AC99,FALSE)=0,"",VLOOKUP(N$1,Lecturas!$N$1:$AA$20,$AC99,FALSE))</f>
        <v>2000</v>
      </c>
      <c r="O99" s="163">
        <f>+IF(VLOOKUP(O$1,Lecturas!$N$1:$AA$20,$AC99,FALSE)=0,"",VLOOKUP(O$1,Lecturas!$N$1:$AA$20,$AC99,FALSE))</f>
        <v>3000</v>
      </c>
      <c r="P99" s="156" t="str">
        <f>+IF(VLOOKUP(P$1,Lecturas!$N$1:$AA$20,$AC99,FALSE)=0,"",VLOOKUP(P$1,Lecturas!$N$1:$AA$20,$AC99,FALSE))</f>
        <v/>
      </c>
      <c r="Q99" s="156" t="str">
        <f>+IF(VLOOKUP(Q$1,Lecturas!$N$1:$AA$20,$AC99,FALSE)=0,"",VLOOKUP(Q$1,Lecturas!$N$1:$AA$20,$AC99,FALSE))</f>
        <v/>
      </c>
      <c r="R99" s="156" t="str">
        <f>+IF(VLOOKUP(R$1,Lecturas!$N$1:$AA$20,$AC99,FALSE)=0,"",VLOOKUP(R$1,Lecturas!$N$1:$AA$20,$AC99,FALSE))</f>
        <v/>
      </c>
      <c r="S99" s="163" t="str">
        <f>+IF(VLOOKUP(S$1,Lecturas!$N$1:$AA$20,$AC99,FALSE)=0,"",VLOOKUP(S$1,Lecturas!$N$1:$AA$20,$AC99,FALSE))</f>
        <v/>
      </c>
      <c r="T99" s="163" t="str">
        <f>+IF(VLOOKUP(T$1,Lecturas!$N$1:$AA$20,$AC99,FALSE)=0,"",VLOOKUP(T$1,Lecturas!$N$1:$AA$20,$AC99,FALSE))</f>
        <v/>
      </c>
      <c r="U99" s="163" t="str">
        <f>+IF(VLOOKUP(U$1,Lecturas!$N$1:$AA$20,$AC99,FALSE)=0,"",VLOOKUP(U$1,Lecturas!$N$1:$AA$20,$AC99,FALSE))</f>
        <v/>
      </c>
      <c r="V99" s="156" t="str">
        <f>+IF(VLOOKUP(V$1,Lecturas!$N$1:$AA$20,$AC99,FALSE)=0,"",VLOOKUP(V$1,Lecturas!$N$1:$AA$20,$AC99,FALSE))</f>
        <v/>
      </c>
      <c r="W99" s="156" t="str">
        <f>+IF(VLOOKUP(W$1,Lecturas!$N$1:$AA$20,$AC99,FALSE)=0,"",VLOOKUP(W$1,Lecturas!$N$1:$AA$20,$AC99,FALSE))</f>
        <v/>
      </c>
      <c r="X99" s="156" t="str">
        <f>+IF(VLOOKUP(X$1,Lecturas!$N$1:$AA$20,$AC99,FALSE)=0,"",VLOOKUP(X$1,Lecturas!$N$1:$AA$20,$AC99,FALSE))</f>
        <v/>
      </c>
      <c r="Y99" s="163">
        <f>+IF(VLOOKUP(Y$1,Lecturas!$N$1:$AA$20,$AC99,FALSE)=0,"",VLOOKUP(Y$1,Lecturas!$N$1:$AA$20,$AC99,FALSE))</f>
        <v>6500</v>
      </c>
      <c r="Z99" s="48"/>
      <c r="AA99" s="48"/>
      <c r="AB99" s="48"/>
      <c r="AC99" s="148">
        <f>+'CARGA DE DATOS'!AF100</f>
        <v>9</v>
      </c>
    </row>
    <row r="100" spans="1:29" x14ac:dyDescent="0.25">
      <c r="A100" s="148">
        <f>+'CARGA DE DATOS'!A101</f>
        <v>99</v>
      </c>
      <c r="B100" s="48" t="str">
        <f>+IF(RESULTADOS!H100="","",RESULTADOS!H100)</f>
        <v/>
      </c>
      <c r="C100" s="48" t="str">
        <f>+IF(RESULTADOS!D100="","",RESULTADOS!D100)</f>
        <v/>
      </c>
      <c r="D100" s="160" t="str">
        <f>+IF('CARGA DE DATOS'!K101="Cooperativa","COOP",IF(Salida!AT101="true","PROSU","GD"))</f>
        <v>GD</v>
      </c>
      <c r="E100" s="160" t="s">
        <v>9147</v>
      </c>
      <c r="F100" s="160" t="str">
        <f>+IF(OR(D100="COOP",'CARGA DE DATOS'!K101="GUMA"),"15.02.2022",IF('CARGA DE DATOS'!K101="GUME","05.02.2022","10.02.2022"))</f>
        <v>10.02.2022</v>
      </c>
      <c r="G100" s="163">
        <f>+IF(VLOOKUP(G$1,Lecturas!$N$1:$AA$20,$AC100,FALSE)=0,"",VLOOKUP(G$1,Lecturas!$N$1:$AA$20,$AC100,FALSE))</f>
        <v>1500</v>
      </c>
      <c r="H100" s="163">
        <f>+IF(VLOOKUP(H$1,Lecturas!$N$1:$AA$20,$AC100,FALSE)=0,"",VLOOKUP(H$1,Lecturas!$N$1:$AA$20,$AC100,FALSE))</f>
        <v>1550</v>
      </c>
      <c r="I100" s="163">
        <f>+IF(VLOOKUP(I$1,Lecturas!$N$1:$AA$20,$AC100,FALSE)=0,"",VLOOKUP(I$1,Lecturas!$N$1:$AA$20,$AC100,FALSE))</f>
        <v>1550</v>
      </c>
      <c r="J100" s="156" t="str">
        <f>+IF(VLOOKUP(J$1,Lecturas!$N$1:$AA$20,$AC100,FALSE)=0,"",VLOOKUP(J$1,Lecturas!$N$1:$AA$20,$AC100,FALSE))</f>
        <v/>
      </c>
      <c r="K100" s="156" t="str">
        <f>+IF(VLOOKUP(K$1,Lecturas!$N$1:$AA$20,$AC100,FALSE)=0,"",VLOOKUP(K$1,Lecturas!$N$1:$AA$20,$AC100,FALSE))</f>
        <v/>
      </c>
      <c r="L100" s="156" t="str">
        <f>+IF(VLOOKUP(L$1,Lecturas!$N$1:$AA$20,$AC100,FALSE)=0,"",VLOOKUP(L$1,Lecturas!$N$1:$AA$20,$AC100,FALSE))</f>
        <v/>
      </c>
      <c r="M100" s="163">
        <f>+IF(VLOOKUP(M$1,Lecturas!$N$1:$AA$20,$AC100,FALSE)=0,"",VLOOKUP(M$1,Lecturas!$N$1:$AA$20,$AC100,FALSE))</f>
        <v>2500</v>
      </c>
      <c r="N100" s="163">
        <f>+IF(VLOOKUP(N$1,Lecturas!$N$1:$AA$20,$AC100,FALSE)=0,"",VLOOKUP(N$1,Lecturas!$N$1:$AA$20,$AC100,FALSE))</f>
        <v>2000</v>
      </c>
      <c r="O100" s="163">
        <f>+IF(VLOOKUP(O$1,Lecturas!$N$1:$AA$20,$AC100,FALSE)=0,"",VLOOKUP(O$1,Lecturas!$N$1:$AA$20,$AC100,FALSE))</f>
        <v>3000</v>
      </c>
      <c r="P100" s="156" t="str">
        <f>+IF(VLOOKUP(P$1,Lecturas!$N$1:$AA$20,$AC100,FALSE)=0,"",VLOOKUP(P$1,Lecturas!$N$1:$AA$20,$AC100,FALSE))</f>
        <v/>
      </c>
      <c r="Q100" s="156" t="str">
        <f>+IF(VLOOKUP(Q$1,Lecturas!$N$1:$AA$20,$AC100,FALSE)=0,"",VLOOKUP(Q$1,Lecturas!$N$1:$AA$20,$AC100,FALSE))</f>
        <v/>
      </c>
      <c r="R100" s="156" t="str">
        <f>+IF(VLOOKUP(R$1,Lecturas!$N$1:$AA$20,$AC100,FALSE)=0,"",VLOOKUP(R$1,Lecturas!$N$1:$AA$20,$AC100,FALSE))</f>
        <v/>
      </c>
      <c r="S100" s="163" t="str">
        <f>+IF(VLOOKUP(S$1,Lecturas!$N$1:$AA$20,$AC100,FALSE)=0,"",VLOOKUP(S$1,Lecturas!$N$1:$AA$20,$AC100,FALSE))</f>
        <v/>
      </c>
      <c r="T100" s="163" t="str">
        <f>+IF(VLOOKUP(T$1,Lecturas!$N$1:$AA$20,$AC100,FALSE)=0,"",VLOOKUP(T$1,Lecturas!$N$1:$AA$20,$AC100,FALSE))</f>
        <v/>
      </c>
      <c r="U100" s="163" t="str">
        <f>+IF(VLOOKUP(U$1,Lecturas!$N$1:$AA$20,$AC100,FALSE)=0,"",VLOOKUP(U$1,Lecturas!$N$1:$AA$20,$AC100,FALSE))</f>
        <v/>
      </c>
      <c r="V100" s="156" t="str">
        <f>+IF(VLOOKUP(V$1,Lecturas!$N$1:$AA$20,$AC100,FALSE)=0,"",VLOOKUP(V$1,Lecturas!$N$1:$AA$20,$AC100,FALSE))</f>
        <v/>
      </c>
      <c r="W100" s="156" t="str">
        <f>+IF(VLOOKUP(W$1,Lecturas!$N$1:$AA$20,$AC100,FALSE)=0,"",VLOOKUP(W$1,Lecturas!$N$1:$AA$20,$AC100,FALSE))</f>
        <v/>
      </c>
      <c r="X100" s="156" t="str">
        <f>+IF(VLOOKUP(X$1,Lecturas!$N$1:$AA$20,$AC100,FALSE)=0,"",VLOOKUP(X$1,Lecturas!$N$1:$AA$20,$AC100,FALSE))</f>
        <v/>
      </c>
      <c r="Y100" s="163">
        <f>+IF(VLOOKUP(Y$1,Lecturas!$N$1:$AA$20,$AC100,FALSE)=0,"",VLOOKUP(Y$1,Lecturas!$N$1:$AA$20,$AC100,FALSE))</f>
        <v>7500</v>
      </c>
      <c r="Z100" s="48"/>
      <c r="AA100" s="48"/>
      <c r="AB100" s="48"/>
      <c r="AC100" s="148">
        <f>+'CARGA DE DATOS'!AF101</f>
        <v>7</v>
      </c>
    </row>
    <row r="101" spans="1:29" x14ac:dyDescent="0.25">
      <c r="A101" s="148">
        <f>+'CARGA DE DATOS'!A102</f>
        <v>100</v>
      </c>
      <c r="B101" s="48" t="str">
        <f>+IF(RESULTADOS!H101="","",RESULTADOS!H101)</f>
        <v/>
      </c>
      <c r="C101" s="48" t="str">
        <f>+IF(RESULTADOS!D101="","",RESULTADOS!D101)</f>
        <v/>
      </c>
      <c r="D101" s="160" t="str">
        <f>+IF('CARGA DE DATOS'!K102="Cooperativa","COOP",IF(Salida!AT102="true","PROSU","GD"))</f>
        <v>GD</v>
      </c>
      <c r="E101" s="160" t="s">
        <v>9147</v>
      </c>
      <c r="F101" s="160" t="str">
        <f>+IF(OR(D101="COOP",'CARGA DE DATOS'!K102="GUMA"),"15.02.2022",IF('CARGA DE DATOS'!K102="GUME","05.02.2022","10.02.2022"))</f>
        <v>10.02.2022</v>
      </c>
      <c r="G101" s="163">
        <f>+IF(VLOOKUP(G$1,Lecturas!$N$1:$AA$20,$AC101,FALSE)=0,"",VLOOKUP(G$1,Lecturas!$N$1:$AA$20,$AC101,FALSE))</f>
        <v>150</v>
      </c>
      <c r="H101" s="163">
        <f>+IF(VLOOKUP(H$1,Lecturas!$N$1:$AA$20,$AC101,FALSE)=0,"",VLOOKUP(H$1,Lecturas!$N$1:$AA$20,$AC101,FALSE))</f>
        <v>300</v>
      </c>
      <c r="I101" s="163">
        <f>+IF(VLOOKUP(I$1,Lecturas!$N$1:$AA$20,$AC101,FALSE)=0,"",VLOOKUP(I$1,Lecturas!$N$1:$AA$20,$AC101,FALSE))</f>
        <v>350</v>
      </c>
      <c r="J101" s="156" t="str">
        <f>+IF(VLOOKUP(J$1,Lecturas!$N$1:$AA$20,$AC101,FALSE)=0,"",VLOOKUP(J$1,Lecturas!$N$1:$AA$20,$AC101,FALSE))</f>
        <v/>
      </c>
      <c r="K101" s="156" t="str">
        <f>+IF(VLOOKUP(K$1,Lecturas!$N$1:$AA$20,$AC101,FALSE)=0,"",VLOOKUP(K$1,Lecturas!$N$1:$AA$20,$AC101,FALSE))</f>
        <v/>
      </c>
      <c r="L101" s="156" t="str">
        <f>+IF(VLOOKUP(L$1,Lecturas!$N$1:$AA$20,$AC101,FALSE)=0,"",VLOOKUP(L$1,Lecturas!$N$1:$AA$20,$AC101,FALSE))</f>
        <v/>
      </c>
      <c r="M101" s="163">
        <f>+IF(VLOOKUP(M$1,Lecturas!$N$1:$AA$20,$AC101,FALSE)=0,"",VLOOKUP(M$1,Lecturas!$N$1:$AA$20,$AC101,FALSE))</f>
        <v>2500</v>
      </c>
      <c r="N101" s="163">
        <f>+IF(VLOOKUP(N$1,Lecturas!$N$1:$AA$20,$AC101,FALSE)=0,"",VLOOKUP(N$1,Lecturas!$N$1:$AA$20,$AC101,FALSE))</f>
        <v>2000</v>
      </c>
      <c r="O101" s="163">
        <f>+IF(VLOOKUP(O$1,Lecturas!$N$1:$AA$20,$AC101,FALSE)=0,"",VLOOKUP(O$1,Lecturas!$N$1:$AA$20,$AC101,FALSE))</f>
        <v>3000</v>
      </c>
      <c r="P101" s="156" t="str">
        <f>+IF(VLOOKUP(P$1,Lecturas!$N$1:$AA$20,$AC101,FALSE)=0,"",VLOOKUP(P$1,Lecturas!$N$1:$AA$20,$AC101,FALSE))</f>
        <v/>
      </c>
      <c r="Q101" s="156" t="str">
        <f>+IF(VLOOKUP(Q$1,Lecturas!$N$1:$AA$20,$AC101,FALSE)=0,"",VLOOKUP(Q$1,Lecturas!$N$1:$AA$20,$AC101,FALSE))</f>
        <v/>
      </c>
      <c r="R101" s="156" t="str">
        <f>+IF(VLOOKUP(R$1,Lecturas!$N$1:$AA$20,$AC101,FALSE)=0,"",VLOOKUP(R$1,Lecturas!$N$1:$AA$20,$AC101,FALSE))</f>
        <v/>
      </c>
      <c r="S101" s="163" t="str">
        <f>+IF(VLOOKUP(S$1,Lecturas!$N$1:$AA$20,$AC101,FALSE)=0,"",VLOOKUP(S$1,Lecturas!$N$1:$AA$20,$AC101,FALSE))</f>
        <v/>
      </c>
      <c r="T101" s="163" t="str">
        <f>+IF(VLOOKUP(T$1,Lecturas!$N$1:$AA$20,$AC101,FALSE)=0,"",VLOOKUP(T$1,Lecturas!$N$1:$AA$20,$AC101,FALSE))</f>
        <v/>
      </c>
      <c r="U101" s="163" t="str">
        <f>+IF(VLOOKUP(U$1,Lecturas!$N$1:$AA$20,$AC101,FALSE)=0,"",VLOOKUP(U$1,Lecturas!$N$1:$AA$20,$AC101,FALSE))</f>
        <v/>
      </c>
      <c r="V101" s="156" t="str">
        <f>+IF(VLOOKUP(V$1,Lecturas!$N$1:$AA$20,$AC101,FALSE)=0,"",VLOOKUP(V$1,Lecturas!$N$1:$AA$20,$AC101,FALSE))</f>
        <v/>
      </c>
      <c r="W101" s="156" t="str">
        <f>+IF(VLOOKUP(W$1,Lecturas!$N$1:$AA$20,$AC101,FALSE)=0,"",VLOOKUP(W$1,Lecturas!$N$1:$AA$20,$AC101,FALSE))</f>
        <v/>
      </c>
      <c r="X101" s="156" t="str">
        <f>+IF(VLOOKUP(X$1,Lecturas!$N$1:$AA$20,$AC101,FALSE)=0,"",VLOOKUP(X$1,Lecturas!$N$1:$AA$20,$AC101,FALSE))</f>
        <v/>
      </c>
      <c r="Y101" s="163">
        <f>+IF(VLOOKUP(Y$1,Lecturas!$N$1:$AA$20,$AC101,FALSE)=0,"",VLOOKUP(Y$1,Lecturas!$N$1:$AA$20,$AC101,FALSE))</f>
        <v>500</v>
      </c>
      <c r="Z101" s="48"/>
      <c r="AA101" s="48"/>
      <c r="AB101" s="48"/>
      <c r="AC101" s="148">
        <f>+'CARGA DE DATOS'!AF102</f>
        <v>8</v>
      </c>
    </row>
    <row r="102" spans="1:29" x14ac:dyDescent="0.25">
      <c r="A102" s="148">
        <f>+'CARGA DE DATOS'!A103</f>
        <v>101</v>
      </c>
      <c r="B102" s="48" t="str">
        <f>+IF(RESULTADOS!H102="","",RESULTADOS!H102)</f>
        <v/>
      </c>
      <c r="C102" s="48" t="str">
        <f>+IF(RESULTADOS!D102="","",RESULTADOS!D102)</f>
        <v/>
      </c>
      <c r="D102" s="160" t="str">
        <f>+IF('CARGA DE DATOS'!K103="Cooperativa","COOP",IF(Salida!AT103="true","PROSU","GD"))</f>
        <v>GD</v>
      </c>
      <c r="E102" s="160" t="s">
        <v>9147</v>
      </c>
      <c r="F102" s="160" t="str">
        <f>+IF(OR(D102="COOP",'CARGA DE DATOS'!K103="GUMA"),"15.02.2022",IF('CARGA DE DATOS'!K103="GUME","05.02.2022","10.02.2022"))</f>
        <v>10.02.2022</v>
      </c>
      <c r="G102" s="163">
        <f>+IF(VLOOKUP(G$1,Lecturas!$N$1:$AA$20,$AC102,FALSE)=0,"",VLOOKUP(G$1,Lecturas!$N$1:$AA$20,$AC102,FALSE))</f>
        <v>150</v>
      </c>
      <c r="H102" s="163">
        <f>+IF(VLOOKUP(H$1,Lecturas!$N$1:$AA$20,$AC102,FALSE)=0,"",VLOOKUP(H$1,Lecturas!$N$1:$AA$20,$AC102,FALSE))</f>
        <v>300</v>
      </c>
      <c r="I102" s="163">
        <f>+IF(VLOOKUP(I$1,Lecturas!$N$1:$AA$20,$AC102,FALSE)=0,"",VLOOKUP(I$1,Lecturas!$N$1:$AA$20,$AC102,FALSE))</f>
        <v>150</v>
      </c>
      <c r="J102" s="156" t="str">
        <f>+IF(VLOOKUP(J$1,Lecturas!$N$1:$AA$20,$AC102,FALSE)=0,"",VLOOKUP(J$1,Lecturas!$N$1:$AA$20,$AC102,FALSE))</f>
        <v/>
      </c>
      <c r="K102" s="156" t="str">
        <f>+IF(VLOOKUP(K$1,Lecturas!$N$1:$AA$20,$AC102,FALSE)=0,"",VLOOKUP(K$1,Lecturas!$N$1:$AA$20,$AC102,FALSE))</f>
        <v/>
      </c>
      <c r="L102" s="156" t="str">
        <f>+IF(VLOOKUP(L$1,Lecturas!$N$1:$AA$20,$AC102,FALSE)=0,"",VLOOKUP(L$1,Lecturas!$N$1:$AA$20,$AC102,FALSE))</f>
        <v/>
      </c>
      <c r="M102" s="163">
        <f>+IF(VLOOKUP(M$1,Lecturas!$N$1:$AA$20,$AC102,FALSE)=0,"",VLOOKUP(M$1,Lecturas!$N$1:$AA$20,$AC102,FALSE))</f>
        <v>2500</v>
      </c>
      <c r="N102" s="163">
        <f>+IF(VLOOKUP(N$1,Lecturas!$N$1:$AA$20,$AC102,FALSE)=0,"",VLOOKUP(N$1,Lecturas!$N$1:$AA$20,$AC102,FALSE))</f>
        <v>2000</v>
      </c>
      <c r="O102" s="163">
        <f>+IF(VLOOKUP(O$1,Lecturas!$N$1:$AA$20,$AC102,FALSE)=0,"",VLOOKUP(O$1,Lecturas!$N$1:$AA$20,$AC102,FALSE))</f>
        <v>3000</v>
      </c>
      <c r="P102" s="156" t="str">
        <f>+IF(VLOOKUP(P$1,Lecturas!$N$1:$AA$20,$AC102,FALSE)=0,"",VLOOKUP(P$1,Lecturas!$N$1:$AA$20,$AC102,FALSE))</f>
        <v/>
      </c>
      <c r="Q102" s="156" t="str">
        <f>+IF(VLOOKUP(Q$1,Lecturas!$N$1:$AA$20,$AC102,FALSE)=0,"",VLOOKUP(Q$1,Lecturas!$N$1:$AA$20,$AC102,FALSE))</f>
        <v/>
      </c>
      <c r="R102" s="156" t="str">
        <f>+IF(VLOOKUP(R$1,Lecturas!$N$1:$AA$20,$AC102,FALSE)=0,"",VLOOKUP(R$1,Lecturas!$N$1:$AA$20,$AC102,FALSE))</f>
        <v/>
      </c>
      <c r="S102" s="163" t="str">
        <f>+IF(VLOOKUP(S$1,Lecturas!$N$1:$AA$20,$AC102,FALSE)=0,"",VLOOKUP(S$1,Lecturas!$N$1:$AA$20,$AC102,FALSE))</f>
        <v/>
      </c>
      <c r="T102" s="163" t="str">
        <f>+IF(VLOOKUP(T$1,Lecturas!$N$1:$AA$20,$AC102,FALSE)=0,"",VLOOKUP(T$1,Lecturas!$N$1:$AA$20,$AC102,FALSE))</f>
        <v/>
      </c>
      <c r="U102" s="163" t="str">
        <f>+IF(VLOOKUP(U$1,Lecturas!$N$1:$AA$20,$AC102,FALSE)=0,"",VLOOKUP(U$1,Lecturas!$N$1:$AA$20,$AC102,FALSE))</f>
        <v/>
      </c>
      <c r="V102" s="156" t="str">
        <f>+IF(VLOOKUP(V$1,Lecturas!$N$1:$AA$20,$AC102,FALSE)=0,"",VLOOKUP(V$1,Lecturas!$N$1:$AA$20,$AC102,FALSE))</f>
        <v/>
      </c>
      <c r="W102" s="156" t="str">
        <f>+IF(VLOOKUP(W$1,Lecturas!$N$1:$AA$20,$AC102,FALSE)=0,"",VLOOKUP(W$1,Lecturas!$N$1:$AA$20,$AC102,FALSE))</f>
        <v/>
      </c>
      <c r="X102" s="156" t="str">
        <f>+IF(VLOOKUP(X$1,Lecturas!$N$1:$AA$20,$AC102,FALSE)=0,"",VLOOKUP(X$1,Lecturas!$N$1:$AA$20,$AC102,FALSE))</f>
        <v/>
      </c>
      <c r="Y102" s="163">
        <f>+IF(VLOOKUP(Y$1,Lecturas!$N$1:$AA$20,$AC102,FALSE)=0,"",VLOOKUP(Y$1,Lecturas!$N$1:$AA$20,$AC102,FALSE))</f>
        <v>5000</v>
      </c>
      <c r="Z102" s="48"/>
      <c r="AA102" s="48"/>
      <c r="AB102" s="48"/>
      <c r="AC102" s="148">
        <f>+'CARGA DE DATOS'!AF103</f>
        <v>3</v>
      </c>
    </row>
    <row r="103" spans="1:29" x14ac:dyDescent="0.25">
      <c r="A103" s="148">
        <f>+'CARGA DE DATOS'!A104</f>
        <v>102</v>
      </c>
      <c r="B103" s="48" t="str">
        <f>+IF(RESULTADOS!H103="","",RESULTADOS!H103)</f>
        <v/>
      </c>
      <c r="C103" s="48" t="str">
        <f>+IF(RESULTADOS!D103="","",RESULTADOS!D103)</f>
        <v/>
      </c>
      <c r="D103" s="160" t="str">
        <f>+IF('CARGA DE DATOS'!K104="Cooperativa","COOP",IF(Salida!AT104="true","PROSU","GD"))</f>
        <v>GD</v>
      </c>
      <c r="E103" s="160" t="s">
        <v>9147</v>
      </c>
      <c r="F103" s="160" t="str">
        <f>+IF(OR(D103="COOP",'CARGA DE DATOS'!K104="GUMA"),"15.02.2022",IF('CARGA DE DATOS'!K104="GUME","05.02.2022","10.02.2022"))</f>
        <v>10.02.2022</v>
      </c>
      <c r="G103" s="163">
        <f>+IF(VLOOKUP(G$1,Lecturas!$N$1:$AA$20,$AC103,FALSE)=0,"",VLOOKUP(G$1,Lecturas!$N$1:$AA$20,$AC103,FALSE))</f>
        <v>1500</v>
      </c>
      <c r="H103" s="163">
        <f>+IF(VLOOKUP(H$1,Lecturas!$N$1:$AA$20,$AC103,FALSE)=0,"",VLOOKUP(H$1,Lecturas!$N$1:$AA$20,$AC103,FALSE))</f>
        <v>1550</v>
      </c>
      <c r="I103" s="163">
        <f>+IF(VLOOKUP(I$1,Lecturas!$N$1:$AA$20,$AC103,FALSE)=0,"",VLOOKUP(I$1,Lecturas!$N$1:$AA$20,$AC103,FALSE))</f>
        <v>1550</v>
      </c>
      <c r="J103" s="156" t="str">
        <f>+IF(VLOOKUP(J$1,Lecturas!$N$1:$AA$20,$AC103,FALSE)=0,"",VLOOKUP(J$1,Lecturas!$N$1:$AA$20,$AC103,FALSE))</f>
        <v/>
      </c>
      <c r="K103" s="156" t="str">
        <f>+IF(VLOOKUP(K$1,Lecturas!$N$1:$AA$20,$AC103,FALSE)=0,"",VLOOKUP(K$1,Lecturas!$N$1:$AA$20,$AC103,FALSE))</f>
        <v/>
      </c>
      <c r="L103" s="156" t="str">
        <f>+IF(VLOOKUP(L$1,Lecturas!$N$1:$AA$20,$AC103,FALSE)=0,"",VLOOKUP(L$1,Lecturas!$N$1:$AA$20,$AC103,FALSE))</f>
        <v/>
      </c>
      <c r="M103" s="163">
        <f>+IF(VLOOKUP(M$1,Lecturas!$N$1:$AA$20,$AC103,FALSE)=0,"",VLOOKUP(M$1,Lecturas!$N$1:$AA$20,$AC103,FALSE))</f>
        <v>2500</v>
      </c>
      <c r="N103" s="163">
        <f>+IF(VLOOKUP(N$1,Lecturas!$N$1:$AA$20,$AC103,FALSE)=0,"",VLOOKUP(N$1,Lecturas!$N$1:$AA$20,$AC103,FALSE))</f>
        <v>2000</v>
      </c>
      <c r="O103" s="163">
        <f>+IF(VLOOKUP(O$1,Lecturas!$N$1:$AA$20,$AC103,FALSE)=0,"",VLOOKUP(O$1,Lecturas!$N$1:$AA$20,$AC103,FALSE))</f>
        <v>3000</v>
      </c>
      <c r="P103" s="156" t="str">
        <f>+IF(VLOOKUP(P$1,Lecturas!$N$1:$AA$20,$AC103,FALSE)=0,"",VLOOKUP(P$1,Lecturas!$N$1:$AA$20,$AC103,FALSE))</f>
        <v/>
      </c>
      <c r="Q103" s="156" t="str">
        <f>+IF(VLOOKUP(Q$1,Lecturas!$N$1:$AA$20,$AC103,FALSE)=0,"",VLOOKUP(Q$1,Lecturas!$N$1:$AA$20,$AC103,FALSE))</f>
        <v/>
      </c>
      <c r="R103" s="156" t="str">
        <f>+IF(VLOOKUP(R$1,Lecturas!$N$1:$AA$20,$AC103,FALSE)=0,"",VLOOKUP(R$1,Lecturas!$N$1:$AA$20,$AC103,FALSE))</f>
        <v/>
      </c>
      <c r="S103" s="163" t="str">
        <f>+IF(VLOOKUP(S$1,Lecturas!$N$1:$AA$20,$AC103,FALSE)=0,"",VLOOKUP(S$1,Lecturas!$N$1:$AA$20,$AC103,FALSE))</f>
        <v/>
      </c>
      <c r="T103" s="163" t="str">
        <f>+IF(VLOOKUP(T$1,Lecturas!$N$1:$AA$20,$AC103,FALSE)=0,"",VLOOKUP(T$1,Lecturas!$N$1:$AA$20,$AC103,FALSE))</f>
        <v/>
      </c>
      <c r="U103" s="163" t="str">
        <f>+IF(VLOOKUP(U$1,Lecturas!$N$1:$AA$20,$AC103,FALSE)=0,"",VLOOKUP(U$1,Lecturas!$N$1:$AA$20,$AC103,FALSE))</f>
        <v/>
      </c>
      <c r="V103" s="156" t="str">
        <f>+IF(VLOOKUP(V$1,Lecturas!$N$1:$AA$20,$AC103,FALSE)=0,"",VLOOKUP(V$1,Lecturas!$N$1:$AA$20,$AC103,FALSE))</f>
        <v/>
      </c>
      <c r="W103" s="156" t="str">
        <f>+IF(VLOOKUP(W$1,Lecturas!$N$1:$AA$20,$AC103,FALSE)=0,"",VLOOKUP(W$1,Lecturas!$N$1:$AA$20,$AC103,FALSE))</f>
        <v/>
      </c>
      <c r="X103" s="156" t="str">
        <f>+IF(VLOOKUP(X$1,Lecturas!$N$1:$AA$20,$AC103,FALSE)=0,"",VLOOKUP(X$1,Lecturas!$N$1:$AA$20,$AC103,FALSE))</f>
        <v/>
      </c>
      <c r="Y103" s="163">
        <f>+IF(VLOOKUP(Y$1,Lecturas!$N$1:$AA$20,$AC103,FALSE)=0,"",VLOOKUP(Y$1,Lecturas!$N$1:$AA$20,$AC103,FALSE))</f>
        <v>7500</v>
      </c>
      <c r="Z103" s="48"/>
      <c r="AA103" s="48"/>
      <c r="AB103" s="48"/>
      <c r="AC103" s="148">
        <f>+'CARGA DE DATOS'!AF104</f>
        <v>7</v>
      </c>
    </row>
    <row r="104" spans="1:29" x14ac:dyDescent="0.25">
      <c r="A104" s="148">
        <f>+'CARGA DE DATOS'!A105</f>
        <v>103</v>
      </c>
      <c r="B104" s="48" t="str">
        <f>+IF(RESULTADOS!H104="","",RESULTADOS!H104)</f>
        <v/>
      </c>
      <c r="C104" s="48" t="str">
        <f>+IF(RESULTADOS!D104="","",RESULTADOS!D104)</f>
        <v/>
      </c>
      <c r="D104" s="160" t="str">
        <f>+IF('CARGA DE DATOS'!K105="Cooperativa","COOP",IF(Salida!AT105="true","PROSU","GD"))</f>
        <v>GD</v>
      </c>
      <c r="E104" s="160" t="s">
        <v>9147</v>
      </c>
      <c r="F104" s="160" t="str">
        <f>+IF(OR(D104="COOP",'CARGA DE DATOS'!K105="GUMA"),"15.02.2022",IF('CARGA DE DATOS'!K105="GUME","05.02.2022","10.02.2022"))</f>
        <v>10.02.2022</v>
      </c>
      <c r="G104" s="163">
        <f>+IF(VLOOKUP(G$1,Lecturas!$N$1:$AA$20,$AC104,FALSE)=0,"",VLOOKUP(G$1,Lecturas!$N$1:$AA$20,$AC104,FALSE))</f>
        <v>1500</v>
      </c>
      <c r="H104" s="163">
        <f>+IF(VLOOKUP(H$1,Lecturas!$N$1:$AA$20,$AC104,FALSE)=0,"",VLOOKUP(H$1,Lecturas!$N$1:$AA$20,$AC104,FALSE))</f>
        <v>1550</v>
      </c>
      <c r="I104" s="163">
        <f>+IF(VLOOKUP(I$1,Lecturas!$N$1:$AA$20,$AC104,FALSE)=0,"",VLOOKUP(I$1,Lecturas!$N$1:$AA$20,$AC104,FALSE))</f>
        <v>1550</v>
      </c>
      <c r="J104" s="156" t="str">
        <f>+IF(VLOOKUP(J$1,Lecturas!$N$1:$AA$20,$AC104,FALSE)=0,"",VLOOKUP(J$1,Lecturas!$N$1:$AA$20,$AC104,FALSE))</f>
        <v/>
      </c>
      <c r="K104" s="156" t="str">
        <f>+IF(VLOOKUP(K$1,Lecturas!$N$1:$AA$20,$AC104,FALSE)=0,"",VLOOKUP(K$1,Lecturas!$N$1:$AA$20,$AC104,FALSE))</f>
        <v/>
      </c>
      <c r="L104" s="156" t="str">
        <f>+IF(VLOOKUP(L$1,Lecturas!$N$1:$AA$20,$AC104,FALSE)=0,"",VLOOKUP(L$1,Lecturas!$N$1:$AA$20,$AC104,FALSE))</f>
        <v/>
      </c>
      <c r="M104" s="163">
        <f>+IF(VLOOKUP(M$1,Lecturas!$N$1:$AA$20,$AC104,FALSE)=0,"",VLOOKUP(M$1,Lecturas!$N$1:$AA$20,$AC104,FALSE))</f>
        <v>2500</v>
      </c>
      <c r="N104" s="163">
        <f>+IF(VLOOKUP(N$1,Lecturas!$N$1:$AA$20,$AC104,FALSE)=0,"",VLOOKUP(N$1,Lecturas!$N$1:$AA$20,$AC104,FALSE))</f>
        <v>2000</v>
      </c>
      <c r="O104" s="163">
        <f>+IF(VLOOKUP(O$1,Lecturas!$N$1:$AA$20,$AC104,FALSE)=0,"",VLOOKUP(O$1,Lecturas!$N$1:$AA$20,$AC104,FALSE))</f>
        <v>3000</v>
      </c>
      <c r="P104" s="156" t="str">
        <f>+IF(VLOOKUP(P$1,Lecturas!$N$1:$AA$20,$AC104,FALSE)=0,"",VLOOKUP(P$1,Lecturas!$N$1:$AA$20,$AC104,FALSE))</f>
        <v/>
      </c>
      <c r="Q104" s="156" t="str">
        <f>+IF(VLOOKUP(Q$1,Lecturas!$N$1:$AA$20,$AC104,FALSE)=0,"",VLOOKUP(Q$1,Lecturas!$N$1:$AA$20,$AC104,FALSE))</f>
        <v/>
      </c>
      <c r="R104" s="156" t="str">
        <f>+IF(VLOOKUP(R$1,Lecturas!$N$1:$AA$20,$AC104,FALSE)=0,"",VLOOKUP(R$1,Lecturas!$N$1:$AA$20,$AC104,FALSE))</f>
        <v/>
      </c>
      <c r="S104" s="163" t="str">
        <f>+IF(VLOOKUP(S$1,Lecturas!$N$1:$AA$20,$AC104,FALSE)=0,"",VLOOKUP(S$1,Lecturas!$N$1:$AA$20,$AC104,FALSE))</f>
        <v/>
      </c>
      <c r="T104" s="163" t="str">
        <f>+IF(VLOOKUP(T$1,Lecturas!$N$1:$AA$20,$AC104,FALSE)=0,"",VLOOKUP(T$1,Lecturas!$N$1:$AA$20,$AC104,FALSE))</f>
        <v/>
      </c>
      <c r="U104" s="163" t="str">
        <f>+IF(VLOOKUP(U$1,Lecturas!$N$1:$AA$20,$AC104,FALSE)=0,"",VLOOKUP(U$1,Lecturas!$N$1:$AA$20,$AC104,FALSE))</f>
        <v/>
      </c>
      <c r="V104" s="156" t="str">
        <f>+IF(VLOOKUP(V$1,Lecturas!$N$1:$AA$20,$AC104,FALSE)=0,"",VLOOKUP(V$1,Lecturas!$N$1:$AA$20,$AC104,FALSE))</f>
        <v/>
      </c>
      <c r="W104" s="156" t="str">
        <f>+IF(VLOOKUP(W$1,Lecturas!$N$1:$AA$20,$AC104,FALSE)=0,"",VLOOKUP(W$1,Lecturas!$N$1:$AA$20,$AC104,FALSE))</f>
        <v/>
      </c>
      <c r="X104" s="156" t="str">
        <f>+IF(VLOOKUP(X$1,Lecturas!$N$1:$AA$20,$AC104,FALSE)=0,"",VLOOKUP(X$1,Lecturas!$N$1:$AA$20,$AC104,FALSE))</f>
        <v/>
      </c>
      <c r="Y104" s="163">
        <f>+IF(VLOOKUP(Y$1,Lecturas!$N$1:$AA$20,$AC104,FALSE)=0,"",VLOOKUP(Y$1,Lecturas!$N$1:$AA$20,$AC104,FALSE))</f>
        <v>7500</v>
      </c>
      <c r="Z104" s="48"/>
      <c r="AA104" s="48"/>
      <c r="AB104" s="48"/>
      <c r="AC104" s="148">
        <f>+'CARGA DE DATOS'!AF105</f>
        <v>7</v>
      </c>
    </row>
    <row r="105" spans="1:29" x14ac:dyDescent="0.25">
      <c r="A105" s="148">
        <f>+'CARGA DE DATOS'!A106</f>
        <v>104</v>
      </c>
      <c r="B105" s="48" t="str">
        <f>+IF(RESULTADOS!H105="","",RESULTADOS!H105)</f>
        <v/>
      </c>
      <c r="C105" s="48" t="str">
        <f>+IF(RESULTADOS!D105="","",RESULTADOS!D105)</f>
        <v/>
      </c>
      <c r="D105" s="160" t="str">
        <f>+IF('CARGA DE DATOS'!K106="Cooperativa","COOP",IF(Salida!AT106="true","PROSU","GD"))</f>
        <v>GD</v>
      </c>
      <c r="E105" s="160" t="s">
        <v>9147</v>
      </c>
      <c r="F105" s="160" t="str">
        <f>+IF(OR(D105="COOP",'CARGA DE DATOS'!K106="GUMA"),"15.02.2022",IF('CARGA DE DATOS'!K106="GUME","05.02.2022","10.02.2022"))</f>
        <v>10.02.2022</v>
      </c>
      <c r="G105" s="163">
        <f>+IF(VLOOKUP(G$1,Lecturas!$N$1:$AA$20,$AC105,FALSE)=0,"",VLOOKUP(G$1,Lecturas!$N$1:$AA$20,$AC105,FALSE))</f>
        <v>150</v>
      </c>
      <c r="H105" s="163">
        <f>+IF(VLOOKUP(H$1,Lecturas!$N$1:$AA$20,$AC105,FALSE)=0,"",VLOOKUP(H$1,Lecturas!$N$1:$AA$20,$AC105,FALSE))</f>
        <v>150</v>
      </c>
      <c r="I105" s="163">
        <f>+IF(VLOOKUP(I$1,Lecturas!$N$1:$AA$20,$AC105,FALSE)=0,"",VLOOKUP(I$1,Lecturas!$N$1:$AA$20,$AC105,FALSE))</f>
        <v>150</v>
      </c>
      <c r="J105" s="156" t="str">
        <f>+IF(VLOOKUP(J$1,Lecturas!$N$1:$AA$20,$AC105,FALSE)=0,"",VLOOKUP(J$1,Lecturas!$N$1:$AA$20,$AC105,FALSE))</f>
        <v/>
      </c>
      <c r="K105" s="156" t="str">
        <f>+IF(VLOOKUP(K$1,Lecturas!$N$1:$AA$20,$AC105,FALSE)=0,"",VLOOKUP(K$1,Lecturas!$N$1:$AA$20,$AC105,FALSE))</f>
        <v/>
      </c>
      <c r="L105" s="156" t="str">
        <f>+IF(VLOOKUP(L$1,Lecturas!$N$1:$AA$20,$AC105,FALSE)=0,"",VLOOKUP(L$1,Lecturas!$N$1:$AA$20,$AC105,FALSE))</f>
        <v/>
      </c>
      <c r="M105" s="163">
        <f>+IF(VLOOKUP(M$1,Lecturas!$N$1:$AA$20,$AC105,FALSE)=0,"",VLOOKUP(M$1,Lecturas!$N$1:$AA$20,$AC105,FALSE))</f>
        <v>2500</v>
      </c>
      <c r="N105" s="163">
        <f>+IF(VLOOKUP(N$1,Lecturas!$N$1:$AA$20,$AC105,FALSE)=0,"",VLOOKUP(N$1,Lecturas!$N$1:$AA$20,$AC105,FALSE))</f>
        <v>2000</v>
      </c>
      <c r="O105" s="163">
        <f>+IF(VLOOKUP(O$1,Lecturas!$N$1:$AA$20,$AC105,FALSE)=0,"",VLOOKUP(O$1,Lecturas!$N$1:$AA$20,$AC105,FALSE))</f>
        <v>3000</v>
      </c>
      <c r="P105" s="156" t="str">
        <f>+IF(VLOOKUP(P$1,Lecturas!$N$1:$AA$20,$AC105,FALSE)=0,"",VLOOKUP(P$1,Lecturas!$N$1:$AA$20,$AC105,FALSE))</f>
        <v/>
      </c>
      <c r="Q105" s="156" t="str">
        <f>+IF(VLOOKUP(Q$1,Lecturas!$N$1:$AA$20,$AC105,FALSE)=0,"",VLOOKUP(Q$1,Lecturas!$N$1:$AA$20,$AC105,FALSE))</f>
        <v/>
      </c>
      <c r="R105" s="156" t="str">
        <f>+IF(VLOOKUP(R$1,Lecturas!$N$1:$AA$20,$AC105,FALSE)=0,"",VLOOKUP(R$1,Lecturas!$N$1:$AA$20,$AC105,FALSE))</f>
        <v/>
      </c>
      <c r="S105" s="163" t="str">
        <f>+IF(VLOOKUP(S$1,Lecturas!$N$1:$AA$20,$AC105,FALSE)=0,"",VLOOKUP(S$1,Lecturas!$N$1:$AA$20,$AC105,FALSE))</f>
        <v/>
      </c>
      <c r="T105" s="163" t="str">
        <f>+IF(VLOOKUP(T$1,Lecturas!$N$1:$AA$20,$AC105,FALSE)=0,"",VLOOKUP(T$1,Lecturas!$N$1:$AA$20,$AC105,FALSE))</f>
        <v/>
      </c>
      <c r="U105" s="163" t="str">
        <f>+IF(VLOOKUP(U$1,Lecturas!$N$1:$AA$20,$AC105,FALSE)=0,"",VLOOKUP(U$1,Lecturas!$N$1:$AA$20,$AC105,FALSE))</f>
        <v/>
      </c>
      <c r="V105" s="156" t="str">
        <f>+IF(VLOOKUP(V$1,Lecturas!$N$1:$AA$20,$AC105,FALSE)=0,"",VLOOKUP(V$1,Lecturas!$N$1:$AA$20,$AC105,FALSE))</f>
        <v/>
      </c>
      <c r="W105" s="156" t="str">
        <f>+IF(VLOOKUP(W$1,Lecturas!$N$1:$AA$20,$AC105,FALSE)=0,"",VLOOKUP(W$1,Lecturas!$N$1:$AA$20,$AC105,FALSE))</f>
        <v/>
      </c>
      <c r="X105" s="156" t="str">
        <f>+IF(VLOOKUP(X$1,Lecturas!$N$1:$AA$20,$AC105,FALSE)=0,"",VLOOKUP(X$1,Lecturas!$N$1:$AA$20,$AC105,FALSE))</f>
        <v/>
      </c>
      <c r="Y105" s="163">
        <f>+IF(VLOOKUP(Y$1,Lecturas!$N$1:$AA$20,$AC105,FALSE)=0,"",VLOOKUP(Y$1,Lecturas!$N$1:$AA$20,$AC105,FALSE))</f>
        <v>15000</v>
      </c>
      <c r="Z105" s="48"/>
      <c r="AA105" s="48"/>
      <c r="AB105" s="48"/>
      <c r="AC105" s="148">
        <f>+'CARGA DE DATOS'!AF106</f>
        <v>4</v>
      </c>
    </row>
    <row r="106" spans="1:29" x14ac:dyDescent="0.25">
      <c r="A106" s="148">
        <f>+'CARGA DE DATOS'!A107</f>
        <v>105</v>
      </c>
      <c r="B106" s="48" t="str">
        <f>+IF(RESULTADOS!H106="","",RESULTADOS!H106)</f>
        <v/>
      </c>
      <c r="C106" s="48" t="str">
        <f>+IF(RESULTADOS!D106="","",RESULTADOS!D106)</f>
        <v/>
      </c>
      <c r="D106" s="160" t="str">
        <f>+IF('CARGA DE DATOS'!K107="Cooperativa","COOP",IF(Salida!AT107="true","PROSU","GD"))</f>
        <v>GD</v>
      </c>
      <c r="E106" s="160" t="s">
        <v>9147</v>
      </c>
      <c r="F106" s="160" t="str">
        <f>+IF(OR(D106="COOP",'CARGA DE DATOS'!K107="GUMA"),"15.02.2022",IF('CARGA DE DATOS'!K107="GUME","05.02.2022","10.02.2022"))</f>
        <v>10.02.2022</v>
      </c>
      <c r="G106" s="163">
        <f>+IF(VLOOKUP(G$1,Lecturas!$N$1:$AA$20,$AC106,FALSE)=0,"",VLOOKUP(G$1,Lecturas!$N$1:$AA$20,$AC106,FALSE))</f>
        <v>150</v>
      </c>
      <c r="H106" s="163">
        <f>+IF(VLOOKUP(H$1,Lecturas!$N$1:$AA$20,$AC106,FALSE)=0,"",VLOOKUP(H$1,Lecturas!$N$1:$AA$20,$AC106,FALSE))</f>
        <v>300</v>
      </c>
      <c r="I106" s="163">
        <f>+IF(VLOOKUP(I$1,Lecturas!$N$1:$AA$20,$AC106,FALSE)=0,"",VLOOKUP(I$1,Lecturas!$N$1:$AA$20,$AC106,FALSE))</f>
        <v>350</v>
      </c>
      <c r="J106" s="156" t="str">
        <f>+IF(VLOOKUP(J$1,Lecturas!$N$1:$AA$20,$AC106,FALSE)=0,"",VLOOKUP(J$1,Lecturas!$N$1:$AA$20,$AC106,FALSE))</f>
        <v/>
      </c>
      <c r="K106" s="156" t="str">
        <f>+IF(VLOOKUP(K$1,Lecturas!$N$1:$AA$20,$AC106,FALSE)=0,"",VLOOKUP(K$1,Lecturas!$N$1:$AA$20,$AC106,FALSE))</f>
        <v/>
      </c>
      <c r="L106" s="156" t="str">
        <f>+IF(VLOOKUP(L$1,Lecturas!$N$1:$AA$20,$AC106,FALSE)=0,"",VLOOKUP(L$1,Lecturas!$N$1:$AA$20,$AC106,FALSE))</f>
        <v/>
      </c>
      <c r="M106" s="163">
        <f>+IF(VLOOKUP(M$1,Lecturas!$N$1:$AA$20,$AC106,FALSE)=0,"",VLOOKUP(M$1,Lecturas!$N$1:$AA$20,$AC106,FALSE))</f>
        <v>2500</v>
      </c>
      <c r="N106" s="163">
        <f>+IF(VLOOKUP(N$1,Lecturas!$N$1:$AA$20,$AC106,FALSE)=0,"",VLOOKUP(N$1,Lecturas!$N$1:$AA$20,$AC106,FALSE))</f>
        <v>2000</v>
      </c>
      <c r="O106" s="163">
        <f>+IF(VLOOKUP(O$1,Lecturas!$N$1:$AA$20,$AC106,FALSE)=0,"",VLOOKUP(O$1,Lecturas!$N$1:$AA$20,$AC106,FALSE))</f>
        <v>3000</v>
      </c>
      <c r="P106" s="156" t="str">
        <f>+IF(VLOOKUP(P$1,Lecturas!$N$1:$AA$20,$AC106,FALSE)=0,"",VLOOKUP(P$1,Lecturas!$N$1:$AA$20,$AC106,FALSE))</f>
        <v/>
      </c>
      <c r="Q106" s="156" t="str">
        <f>+IF(VLOOKUP(Q$1,Lecturas!$N$1:$AA$20,$AC106,FALSE)=0,"",VLOOKUP(Q$1,Lecturas!$N$1:$AA$20,$AC106,FALSE))</f>
        <v/>
      </c>
      <c r="R106" s="156" t="str">
        <f>+IF(VLOOKUP(R$1,Lecturas!$N$1:$AA$20,$AC106,FALSE)=0,"",VLOOKUP(R$1,Lecturas!$N$1:$AA$20,$AC106,FALSE))</f>
        <v/>
      </c>
      <c r="S106" s="163" t="str">
        <f>+IF(VLOOKUP(S$1,Lecturas!$N$1:$AA$20,$AC106,FALSE)=0,"",VLOOKUP(S$1,Lecturas!$N$1:$AA$20,$AC106,FALSE))</f>
        <v/>
      </c>
      <c r="T106" s="163" t="str">
        <f>+IF(VLOOKUP(T$1,Lecturas!$N$1:$AA$20,$AC106,FALSE)=0,"",VLOOKUP(T$1,Lecturas!$N$1:$AA$20,$AC106,FALSE))</f>
        <v/>
      </c>
      <c r="U106" s="163" t="str">
        <f>+IF(VLOOKUP(U$1,Lecturas!$N$1:$AA$20,$AC106,FALSE)=0,"",VLOOKUP(U$1,Lecturas!$N$1:$AA$20,$AC106,FALSE))</f>
        <v/>
      </c>
      <c r="V106" s="156" t="str">
        <f>+IF(VLOOKUP(V$1,Lecturas!$N$1:$AA$20,$AC106,FALSE)=0,"",VLOOKUP(V$1,Lecturas!$N$1:$AA$20,$AC106,FALSE))</f>
        <v/>
      </c>
      <c r="W106" s="156" t="str">
        <f>+IF(VLOOKUP(W$1,Lecturas!$N$1:$AA$20,$AC106,FALSE)=0,"",VLOOKUP(W$1,Lecturas!$N$1:$AA$20,$AC106,FALSE))</f>
        <v/>
      </c>
      <c r="X106" s="156" t="str">
        <f>+IF(VLOOKUP(X$1,Lecturas!$N$1:$AA$20,$AC106,FALSE)=0,"",VLOOKUP(X$1,Lecturas!$N$1:$AA$20,$AC106,FALSE))</f>
        <v/>
      </c>
      <c r="Y106" s="163">
        <f>+IF(VLOOKUP(Y$1,Lecturas!$N$1:$AA$20,$AC106,FALSE)=0,"",VLOOKUP(Y$1,Lecturas!$N$1:$AA$20,$AC106,FALSE))</f>
        <v>500</v>
      </c>
      <c r="Z106" s="48"/>
      <c r="AA106" s="48"/>
      <c r="AB106" s="48"/>
      <c r="AC106" s="148">
        <f>+'CARGA DE DATOS'!AF107</f>
        <v>8</v>
      </c>
    </row>
    <row r="107" spans="1:29" x14ac:dyDescent="0.25">
      <c r="A107" s="148">
        <f>+'CARGA DE DATOS'!A108</f>
        <v>106</v>
      </c>
      <c r="B107" s="48" t="str">
        <f>+IF(RESULTADOS!H107="","",RESULTADOS!H107)</f>
        <v/>
      </c>
      <c r="C107" s="48" t="str">
        <f>+IF(RESULTADOS!D107="","",RESULTADOS!D107)</f>
        <v/>
      </c>
      <c r="D107" s="160" t="str">
        <f>+IF('CARGA DE DATOS'!K108="Cooperativa","COOP",IF(Salida!AT108="true","PROSU","GD"))</f>
        <v>GD</v>
      </c>
      <c r="E107" s="160" t="s">
        <v>9147</v>
      </c>
      <c r="F107" s="160" t="str">
        <f>+IF(OR(D107="COOP",'CARGA DE DATOS'!K108="GUMA"),"15.02.2022",IF('CARGA DE DATOS'!K108="GUME","05.02.2022","10.02.2022"))</f>
        <v>10.02.2022</v>
      </c>
      <c r="G107" s="163">
        <f>+IF(VLOOKUP(G$1,Lecturas!$N$1:$AA$20,$AC107,FALSE)=0,"",VLOOKUP(G$1,Lecturas!$N$1:$AA$20,$AC107,FALSE))</f>
        <v>150</v>
      </c>
      <c r="H107" s="163">
        <f>+IF(VLOOKUP(H$1,Lecturas!$N$1:$AA$20,$AC107,FALSE)=0,"",VLOOKUP(H$1,Lecturas!$N$1:$AA$20,$AC107,FALSE))</f>
        <v>300</v>
      </c>
      <c r="I107" s="163">
        <f>+IF(VLOOKUP(I$1,Lecturas!$N$1:$AA$20,$AC107,FALSE)=0,"",VLOOKUP(I$1,Lecturas!$N$1:$AA$20,$AC107,FALSE))</f>
        <v>150</v>
      </c>
      <c r="J107" s="156" t="str">
        <f>+IF(VLOOKUP(J$1,Lecturas!$N$1:$AA$20,$AC107,FALSE)=0,"",VLOOKUP(J$1,Lecturas!$N$1:$AA$20,$AC107,FALSE))</f>
        <v/>
      </c>
      <c r="K107" s="156" t="str">
        <f>+IF(VLOOKUP(K$1,Lecturas!$N$1:$AA$20,$AC107,FALSE)=0,"",VLOOKUP(K$1,Lecturas!$N$1:$AA$20,$AC107,FALSE))</f>
        <v/>
      </c>
      <c r="L107" s="156" t="str">
        <f>+IF(VLOOKUP(L$1,Lecturas!$N$1:$AA$20,$AC107,FALSE)=0,"",VLOOKUP(L$1,Lecturas!$N$1:$AA$20,$AC107,FALSE))</f>
        <v/>
      </c>
      <c r="M107" s="163">
        <f>+IF(VLOOKUP(M$1,Lecturas!$N$1:$AA$20,$AC107,FALSE)=0,"",VLOOKUP(M$1,Lecturas!$N$1:$AA$20,$AC107,FALSE))</f>
        <v>2500</v>
      </c>
      <c r="N107" s="163">
        <f>+IF(VLOOKUP(N$1,Lecturas!$N$1:$AA$20,$AC107,FALSE)=0,"",VLOOKUP(N$1,Lecturas!$N$1:$AA$20,$AC107,FALSE))</f>
        <v>2000</v>
      </c>
      <c r="O107" s="163">
        <f>+IF(VLOOKUP(O$1,Lecturas!$N$1:$AA$20,$AC107,FALSE)=0,"",VLOOKUP(O$1,Lecturas!$N$1:$AA$20,$AC107,FALSE))</f>
        <v>3000</v>
      </c>
      <c r="P107" s="156" t="str">
        <f>+IF(VLOOKUP(P$1,Lecturas!$N$1:$AA$20,$AC107,FALSE)=0,"",VLOOKUP(P$1,Lecturas!$N$1:$AA$20,$AC107,FALSE))</f>
        <v/>
      </c>
      <c r="Q107" s="156" t="str">
        <f>+IF(VLOOKUP(Q$1,Lecturas!$N$1:$AA$20,$AC107,FALSE)=0,"",VLOOKUP(Q$1,Lecturas!$N$1:$AA$20,$AC107,FALSE))</f>
        <v/>
      </c>
      <c r="R107" s="156" t="str">
        <f>+IF(VLOOKUP(R$1,Lecturas!$N$1:$AA$20,$AC107,FALSE)=0,"",VLOOKUP(R$1,Lecturas!$N$1:$AA$20,$AC107,FALSE))</f>
        <v/>
      </c>
      <c r="S107" s="163" t="str">
        <f>+IF(VLOOKUP(S$1,Lecturas!$N$1:$AA$20,$AC107,FALSE)=0,"",VLOOKUP(S$1,Lecturas!$N$1:$AA$20,$AC107,FALSE))</f>
        <v/>
      </c>
      <c r="T107" s="163" t="str">
        <f>+IF(VLOOKUP(T$1,Lecturas!$N$1:$AA$20,$AC107,FALSE)=0,"",VLOOKUP(T$1,Lecturas!$N$1:$AA$20,$AC107,FALSE))</f>
        <v/>
      </c>
      <c r="U107" s="163" t="str">
        <f>+IF(VLOOKUP(U$1,Lecturas!$N$1:$AA$20,$AC107,FALSE)=0,"",VLOOKUP(U$1,Lecturas!$N$1:$AA$20,$AC107,FALSE))</f>
        <v/>
      </c>
      <c r="V107" s="156" t="str">
        <f>+IF(VLOOKUP(V$1,Lecturas!$N$1:$AA$20,$AC107,FALSE)=0,"",VLOOKUP(V$1,Lecturas!$N$1:$AA$20,$AC107,FALSE))</f>
        <v/>
      </c>
      <c r="W107" s="156" t="str">
        <f>+IF(VLOOKUP(W$1,Lecturas!$N$1:$AA$20,$AC107,FALSE)=0,"",VLOOKUP(W$1,Lecturas!$N$1:$AA$20,$AC107,FALSE))</f>
        <v/>
      </c>
      <c r="X107" s="156" t="str">
        <f>+IF(VLOOKUP(X$1,Lecturas!$N$1:$AA$20,$AC107,FALSE)=0,"",VLOOKUP(X$1,Lecturas!$N$1:$AA$20,$AC107,FALSE))</f>
        <v/>
      </c>
      <c r="Y107" s="163">
        <f>+IF(VLOOKUP(Y$1,Lecturas!$N$1:$AA$20,$AC107,FALSE)=0,"",VLOOKUP(Y$1,Lecturas!$N$1:$AA$20,$AC107,FALSE))</f>
        <v>5000</v>
      </c>
      <c r="Z107" s="48"/>
      <c r="AA107" s="48"/>
      <c r="AB107" s="48"/>
      <c r="AC107" s="148">
        <f>+'CARGA DE DATOS'!AF108</f>
        <v>3</v>
      </c>
    </row>
    <row r="108" spans="1:29" x14ac:dyDescent="0.25">
      <c r="A108" s="148">
        <f>+'CARGA DE DATOS'!A109</f>
        <v>107</v>
      </c>
      <c r="B108" s="48" t="str">
        <f>+IF(RESULTADOS!H108="","",RESULTADOS!H108)</f>
        <v/>
      </c>
      <c r="C108" s="48" t="str">
        <f>+IF(RESULTADOS!D108="","",RESULTADOS!D108)</f>
        <v/>
      </c>
      <c r="D108" s="160" t="str">
        <f>+IF('CARGA DE DATOS'!K109="Cooperativa","COOP",IF(Salida!AT109="true","PROSU","GD"))</f>
        <v>GD</v>
      </c>
      <c r="E108" s="160" t="s">
        <v>9147</v>
      </c>
      <c r="F108" s="160" t="str">
        <f>+IF(OR(D108="COOP",'CARGA DE DATOS'!K109="GUMA"),"15.02.2022",IF('CARGA DE DATOS'!K109="GUME","05.02.2022","10.02.2022"))</f>
        <v>10.02.2022</v>
      </c>
      <c r="G108" s="163">
        <f>+IF(VLOOKUP(G$1,Lecturas!$N$1:$AA$20,$AC108,FALSE)=0,"",VLOOKUP(G$1,Lecturas!$N$1:$AA$20,$AC108,FALSE))</f>
        <v>150</v>
      </c>
      <c r="H108" s="163">
        <f>+IF(VLOOKUP(H$1,Lecturas!$N$1:$AA$20,$AC108,FALSE)=0,"",VLOOKUP(H$1,Lecturas!$N$1:$AA$20,$AC108,FALSE))</f>
        <v>300</v>
      </c>
      <c r="I108" s="163">
        <f>+IF(VLOOKUP(I$1,Lecturas!$N$1:$AA$20,$AC108,FALSE)=0,"",VLOOKUP(I$1,Lecturas!$N$1:$AA$20,$AC108,FALSE))</f>
        <v>350</v>
      </c>
      <c r="J108" s="156" t="str">
        <f>+IF(VLOOKUP(J$1,Lecturas!$N$1:$AA$20,$AC108,FALSE)=0,"",VLOOKUP(J$1,Lecturas!$N$1:$AA$20,$AC108,FALSE))</f>
        <v/>
      </c>
      <c r="K108" s="156" t="str">
        <f>+IF(VLOOKUP(K$1,Lecturas!$N$1:$AA$20,$AC108,FALSE)=0,"",VLOOKUP(K$1,Lecturas!$N$1:$AA$20,$AC108,FALSE))</f>
        <v/>
      </c>
      <c r="L108" s="156" t="str">
        <f>+IF(VLOOKUP(L$1,Lecturas!$N$1:$AA$20,$AC108,FALSE)=0,"",VLOOKUP(L$1,Lecturas!$N$1:$AA$20,$AC108,FALSE))</f>
        <v/>
      </c>
      <c r="M108" s="163">
        <f>+IF(VLOOKUP(M$1,Lecturas!$N$1:$AA$20,$AC108,FALSE)=0,"",VLOOKUP(M$1,Lecturas!$N$1:$AA$20,$AC108,FALSE))</f>
        <v>2500</v>
      </c>
      <c r="N108" s="163">
        <f>+IF(VLOOKUP(N$1,Lecturas!$N$1:$AA$20,$AC108,FALSE)=0,"",VLOOKUP(N$1,Lecturas!$N$1:$AA$20,$AC108,FALSE))</f>
        <v>2000</v>
      </c>
      <c r="O108" s="163">
        <f>+IF(VLOOKUP(O$1,Lecturas!$N$1:$AA$20,$AC108,FALSE)=0,"",VLOOKUP(O$1,Lecturas!$N$1:$AA$20,$AC108,FALSE))</f>
        <v>3000</v>
      </c>
      <c r="P108" s="156" t="str">
        <f>+IF(VLOOKUP(P$1,Lecturas!$N$1:$AA$20,$AC108,FALSE)=0,"",VLOOKUP(P$1,Lecturas!$N$1:$AA$20,$AC108,FALSE))</f>
        <v/>
      </c>
      <c r="Q108" s="156" t="str">
        <f>+IF(VLOOKUP(Q$1,Lecturas!$N$1:$AA$20,$AC108,FALSE)=0,"",VLOOKUP(Q$1,Lecturas!$N$1:$AA$20,$AC108,FALSE))</f>
        <v/>
      </c>
      <c r="R108" s="156" t="str">
        <f>+IF(VLOOKUP(R$1,Lecturas!$N$1:$AA$20,$AC108,FALSE)=0,"",VLOOKUP(R$1,Lecturas!$N$1:$AA$20,$AC108,FALSE))</f>
        <v/>
      </c>
      <c r="S108" s="163" t="str">
        <f>+IF(VLOOKUP(S$1,Lecturas!$N$1:$AA$20,$AC108,FALSE)=0,"",VLOOKUP(S$1,Lecturas!$N$1:$AA$20,$AC108,FALSE))</f>
        <v/>
      </c>
      <c r="T108" s="163" t="str">
        <f>+IF(VLOOKUP(T$1,Lecturas!$N$1:$AA$20,$AC108,FALSE)=0,"",VLOOKUP(T$1,Lecturas!$N$1:$AA$20,$AC108,FALSE))</f>
        <v/>
      </c>
      <c r="U108" s="163" t="str">
        <f>+IF(VLOOKUP(U$1,Lecturas!$N$1:$AA$20,$AC108,FALSE)=0,"",VLOOKUP(U$1,Lecturas!$N$1:$AA$20,$AC108,FALSE))</f>
        <v/>
      </c>
      <c r="V108" s="156" t="str">
        <f>+IF(VLOOKUP(V$1,Lecturas!$N$1:$AA$20,$AC108,FALSE)=0,"",VLOOKUP(V$1,Lecturas!$N$1:$AA$20,$AC108,FALSE))</f>
        <v/>
      </c>
      <c r="W108" s="156" t="str">
        <f>+IF(VLOOKUP(W$1,Lecturas!$N$1:$AA$20,$AC108,FALSE)=0,"",VLOOKUP(W$1,Lecturas!$N$1:$AA$20,$AC108,FALSE))</f>
        <v/>
      </c>
      <c r="X108" s="156" t="str">
        <f>+IF(VLOOKUP(X$1,Lecturas!$N$1:$AA$20,$AC108,FALSE)=0,"",VLOOKUP(X$1,Lecturas!$N$1:$AA$20,$AC108,FALSE))</f>
        <v/>
      </c>
      <c r="Y108" s="163">
        <f>+IF(VLOOKUP(Y$1,Lecturas!$N$1:$AA$20,$AC108,FALSE)=0,"",VLOOKUP(Y$1,Lecturas!$N$1:$AA$20,$AC108,FALSE))</f>
        <v>500</v>
      </c>
      <c r="Z108" s="48"/>
      <c r="AA108" s="48"/>
      <c r="AB108" s="48"/>
      <c r="AC108" s="148">
        <f>+'CARGA DE DATOS'!AF109</f>
        <v>8</v>
      </c>
    </row>
    <row r="109" spans="1:29" x14ac:dyDescent="0.25">
      <c r="A109" s="148">
        <f>+'CARGA DE DATOS'!A110</f>
        <v>108</v>
      </c>
      <c r="B109" s="48" t="str">
        <f>+IF(RESULTADOS!H109="","",RESULTADOS!H109)</f>
        <v/>
      </c>
      <c r="C109" s="48" t="str">
        <f>+IF(RESULTADOS!D109="","",RESULTADOS!D109)</f>
        <v/>
      </c>
      <c r="D109" s="160" t="str">
        <f>+IF('CARGA DE DATOS'!K110="Cooperativa","COOP",IF(Salida!AT110="true","PROSU","GD"))</f>
        <v>GD</v>
      </c>
      <c r="E109" s="160" t="s">
        <v>9147</v>
      </c>
      <c r="F109" s="160" t="str">
        <f>+IF(OR(D109="COOP",'CARGA DE DATOS'!K110="GUMA"),"15.02.2022",IF('CARGA DE DATOS'!K110="GUME","05.02.2022","10.02.2022"))</f>
        <v>10.02.2022</v>
      </c>
      <c r="G109" s="163">
        <f>+IF(VLOOKUP(G$1,Lecturas!$N$1:$AA$20,$AC109,FALSE)=0,"",VLOOKUP(G$1,Lecturas!$N$1:$AA$20,$AC109,FALSE))</f>
        <v>1500</v>
      </c>
      <c r="H109" s="163">
        <f>+IF(VLOOKUP(H$1,Lecturas!$N$1:$AA$20,$AC109,FALSE)=0,"",VLOOKUP(H$1,Lecturas!$N$1:$AA$20,$AC109,FALSE))</f>
        <v>1550</v>
      </c>
      <c r="I109" s="163">
        <f>+IF(VLOOKUP(I$1,Lecturas!$N$1:$AA$20,$AC109,FALSE)=0,"",VLOOKUP(I$1,Lecturas!$N$1:$AA$20,$AC109,FALSE))</f>
        <v>1550</v>
      </c>
      <c r="J109" s="156" t="str">
        <f>+IF(VLOOKUP(J$1,Lecturas!$N$1:$AA$20,$AC109,FALSE)=0,"",VLOOKUP(J$1,Lecturas!$N$1:$AA$20,$AC109,FALSE))</f>
        <v/>
      </c>
      <c r="K109" s="156" t="str">
        <f>+IF(VLOOKUP(K$1,Lecturas!$N$1:$AA$20,$AC109,FALSE)=0,"",VLOOKUP(K$1,Lecturas!$N$1:$AA$20,$AC109,FALSE))</f>
        <v/>
      </c>
      <c r="L109" s="156" t="str">
        <f>+IF(VLOOKUP(L$1,Lecturas!$N$1:$AA$20,$AC109,FALSE)=0,"",VLOOKUP(L$1,Lecturas!$N$1:$AA$20,$AC109,FALSE))</f>
        <v/>
      </c>
      <c r="M109" s="163">
        <f>+IF(VLOOKUP(M$1,Lecturas!$N$1:$AA$20,$AC109,FALSE)=0,"",VLOOKUP(M$1,Lecturas!$N$1:$AA$20,$AC109,FALSE))</f>
        <v>2500</v>
      </c>
      <c r="N109" s="163">
        <f>+IF(VLOOKUP(N$1,Lecturas!$N$1:$AA$20,$AC109,FALSE)=0,"",VLOOKUP(N$1,Lecturas!$N$1:$AA$20,$AC109,FALSE))</f>
        <v>2000</v>
      </c>
      <c r="O109" s="163">
        <f>+IF(VLOOKUP(O$1,Lecturas!$N$1:$AA$20,$AC109,FALSE)=0,"",VLOOKUP(O$1,Lecturas!$N$1:$AA$20,$AC109,FALSE))</f>
        <v>3000</v>
      </c>
      <c r="P109" s="156" t="str">
        <f>+IF(VLOOKUP(P$1,Lecturas!$N$1:$AA$20,$AC109,FALSE)=0,"",VLOOKUP(P$1,Lecturas!$N$1:$AA$20,$AC109,FALSE))</f>
        <v/>
      </c>
      <c r="Q109" s="156" t="str">
        <f>+IF(VLOOKUP(Q$1,Lecturas!$N$1:$AA$20,$AC109,FALSE)=0,"",VLOOKUP(Q$1,Lecturas!$N$1:$AA$20,$AC109,FALSE))</f>
        <v/>
      </c>
      <c r="R109" s="156" t="str">
        <f>+IF(VLOOKUP(R$1,Lecturas!$N$1:$AA$20,$AC109,FALSE)=0,"",VLOOKUP(R$1,Lecturas!$N$1:$AA$20,$AC109,FALSE))</f>
        <v/>
      </c>
      <c r="S109" s="163" t="str">
        <f>+IF(VLOOKUP(S$1,Lecturas!$N$1:$AA$20,$AC109,FALSE)=0,"",VLOOKUP(S$1,Lecturas!$N$1:$AA$20,$AC109,FALSE))</f>
        <v/>
      </c>
      <c r="T109" s="163" t="str">
        <f>+IF(VLOOKUP(T$1,Lecturas!$N$1:$AA$20,$AC109,FALSE)=0,"",VLOOKUP(T$1,Lecturas!$N$1:$AA$20,$AC109,FALSE))</f>
        <v/>
      </c>
      <c r="U109" s="163" t="str">
        <f>+IF(VLOOKUP(U$1,Lecturas!$N$1:$AA$20,$AC109,FALSE)=0,"",VLOOKUP(U$1,Lecturas!$N$1:$AA$20,$AC109,FALSE))</f>
        <v/>
      </c>
      <c r="V109" s="156" t="str">
        <f>+IF(VLOOKUP(V$1,Lecturas!$N$1:$AA$20,$AC109,FALSE)=0,"",VLOOKUP(V$1,Lecturas!$N$1:$AA$20,$AC109,FALSE))</f>
        <v/>
      </c>
      <c r="W109" s="156" t="str">
        <f>+IF(VLOOKUP(W$1,Lecturas!$N$1:$AA$20,$AC109,FALSE)=0,"",VLOOKUP(W$1,Lecturas!$N$1:$AA$20,$AC109,FALSE))</f>
        <v/>
      </c>
      <c r="X109" s="156" t="str">
        <f>+IF(VLOOKUP(X$1,Lecturas!$N$1:$AA$20,$AC109,FALSE)=0,"",VLOOKUP(X$1,Lecturas!$N$1:$AA$20,$AC109,FALSE))</f>
        <v/>
      </c>
      <c r="Y109" s="163">
        <f>+IF(VLOOKUP(Y$1,Lecturas!$N$1:$AA$20,$AC109,FALSE)=0,"",VLOOKUP(Y$1,Lecturas!$N$1:$AA$20,$AC109,FALSE))</f>
        <v>7500</v>
      </c>
      <c r="Z109" s="48"/>
      <c r="AA109" s="48"/>
      <c r="AB109" s="48"/>
      <c r="AC109" s="148">
        <f>+'CARGA DE DATOS'!AF110</f>
        <v>7</v>
      </c>
    </row>
    <row r="110" spans="1:29" x14ac:dyDescent="0.25">
      <c r="A110" s="148">
        <f>+'CARGA DE DATOS'!A111</f>
        <v>109</v>
      </c>
      <c r="B110" s="48" t="str">
        <f>+IF(RESULTADOS!H110="","",RESULTADOS!H110)</f>
        <v/>
      </c>
      <c r="C110" s="48" t="str">
        <f>+IF(RESULTADOS!D110="","",RESULTADOS!D110)</f>
        <v/>
      </c>
      <c r="D110" s="160" t="str">
        <f>+IF('CARGA DE DATOS'!K111="Cooperativa","COOP",IF(Salida!AT111="true","PROSU","GD"))</f>
        <v>GD</v>
      </c>
      <c r="E110" s="160" t="s">
        <v>9147</v>
      </c>
      <c r="F110" s="160" t="str">
        <f>+IF(OR(D110="COOP",'CARGA DE DATOS'!K111="GUMA"),"15.02.2022",IF('CARGA DE DATOS'!K111="GUME","05.02.2022","10.02.2022"))</f>
        <v>10.02.2022</v>
      </c>
      <c r="G110" s="163">
        <f>+IF(VLOOKUP(G$1,Lecturas!$N$1:$AA$20,$AC110,FALSE)=0,"",VLOOKUP(G$1,Lecturas!$N$1:$AA$20,$AC110,FALSE))</f>
        <v>150</v>
      </c>
      <c r="H110" s="163">
        <f>+IF(VLOOKUP(H$1,Lecturas!$N$1:$AA$20,$AC110,FALSE)=0,"",VLOOKUP(H$1,Lecturas!$N$1:$AA$20,$AC110,FALSE))</f>
        <v>150</v>
      </c>
      <c r="I110" s="163">
        <f>+IF(VLOOKUP(I$1,Lecturas!$N$1:$AA$20,$AC110,FALSE)=0,"",VLOOKUP(I$1,Lecturas!$N$1:$AA$20,$AC110,FALSE))</f>
        <v>150</v>
      </c>
      <c r="J110" s="156" t="str">
        <f>+IF(VLOOKUP(J$1,Lecturas!$N$1:$AA$20,$AC110,FALSE)=0,"",VLOOKUP(J$1,Lecturas!$N$1:$AA$20,$AC110,FALSE))</f>
        <v/>
      </c>
      <c r="K110" s="156" t="str">
        <f>+IF(VLOOKUP(K$1,Lecturas!$N$1:$AA$20,$AC110,FALSE)=0,"",VLOOKUP(K$1,Lecturas!$N$1:$AA$20,$AC110,FALSE))</f>
        <v/>
      </c>
      <c r="L110" s="156" t="str">
        <f>+IF(VLOOKUP(L$1,Lecturas!$N$1:$AA$20,$AC110,FALSE)=0,"",VLOOKUP(L$1,Lecturas!$N$1:$AA$20,$AC110,FALSE))</f>
        <v/>
      </c>
      <c r="M110" s="163">
        <f>+IF(VLOOKUP(M$1,Lecturas!$N$1:$AA$20,$AC110,FALSE)=0,"",VLOOKUP(M$1,Lecturas!$N$1:$AA$20,$AC110,FALSE))</f>
        <v>2500</v>
      </c>
      <c r="N110" s="163">
        <f>+IF(VLOOKUP(N$1,Lecturas!$N$1:$AA$20,$AC110,FALSE)=0,"",VLOOKUP(N$1,Lecturas!$N$1:$AA$20,$AC110,FALSE))</f>
        <v>2000</v>
      </c>
      <c r="O110" s="163">
        <f>+IF(VLOOKUP(O$1,Lecturas!$N$1:$AA$20,$AC110,FALSE)=0,"",VLOOKUP(O$1,Lecturas!$N$1:$AA$20,$AC110,FALSE))</f>
        <v>3000</v>
      </c>
      <c r="P110" s="156" t="str">
        <f>+IF(VLOOKUP(P$1,Lecturas!$N$1:$AA$20,$AC110,FALSE)=0,"",VLOOKUP(P$1,Lecturas!$N$1:$AA$20,$AC110,FALSE))</f>
        <v/>
      </c>
      <c r="Q110" s="156" t="str">
        <f>+IF(VLOOKUP(Q$1,Lecturas!$N$1:$AA$20,$AC110,FALSE)=0,"",VLOOKUP(Q$1,Lecturas!$N$1:$AA$20,$AC110,FALSE))</f>
        <v/>
      </c>
      <c r="R110" s="156" t="str">
        <f>+IF(VLOOKUP(R$1,Lecturas!$N$1:$AA$20,$AC110,FALSE)=0,"",VLOOKUP(R$1,Lecturas!$N$1:$AA$20,$AC110,FALSE))</f>
        <v/>
      </c>
      <c r="S110" s="163" t="str">
        <f>+IF(VLOOKUP(S$1,Lecturas!$N$1:$AA$20,$AC110,FALSE)=0,"",VLOOKUP(S$1,Lecturas!$N$1:$AA$20,$AC110,FALSE))</f>
        <v/>
      </c>
      <c r="T110" s="163" t="str">
        <f>+IF(VLOOKUP(T$1,Lecturas!$N$1:$AA$20,$AC110,FALSE)=0,"",VLOOKUP(T$1,Lecturas!$N$1:$AA$20,$AC110,FALSE))</f>
        <v/>
      </c>
      <c r="U110" s="163" t="str">
        <f>+IF(VLOOKUP(U$1,Lecturas!$N$1:$AA$20,$AC110,FALSE)=0,"",VLOOKUP(U$1,Lecturas!$N$1:$AA$20,$AC110,FALSE))</f>
        <v/>
      </c>
      <c r="V110" s="156" t="str">
        <f>+IF(VLOOKUP(V$1,Lecturas!$N$1:$AA$20,$AC110,FALSE)=0,"",VLOOKUP(V$1,Lecturas!$N$1:$AA$20,$AC110,FALSE))</f>
        <v/>
      </c>
      <c r="W110" s="156" t="str">
        <f>+IF(VLOOKUP(W$1,Lecturas!$N$1:$AA$20,$AC110,FALSE)=0,"",VLOOKUP(W$1,Lecturas!$N$1:$AA$20,$AC110,FALSE))</f>
        <v/>
      </c>
      <c r="X110" s="156" t="str">
        <f>+IF(VLOOKUP(X$1,Lecturas!$N$1:$AA$20,$AC110,FALSE)=0,"",VLOOKUP(X$1,Lecturas!$N$1:$AA$20,$AC110,FALSE))</f>
        <v/>
      </c>
      <c r="Y110" s="163">
        <f>+IF(VLOOKUP(Y$1,Lecturas!$N$1:$AA$20,$AC110,FALSE)=0,"",VLOOKUP(Y$1,Lecturas!$N$1:$AA$20,$AC110,FALSE))</f>
        <v>15000</v>
      </c>
      <c r="Z110" s="48"/>
      <c r="AA110" s="48"/>
      <c r="AB110" s="48"/>
      <c r="AC110" s="148">
        <f>+'CARGA DE DATOS'!AF111</f>
        <v>4</v>
      </c>
    </row>
    <row r="111" spans="1:29" x14ac:dyDescent="0.25">
      <c r="A111" s="148">
        <f>+'CARGA DE DATOS'!A112</f>
        <v>110</v>
      </c>
      <c r="B111" s="48" t="str">
        <f>+IF(RESULTADOS!H111="","",RESULTADOS!H111)</f>
        <v/>
      </c>
      <c r="C111" s="48" t="str">
        <f>+IF(RESULTADOS!D111="","",RESULTADOS!D111)</f>
        <v/>
      </c>
      <c r="D111" s="160" t="str">
        <f>+IF('CARGA DE DATOS'!K112="Cooperativa","COOP",IF(Salida!AT112="true","PROSU","GD"))</f>
        <v>GD</v>
      </c>
      <c r="E111" s="160" t="s">
        <v>9147</v>
      </c>
      <c r="F111" s="160" t="str">
        <f>+IF(OR(D111="COOP",'CARGA DE DATOS'!K112="GUMA"),"15.02.2022",IF('CARGA DE DATOS'!K112="GUME","05.02.2022","10.02.2022"))</f>
        <v>10.02.2022</v>
      </c>
      <c r="G111" s="163">
        <f>+IF(VLOOKUP(G$1,Lecturas!$N$1:$AA$20,$AC111,FALSE)=0,"",VLOOKUP(G$1,Lecturas!$N$1:$AA$20,$AC111,FALSE))</f>
        <v>150</v>
      </c>
      <c r="H111" s="163">
        <f>+IF(VLOOKUP(H$1,Lecturas!$N$1:$AA$20,$AC111,FALSE)=0,"",VLOOKUP(H$1,Lecturas!$N$1:$AA$20,$AC111,FALSE))</f>
        <v>300</v>
      </c>
      <c r="I111" s="163">
        <f>+IF(VLOOKUP(I$1,Lecturas!$N$1:$AA$20,$AC111,FALSE)=0,"",VLOOKUP(I$1,Lecturas!$N$1:$AA$20,$AC111,FALSE))</f>
        <v>350</v>
      </c>
      <c r="J111" s="156" t="str">
        <f>+IF(VLOOKUP(J$1,Lecturas!$N$1:$AA$20,$AC111,FALSE)=0,"",VLOOKUP(J$1,Lecturas!$N$1:$AA$20,$AC111,FALSE))</f>
        <v/>
      </c>
      <c r="K111" s="156" t="str">
        <f>+IF(VLOOKUP(K$1,Lecturas!$N$1:$AA$20,$AC111,FALSE)=0,"",VLOOKUP(K$1,Lecturas!$N$1:$AA$20,$AC111,FALSE))</f>
        <v/>
      </c>
      <c r="L111" s="156" t="str">
        <f>+IF(VLOOKUP(L$1,Lecturas!$N$1:$AA$20,$AC111,FALSE)=0,"",VLOOKUP(L$1,Lecturas!$N$1:$AA$20,$AC111,FALSE))</f>
        <v/>
      </c>
      <c r="M111" s="163">
        <f>+IF(VLOOKUP(M$1,Lecturas!$N$1:$AA$20,$AC111,FALSE)=0,"",VLOOKUP(M$1,Lecturas!$N$1:$AA$20,$AC111,FALSE))</f>
        <v>2500</v>
      </c>
      <c r="N111" s="163">
        <f>+IF(VLOOKUP(N$1,Lecturas!$N$1:$AA$20,$AC111,FALSE)=0,"",VLOOKUP(N$1,Lecturas!$N$1:$AA$20,$AC111,FALSE))</f>
        <v>2000</v>
      </c>
      <c r="O111" s="163">
        <f>+IF(VLOOKUP(O$1,Lecturas!$N$1:$AA$20,$AC111,FALSE)=0,"",VLOOKUP(O$1,Lecturas!$N$1:$AA$20,$AC111,FALSE))</f>
        <v>3000</v>
      </c>
      <c r="P111" s="156" t="str">
        <f>+IF(VLOOKUP(P$1,Lecturas!$N$1:$AA$20,$AC111,FALSE)=0,"",VLOOKUP(P$1,Lecturas!$N$1:$AA$20,$AC111,FALSE))</f>
        <v/>
      </c>
      <c r="Q111" s="156" t="str">
        <f>+IF(VLOOKUP(Q$1,Lecturas!$N$1:$AA$20,$AC111,FALSE)=0,"",VLOOKUP(Q$1,Lecturas!$N$1:$AA$20,$AC111,FALSE))</f>
        <v/>
      </c>
      <c r="R111" s="156" t="str">
        <f>+IF(VLOOKUP(R$1,Lecturas!$N$1:$AA$20,$AC111,FALSE)=0,"",VLOOKUP(R$1,Lecturas!$N$1:$AA$20,$AC111,FALSE))</f>
        <v/>
      </c>
      <c r="S111" s="163" t="str">
        <f>+IF(VLOOKUP(S$1,Lecturas!$N$1:$AA$20,$AC111,FALSE)=0,"",VLOOKUP(S$1,Lecturas!$N$1:$AA$20,$AC111,FALSE))</f>
        <v/>
      </c>
      <c r="T111" s="163" t="str">
        <f>+IF(VLOOKUP(T$1,Lecturas!$N$1:$AA$20,$AC111,FALSE)=0,"",VLOOKUP(T$1,Lecturas!$N$1:$AA$20,$AC111,FALSE))</f>
        <v/>
      </c>
      <c r="U111" s="163" t="str">
        <f>+IF(VLOOKUP(U$1,Lecturas!$N$1:$AA$20,$AC111,FALSE)=0,"",VLOOKUP(U$1,Lecturas!$N$1:$AA$20,$AC111,FALSE))</f>
        <v/>
      </c>
      <c r="V111" s="156" t="str">
        <f>+IF(VLOOKUP(V$1,Lecturas!$N$1:$AA$20,$AC111,FALSE)=0,"",VLOOKUP(V$1,Lecturas!$N$1:$AA$20,$AC111,FALSE))</f>
        <v/>
      </c>
      <c r="W111" s="156" t="str">
        <f>+IF(VLOOKUP(W$1,Lecturas!$N$1:$AA$20,$AC111,FALSE)=0,"",VLOOKUP(W$1,Lecturas!$N$1:$AA$20,$AC111,FALSE))</f>
        <v/>
      </c>
      <c r="X111" s="156" t="str">
        <f>+IF(VLOOKUP(X$1,Lecturas!$N$1:$AA$20,$AC111,FALSE)=0,"",VLOOKUP(X$1,Lecturas!$N$1:$AA$20,$AC111,FALSE))</f>
        <v/>
      </c>
      <c r="Y111" s="163">
        <f>+IF(VLOOKUP(Y$1,Lecturas!$N$1:$AA$20,$AC111,FALSE)=0,"",VLOOKUP(Y$1,Lecturas!$N$1:$AA$20,$AC111,FALSE))</f>
        <v>2460</v>
      </c>
      <c r="Z111" s="48"/>
      <c r="AA111" s="48"/>
      <c r="AB111" s="48"/>
      <c r="AC111" s="148">
        <f>+'CARGA DE DATOS'!AF112</f>
        <v>5</v>
      </c>
    </row>
    <row r="112" spans="1:29" x14ac:dyDescent="0.25">
      <c r="A112" s="148">
        <f>+'CARGA DE DATOS'!A113</f>
        <v>111</v>
      </c>
      <c r="B112" s="48" t="str">
        <f>+IF(RESULTADOS!H112="","",RESULTADOS!H112)</f>
        <v/>
      </c>
      <c r="C112" s="48" t="str">
        <f>+IF(RESULTADOS!D112="","",RESULTADOS!D112)</f>
        <v/>
      </c>
      <c r="D112" s="160" t="str">
        <f>+IF('CARGA DE DATOS'!K113="Cooperativa","COOP",IF(Salida!AT113="true","PROSU","GD"))</f>
        <v>GD</v>
      </c>
      <c r="E112" s="160" t="s">
        <v>9147</v>
      </c>
      <c r="F112" s="160" t="str">
        <f>+IF(OR(D112="COOP",'CARGA DE DATOS'!K113="GUMA"),"15.02.2022",IF('CARGA DE DATOS'!K113="GUME","05.02.2022","10.02.2022"))</f>
        <v>10.02.2022</v>
      </c>
      <c r="G112" s="163">
        <f>+IF(VLOOKUP(G$1,Lecturas!$N$1:$AA$20,$AC112,FALSE)=0,"",VLOOKUP(G$1,Lecturas!$N$1:$AA$20,$AC112,FALSE))</f>
        <v>150</v>
      </c>
      <c r="H112" s="163">
        <f>+IF(VLOOKUP(H$1,Lecturas!$N$1:$AA$20,$AC112,FALSE)=0,"",VLOOKUP(H$1,Lecturas!$N$1:$AA$20,$AC112,FALSE))</f>
        <v>300</v>
      </c>
      <c r="I112" s="163">
        <f>+IF(VLOOKUP(I$1,Lecturas!$N$1:$AA$20,$AC112,FALSE)=0,"",VLOOKUP(I$1,Lecturas!$N$1:$AA$20,$AC112,FALSE))</f>
        <v>350</v>
      </c>
      <c r="J112" s="156" t="str">
        <f>+IF(VLOOKUP(J$1,Lecturas!$N$1:$AA$20,$AC112,FALSE)=0,"",VLOOKUP(J$1,Lecturas!$N$1:$AA$20,$AC112,FALSE))</f>
        <v/>
      </c>
      <c r="K112" s="156" t="str">
        <f>+IF(VLOOKUP(K$1,Lecturas!$N$1:$AA$20,$AC112,FALSE)=0,"",VLOOKUP(K$1,Lecturas!$N$1:$AA$20,$AC112,FALSE))</f>
        <v/>
      </c>
      <c r="L112" s="156" t="str">
        <f>+IF(VLOOKUP(L$1,Lecturas!$N$1:$AA$20,$AC112,FALSE)=0,"",VLOOKUP(L$1,Lecturas!$N$1:$AA$20,$AC112,FALSE))</f>
        <v/>
      </c>
      <c r="M112" s="163">
        <f>+IF(VLOOKUP(M$1,Lecturas!$N$1:$AA$20,$AC112,FALSE)=0,"",VLOOKUP(M$1,Lecturas!$N$1:$AA$20,$AC112,FALSE))</f>
        <v>2500</v>
      </c>
      <c r="N112" s="163">
        <f>+IF(VLOOKUP(N$1,Lecturas!$N$1:$AA$20,$AC112,FALSE)=0,"",VLOOKUP(N$1,Lecturas!$N$1:$AA$20,$AC112,FALSE))</f>
        <v>2000</v>
      </c>
      <c r="O112" s="163">
        <f>+IF(VLOOKUP(O$1,Lecturas!$N$1:$AA$20,$AC112,FALSE)=0,"",VLOOKUP(O$1,Lecturas!$N$1:$AA$20,$AC112,FALSE))</f>
        <v>3000</v>
      </c>
      <c r="P112" s="156" t="str">
        <f>+IF(VLOOKUP(P$1,Lecturas!$N$1:$AA$20,$AC112,FALSE)=0,"",VLOOKUP(P$1,Lecturas!$N$1:$AA$20,$AC112,FALSE))</f>
        <v/>
      </c>
      <c r="Q112" s="156" t="str">
        <f>+IF(VLOOKUP(Q$1,Lecturas!$N$1:$AA$20,$AC112,FALSE)=0,"",VLOOKUP(Q$1,Lecturas!$N$1:$AA$20,$AC112,FALSE))</f>
        <v/>
      </c>
      <c r="R112" s="156" t="str">
        <f>+IF(VLOOKUP(R$1,Lecturas!$N$1:$AA$20,$AC112,FALSE)=0,"",VLOOKUP(R$1,Lecturas!$N$1:$AA$20,$AC112,FALSE))</f>
        <v/>
      </c>
      <c r="S112" s="163" t="str">
        <f>+IF(VLOOKUP(S$1,Lecturas!$N$1:$AA$20,$AC112,FALSE)=0,"",VLOOKUP(S$1,Lecturas!$N$1:$AA$20,$AC112,FALSE))</f>
        <v/>
      </c>
      <c r="T112" s="163" t="str">
        <f>+IF(VLOOKUP(T$1,Lecturas!$N$1:$AA$20,$AC112,FALSE)=0,"",VLOOKUP(T$1,Lecturas!$N$1:$AA$20,$AC112,FALSE))</f>
        <v/>
      </c>
      <c r="U112" s="163" t="str">
        <f>+IF(VLOOKUP(U$1,Lecturas!$N$1:$AA$20,$AC112,FALSE)=0,"",VLOOKUP(U$1,Lecturas!$N$1:$AA$20,$AC112,FALSE))</f>
        <v/>
      </c>
      <c r="V112" s="156" t="str">
        <f>+IF(VLOOKUP(V$1,Lecturas!$N$1:$AA$20,$AC112,FALSE)=0,"",VLOOKUP(V$1,Lecturas!$N$1:$AA$20,$AC112,FALSE))</f>
        <v/>
      </c>
      <c r="W112" s="156" t="str">
        <f>+IF(VLOOKUP(W$1,Lecturas!$N$1:$AA$20,$AC112,FALSE)=0,"",VLOOKUP(W$1,Lecturas!$N$1:$AA$20,$AC112,FALSE))</f>
        <v/>
      </c>
      <c r="X112" s="156" t="str">
        <f>+IF(VLOOKUP(X$1,Lecturas!$N$1:$AA$20,$AC112,FALSE)=0,"",VLOOKUP(X$1,Lecturas!$N$1:$AA$20,$AC112,FALSE))</f>
        <v/>
      </c>
      <c r="Y112" s="163">
        <f>+IF(VLOOKUP(Y$1,Lecturas!$N$1:$AA$20,$AC112,FALSE)=0,"",VLOOKUP(Y$1,Lecturas!$N$1:$AA$20,$AC112,FALSE))</f>
        <v>2460</v>
      </c>
      <c r="Z112" s="48"/>
      <c r="AA112" s="48"/>
      <c r="AB112" s="48"/>
      <c r="AC112" s="148">
        <f>+'CARGA DE DATOS'!AF113</f>
        <v>5</v>
      </c>
    </row>
    <row r="113" spans="1:29" x14ac:dyDescent="0.25">
      <c r="A113" s="148">
        <f>+'CARGA DE DATOS'!A114</f>
        <v>112</v>
      </c>
      <c r="B113" s="48" t="str">
        <f>+IF(RESULTADOS!H113="","",RESULTADOS!H113)</f>
        <v/>
      </c>
      <c r="C113" s="48" t="str">
        <f>+IF(RESULTADOS!D113="","",RESULTADOS!D113)</f>
        <v/>
      </c>
      <c r="D113" s="160" t="str">
        <f>+IF('CARGA DE DATOS'!K114="Cooperativa","COOP",IF(Salida!AT114="true","PROSU","GD"))</f>
        <v>GD</v>
      </c>
      <c r="E113" s="160" t="s">
        <v>9147</v>
      </c>
      <c r="F113" s="160" t="str">
        <f>+IF(OR(D113="COOP",'CARGA DE DATOS'!K114="GUMA"),"15.02.2022",IF('CARGA DE DATOS'!K114="GUME","05.02.2022","10.02.2022"))</f>
        <v>10.02.2022</v>
      </c>
      <c r="G113" s="163">
        <f>+IF(VLOOKUP(G$1,Lecturas!$N$1:$AA$20,$AC113,FALSE)=0,"",VLOOKUP(G$1,Lecturas!$N$1:$AA$20,$AC113,FALSE))</f>
        <v>1000</v>
      </c>
      <c r="H113" s="163">
        <f>+IF(VLOOKUP(H$1,Lecturas!$N$1:$AA$20,$AC113,FALSE)=0,"",VLOOKUP(H$1,Lecturas!$N$1:$AA$20,$AC113,FALSE))</f>
        <v>150</v>
      </c>
      <c r="I113" s="163">
        <f>+IF(VLOOKUP(I$1,Lecturas!$N$1:$AA$20,$AC113,FALSE)=0,"",VLOOKUP(I$1,Lecturas!$N$1:$AA$20,$AC113,FALSE))</f>
        <v>350</v>
      </c>
      <c r="J113" s="156" t="str">
        <f>+IF(VLOOKUP(J$1,Lecturas!$N$1:$AA$20,$AC113,FALSE)=0,"",VLOOKUP(J$1,Lecturas!$N$1:$AA$20,$AC113,FALSE))</f>
        <v/>
      </c>
      <c r="K113" s="156" t="str">
        <f>+IF(VLOOKUP(K$1,Lecturas!$N$1:$AA$20,$AC113,FALSE)=0,"",VLOOKUP(K$1,Lecturas!$N$1:$AA$20,$AC113,FALSE))</f>
        <v/>
      </c>
      <c r="L113" s="156" t="str">
        <f>+IF(VLOOKUP(L$1,Lecturas!$N$1:$AA$20,$AC113,FALSE)=0,"",VLOOKUP(L$1,Lecturas!$N$1:$AA$20,$AC113,FALSE))</f>
        <v/>
      </c>
      <c r="M113" s="163">
        <f>+IF(VLOOKUP(M$1,Lecturas!$N$1:$AA$20,$AC113,FALSE)=0,"",VLOOKUP(M$1,Lecturas!$N$1:$AA$20,$AC113,FALSE))</f>
        <v>2500</v>
      </c>
      <c r="N113" s="163">
        <f>+IF(VLOOKUP(N$1,Lecturas!$N$1:$AA$20,$AC113,FALSE)=0,"",VLOOKUP(N$1,Lecturas!$N$1:$AA$20,$AC113,FALSE))</f>
        <v>2000</v>
      </c>
      <c r="O113" s="163">
        <f>+IF(VLOOKUP(O$1,Lecturas!$N$1:$AA$20,$AC113,FALSE)=0,"",VLOOKUP(O$1,Lecturas!$N$1:$AA$20,$AC113,FALSE))</f>
        <v>3000</v>
      </c>
      <c r="P113" s="156" t="str">
        <f>+IF(VLOOKUP(P$1,Lecturas!$N$1:$AA$20,$AC113,FALSE)=0,"",VLOOKUP(P$1,Lecturas!$N$1:$AA$20,$AC113,FALSE))</f>
        <v/>
      </c>
      <c r="Q113" s="156" t="str">
        <f>+IF(VLOOKUP(Q$1,Lecturas!$N$1:$AA$20,$AC113,FALSE)=0,"",VLOOKUP(Q$1,Lecturas!$N$1:$AA$20,$AC113,FALSE))</f>
        <v/>
      </c>
      <c r="R113" s="156" t="str">
        <f>+IF(VLOOKUP(R$1,Lecturas!$N$1:$AA$20,$AC113,FALSE)=0,"",VLOOKUP(R$1,Lecturas!$N$1:$AA$20,$AC113,FALSE))</f>
        <v/>
      </c>
      <c r="S113" s="163" t="str">
        <f>+IF(VLOOKUP(S$1,Lecturas!$N$1:$AA$20,$AC113,FALSE)=0,"",VLOOKUP(S$1,Lecturas!$N$1:$AA$20,$AC113,FALSE))</f>
        <v/>
      </c>
      <c r="T113" s="163" t="str">
        <f>+IF(VLOOKUP(T$1,Lecturas!$N$1:$AA$20,$AC113,FALSE)=0,"",VLOOKUP(T$1,Lecturas!$N$1:$AA$20,$AC113,FALSE))</f>
        <v/>
      </c>
      <c r="U113" s="163" t="str">
        <f>+IF(VLOOKUP(U$1,Lecturas!$N$1:$AA$20,$AC113,FALSE)=0,"",VLOOKUP(U$1,Lecturas!$N$1:$AA$20,$AC113,FALSE))</f>
        <v/>
      </c>
      <c r="V113" s="156" t="str">
        <f>+IF(VLOOKUP(V$1,Lecturas!$N$1:$AA$20,$AC113,FALSE)=0,"",VLOOKUP(V$1,Lecturas!$N$1:$AA$20,$AC113,FALSE))</f>
        <v/>
      </c>
      <c r="W113" s="156" t="str">
        <f>+IF(VLOOKUP(W$1,Lecturas!$N$1:$AA$20,$AC113,FALSE)=0,"",VLOOKUP(W$1,Lecturas!$N$1:$AA$20,$AC113,FALSE))</f>
        <v/>
      </c>
      <c r="X113" s="156" t="str">
        <f>+IF(VLOOKUP(X$1,Lecturas!$N$1:$AA$20,$AC113,FALSE)=0,"",VLOOKUP(X$1,Lecturas!$N$1:$AA$20,$AC113,FALSE))</f>
        <v/>
      </c>
      <c r="Y113" s="163">
        <f>+IF(VLOOKUP(Y$1,Lecturas!$N$1:$AA$20,$AC113,FALSE)=0,"",VLOOKUP(Y$1,Lecturas!$N$1:$AA$20,$AC113,FALSE))</f>
        <v>7500</v>
      </c>
      <c r="Z113" s="48"/>
      <c r="AA113" s="48"/>
      <c r="AB113" s="48"/>
      <c r="AC113" s="148">
        <f>+'CARGA DE DATOS'!AF114</f>
        <v>6</v>
      </c>
    </row>
    <row r="114" spans="1:29" x14ac:dyDescent="0.25">
      <c r="A114" s="148">
        <f>+'CARGA DE DATOS'!A115</f>
        <v>113</v>
      </c>
      <c r="B114" s="48" t="str">
        <f>+IF(RESULTADOS!H114="","",RESULTADOS!H114)</f>
        <v/>
      </c>
      <c r="C114" s="48" t="str">
        <f>+IF(RESULTADOS!D114="","",RESULTADOS!D114)</f>
        <v/>
      </c>
      <c r="D114" s="160" t="str">
        <f>+IF('CARGA DE DATOS'!K115="Cooperativa","COOP",IF(Salida!AT115="true","PROSU","GD"))</f>
        <v>GD</v>
      </c>
      <c r="E114" s="160" t="s">
        <v>9147</v>
      </c>
      <c r="F114" s="160" t="str">
        <f>+IF(OR(D114="COOP",'CARGA DE DATOS'!K115="GUMA"),"15.02.2022",IF('CARGA DE DATOS'!K115="GUME","05.02.2022","10.02.2022"))</f>
        <v>10.02.2022</v>
      </c>
      <c r="G114" s="163">
        <f>+IF(VLOOKUP(G$1,Lecturas!$N$1:$AA$20,$AC114,FALSE)=0,"",VLOOKUP(G$1,Lecturas!$N$1:$AA$20,$AC114,FALSE))</f>
        <v>1500</v>
      </c>
      <c r="H114" s="163">
        <f>+IF(VLOOKUP(H$1,Lecturas!$N$1:$AA$20,$AC114,FALSE)=0,"",VLOOKUP(H$1,Lecturas!$N$1:$AA$20,$AC114,FALSE))</f>
        <v>1550</v>
      </c>
      <c r="I114" s="163">
        <f>+IF(VLOOKUP(I$1,Lecturas!$N$1:$AA$20,$AC114,FALSE)=0,"",VLOOKUP(I$1,Lecturas!$N$1:$AA$20,$AC114,FALSE))</f>
        <v>1550</v>
      </c>
      <c r="J114" s="156" t="str">
        <f>+IF(VLOOKUP(J$1,Lecturas!$N$1:$AA$20,$AC114,FALSE)=0,"",VLOOKUP(J$1,Lecturas!$N$1:$AA$20,$AC114,FALSE))</f>
        <v/>
      </c>
      <c r="K114" s="156" t="str">
        <f>+IF(VLOOKUP(K$1,Lecturas!$N$1:$AA$20,$AC114,FALSE)=0,"",VLOOKUP(K$1,Lecturas!$N$1:$AA$20,$AC114,FALSE))</f>
        <v/>
      </c>
      <c r="L114" s="156" t="str">
        <f>+IF(VLOOKUP(L$1,Lecturas!$N$1:$AA$20,$AC114,FALSE)=0,"",VLOOKUP(L$1,Lecturas!$N$1:$AA$20,$AC114,FALSE))</f>
        <v/>
      </c>
      <c r="M114" s="163">
        <f>+IF(VLOOKUP(M$1,Lecturas!$N$1:$AA$20,$AC114,FALSE)=0,"",VLOOKUP(M$1,Lecturas!$N$1:$AA$20,$AC114,FALSE))</f>
        <v>2500</v>
      </c>
      <c r="N114" s="163">
        <f>+IF(VLOOKUP(N$1,Lecturas!$N$1:$AA$20,$AC114,FALSE)=0,"",VLOOKUP(N$1,Lecturas!$N$1:$AA$20,$AC114,FALSE))</f>
        <v>2000</v>
      </c>
      <c r="O114" s="163">
        <f>+IF(VLOOKUP(O$1,Lecturas!$N$1:$AA$20,$AC114,FALSE)=0,"",VLOOKUP(O$1,Lecturas!$N$1:$AA$20,$AC114,FALSE))</f>
        <v>3000</v>
      </c>
      <c r="P114" s="156" t="str">
        <f>+IF(VLOOKUP(P$1,Lecturas!$N$1:$AA$20,$AC114,FALSE)=0,"",VLOOKUP(P$1,Lecturas!$N$1:$AA$20,$AC114,FALSE))</f>
        <v/>
      </c>
      <c r="Q114" s="156" t="str">
        <f>+IF(VLOOKUP(Q$1,Lecturas!$N$1:$AA$20,$AC114,FALSE)=0,"",VLOOKUP(Q$1,Lecturas!$N$1:$AA$20,$AC114,FALSE))</f>
        <v/>
      </c>
      <c r="R114" s="156" t="str">
        <f>+IF(VLOOKUP(R$1,Lecturas!$N$1:$AA$20,$AC114,FALSE)=0,"",VLOOKUP(R$1,Lecturas!$N$1:$AA$20,$AC114,FALSE))</f>
        <v/>
      </c>
      <c r="S114" s="163" t="str">
        <f>+IF(VLOOKUP(S$1,Lecturas!$N$1:$AA$20,$AC114,FALSE)=0,"",VLOOKUP(S$1,Lecturas!$N$1:$AA$20,$AC114,FALSE))</f>
        <v/>
      </c>
      <c r="T114" s="163" t="str">
        <f>+IF(VLOOKUP(T$1,Lecturas!$N$1:$AA$20,$AC114,FALSE)=0,"",VLOOKUP(T$1,Lecturas!$N$1:$AA$20,$AC114,FALSE))</f>
        <v/>
      </c>
      <c r="U114" s="163" t="str">
        <f>+IF(VLOOKUP(U$1,Lecturas!$N$1:$AA$20,$AC114,FALSE)=0,"",VLOOKUP(U$1,Lecturas!$N$1:$AA$20,$AC114,FALSE))</f>
        <v/>
      </c>
      <c r="V114" s="156" t="str">
        <f>+IF(VLOOKUP(V$1,Lecturas!$N$1:$AA$20,$AC114,FALSE)=0,"",VLOOKUP(V$1,Lecturas!$N$1:$AA$20,$AC114,FALSE))</f>
        <v/>
      </c>
      <c r="W114" s="156" t="str">
        <f>+IF(VLOOKUP(W$1,Lecturas!$N$1:$AA$20,$AC114,FALSE)=0,"",VLOOKUP(W$1,Lecturas!$N$1:$AA$20,$AC114,FALSE))</f>
        <v/>
      </c>
      <c r="X114" s="156" t="str">
        <f>+IF(VLOOKUP(X$1,Lecturas!$N$1:$AA$20,$AC114,FALSE)=0,"",VLOOKUP(X$1,Lecturas!$N$1:$AA$20,$AC114,FALSE))</f>
        <v/>
      </c>
      <c r="Y114" s="163">
        <f>+IF(VLOOKUP(Y$1,Lecturas!$N$1:$AA$20,$AC114,FALSE)=0,"",VLOOKUP(Y$1,Lecturas!$N$1:$AA$20,$AC114,FALSE))</f>
        <v>7500</v>
      </c>
      <c r="Z114" s="48"/>
      <c r="AA114" s="48"/>
      <c r="AB114" s="48"/>
      <c r="AC114" s="148">
        <f>+'CARGA DE DATOS'!AF115</f>
        <v>7</v>
      </c>
    </row>
    <row r="115" spans="1:29" x14ac:dyDescent="0.25">
      <c r="A115" s="148">
        <f>+'CARGA DE DATOS'!A116</f>
        <v>114</v>
      </c>
      <c r="B115" s="48" t="str">
        <f>+IF(RESULTADOS!H115="","",RESULTADOS!H115)</f>
        <v/>
      </c>
      <c r="C115" s="48" t="str">
        <f>+IF(RESULTADOS!D115="","",RESULTADOS!D115)</f>
        <v/>
      </c>
      <c r="D115" s="160" t="str">
        <f>+IF('CARGA DE DATOS'!K116="Cooperativa","COOP",IF(Salida!AT116="true","PROSU","GD"))</f>
        <v>GD</v>
      </c>
      <c r="E115" s="160" t="s">
        <v>9147</v>
      </c>
      <c r="F115" s="160" t="str">
        <f>+IF(OR(D115="COOP",'CARGA DE DATOS'!K116="GUMA"),"15.02.2022",IF('CARGA DE DATOS'!K116="GUME","05.02.2022","10.02.2022"))</f>
        <v>10.02.2022</v>
      </c>
      <c r="G115" s="163">
        <f>+IF(VLOOKUP(G$1,Lecturas!$N$1:$AA$20,$AC115,FALSE)=0,"",VLOOKUP(G$1,Lecturas!$N$1:$AA$20,$AC115,FALSE))</f>
        <v>1000</v>
      </c>
      <c r="H115" s="163">
        <f>+IF(VLOOKUP(H$1,Lecturas!$N$1:$AA$20,$AC115,FALSE)=0,"",VLOOKUP(H$1,Lecturas!$N$1:$AA$20,$AC115,FALSE))</f>
        <v>150</v>
      </c>
      <c r="I115" s="163">
        <f>+IF(VLOOKUP(I$1,Lecturas!$N$1:$AA$20,$AC115,FALSE)=0,"",VLOOKUP(I$1,Lecturas!$N$1:$AA$20,$AC115,FALSE))</f>
        <v>350</v>
      </c>
      <c r="J115" s="156" t="str">
        <f>+IF(VLOOKUP(J$1,Lecturas!$N$1:$AA$20,$AC115,FALSE)=0,"",VLOOKUP(J$1,Lecturas!$N$1:$AA$20,$AC115,FALSE))</f>
        <v/>
      </c>
      <c r="K115" s="156" t="str">
        <f>+IF(VLOOKUP(K$1,Lecturas!$N$1:$AA$20,$AC115,FALSE)=0,"",VLOOKUP(K$1,Lecturas!$N$1:$AA$20,$AC115,FALSE))</f>
        <v/>
      </c>
      <c r="L115" s="156" t="str">
        <f>+IF(VLOOKUP(L$1,Lecturas!$N$1:$AA$20,$AC115,FALSE)=0,"",VLOOKUP(L$1,Lecturas!$N$1:$AA$20,$AC115,FALSE))</f>
        <v/>
      </c>
      <c r="M115" s="163">
        <f>+IF(VLOOKUP(M$1,Lecturas!$N$1:$AA$20,$AC115,FALSE)=0,"",VLOOKUP(M$1,Lecturas!$N$1:$AA$20,$AC115,FALSE))</f>
        <v>2500</v>
      </c>
      <c r="N115" s="163">
        <f>+IF(VLOOKUP(N$1,Lecturas!$N$1:$AA$20,$AC115,FALSE)=0,"",VLOOKUP(N$1,Lecturas!$N$1:$AA$20,$AC115,FALSE))</f>
        <v>2000</v>
      </c>
      <c r="O115" s="163">
        <f>+IF(VLOOKUP(O$1,Lecturas!$N$1:$AA$20,$AC115,FALSE)=0,"",VLOOKUP(O$1,Lecturas!$N$1:$AA$20,$AC115,FALSE))</f>
        <v>3000</v>
      </c>
      <c r="P115" s="156" t="str">
        <f>+IF(VLOOKUP(P$1,Lecturas!$N$1:$AA$20,$AC115,FALSE)=0,"",VLOOKUP(P$1,Lecturas!$N$1:$AA$20,$AC115,FALSE))</f>
        <v/>
      </c>
      <c r="Q115" s="156" t="str">
        <f>+IF(VLOOKUP(Q$1,Lecturas!$N$1:$AA$20,$AC115,FALSE)=0,"",VLOOKUP(Q$1,Lecturas!$N$1:$AA$20,$AC115,FALSE))</f>
        <v/>
      </c>
      <c r="R115" s="156" t="str">
        <f>+IF(VLOOKUP(R$1,Lecturas!$N$1:$AA$20,$AC115,FALSE)=0,"",VLOOKUP(R$1,Lecturas!$N$1:$AA$20,$AC115,FALSE))</f>
        <v/>
      </c>
      <c r="S115" s="163" t="str">
        <f>+IF(VLOOKUP(S$1,Lecturas!$N$1:$AA$20,$AC115,FALSE)=0,"",VLOOKUP(S$1,Lecturas!$N$1:$AA$20,$AC115,FALSE))</f>
        <v/>
      </c>
      <c r="T115" s="163" t="str">
        <f>+IF(VLOOKUP(T$1,Lecturas!$N$1:$AA$20,$AC115,FALSE)=0,"",VLOOKUP(T$1,Lecturas!$N$1:$AA$20,$AC115,FALSE))</f>
        <v/>
      </c>
      <c r="U115" s="163" t="str">
        <f>+IF(VLOOKUP(U$1,Lecturas!$N$1:$AA$20,$AC115,FALSE)=0,"",VLOOKUP(U$1,Lecturas!$N$1:$AA$20,$AC115,FALSE))</f>
        <v/>
      </c>
      <c r="V115" s="156" t="str">
        <f>+IF(VLOOKUP(V$1,Lecturas!$N$1:$AA$20,$AC115,FALSE)=0,"",VLOOKUP(V$1,Lecturas!$N$1:$AA$20,$AC115,FALSE))</f>
        <v/>
      </c>
      <c r="W115" s="156" t="str">
        <f>+IF(VLOOKUP(W$1,Lecturas!$N$1:$AA$20,$AC115,FALSE)=0,"",VLOOKUP(W$1,Lecturas!$N$1:$AA$20,$AC115,FALSE))</f>
        <v/>
      </c>
      <c r="X115" s="156" t="str">
        <f>+IF(VLOOKUP(X$1,Lecturas!$N$1:$AA$20,$AC115,FALSE)=0,"",VLOOKUP(X$1,Lecturas!$N$1:$AA$20,$AC115,FALSE))</f>
        <v/>
      </c>
      <c r="Y115" s="163">
        <f>+IF(VLOOKUP(Y$1,Lecturas!$N$1:$AA$20,$AC115,FALSE)=0,"",VLOOKUP(Y$1,Lecturas!$N$1:$AA$20,$AC115,FALSE))</f>
        <v>7500</v>
      </c>
      <c r="Z115" s="48"/>
      <c r="AA115" s="48"/>
      <c r="AB115" s="48"/>
      <c r="AC115" s="148">
        <f>+'CARGA DE DATOS'!AF116</f>
        <v>6</v>
      </c>
    </row>
    <row r="116" spans="1:29" x14ac:dyDescent="0.25">
      <c r="A116" s="148">
        <f>+'CARGA DE DATOS'!A117</f>
        <v>115</v>
      </c>
      <c r="B116" s="48" t="str">
        <f>+IF(RESULTADOS!H116="","",RESULTADOS!H116)</f>
        <v/>
      </c>
      <c r="C116" s="48" t="str">
        <f>+IF(RESULTADOS!D116="","",RESULTADOS!D116)</f>
        <v/>
      </c>
      <c r="D116" s="160" t="str">
        <f>+IF('CARGA DE DATOS'!K117="Cooperativa","COOP",IF(Salida!AT117="true","PROSU","GD"))</f>
        <v>GD</v>
      </c>
      <c r="E116" s="160" t="s">
        <v>9147</v>
      </c>
      <c r="F116" s="160" t="str">
        <f>+IF(OR(D116="COOP",'CARGA DE DATOS'!K117="GUMA"),"15.02.2022",IF('CARGA DE DATOS'!K117="GUME","05.02.2022","10.02.2022"))</f>
        <v>15.02.2022</v>
      </c>
      <c r="G116" s="163">
        <f>+IF(VLOOKUP(G$1,Lecturas!$N$1:$AA$20,$AC116,FALSE)=0,"",VLOOKUP(G$1,Lecturas!$N$1:$AA$20,$AC116,FALSE))</f>
        <v>150</v>
      </c>
      <c r="H116" s="163">
        <f>+IF(VLOOKUP(H$1,Lecturas!$N$1:$AA$20,$AC116,FALSE)=0,"",VLOOKUP(H$1,Lecturas!$N$1:$AA$20,$AC116,FALSE))</f>
        <v>150</v>
      </c>
      <c r="I116" s="163">
        <f>+IF(VLOOKUP(I$1,Lecturas!$N$1:$AA$20,$AC116,FALSE)=0,"",VLOOKUP(I$1,Lecturas!$N$1:$AA$20,$AC116,FALSE))</f>
        <v>150</v>
      </c>
      <c r="J116" s="156" t="str">
        <f>+IF(VLOOKUP(J$1,Lecturas!$N$1:$AA$20,$AC116,FALSE)=0,"",VLOOKUP(J$1,Lecturas!$N$1:$AA$20,$AC116,FALSE))</f>
        <v/>
      </c>
      <c r="K116" s="156" t="str">
        <f>+IF(VLOOKUP(K$1,Lecturas!$N$1:$AA$20,$AC116,FALSE)=0,"",VLOOKUP(K$1,Lecturas!$N$1:$AA$20,$AC116,FALSE))</f>
        <v/>
      </c>
      <c r="L116" s="156" t="str">
        <f>+IF(VLOOKUP(L$1,Lecturas!$N$1:$AA$20,$AC116,FALSE)=0,"",VLOOKUP(L$1,Lecturas!$N$1:$AA$20,$AC116,FALSE))</f>
        <v/>
      </c>
      <c r="M116" s="163">
        <f>+IF(VLOOKUP(M$1,Lecturas!$N$1:$AA$20,$AC116,FALSE)=0,"",VLOOKUP(M$1,Lecturas!$N$1:$AA$20,$AC116,FALSE))</f>
        <v>2500</v>
      </c>
      <c r="N116" s="163">
        <f>+IF(VLOOKUP(N$1,Lecturas!$N$1:$AA$20,$AC116,FALSE)=0,"",VLOOKUP(N$1,Lecturas!$N$1:$AA$20,$AC116,FALSE))</f>
        <v>2000</v>
      </c>
      <c r="O116" s="163">
        <f>+IF(VLOOKUP(O$1,Lecturas!$N$1:$AA$20,$AC116,FALSE)=0,"",VLOOKUP(O$1,Lecturas!$N$1:$AA$20,$AC116,FALSE))</f>
        <v>3000</v>
      </c>
      <c r="P116" s="156" t="str">
        <f>+IF(VLOOKUP(P$1,Lecturas!$N$1:$AA$20,$AC116,FALSE)=0,"",VLOOKUP(P$1,Lecturas!$N$1:$AA$20,$AC116,FALSE))</f>
        <v/>
      </c>
      <c r="Q116" s="156" t="str">
        <f>+IF(VLOOKUP(Q$1,Lecturas!$N$1:$AA$20,$AC116,FALSE)=0,"",VLOOKUP(Q$1,Lecturas!$N$1:$AA$20,$AC116,FALSE))</f>
        <v/>
      </c>
      <c r="R116" s="156" t="str">
        <f>+IF(VLOOKUP(R$1,Lecturas!$N$1:$AA$20,$AC116,FALSE)=0,"",VLOOKUP(R$1,Lecturas!$N$1:$AA$20,$AC116,FALSE))</f>
        <v/>
      </c>
      <c r="S116" s="163" t="str">
        <f>+IF(VLOOKUP(S$1,Lecturas!$N$1:$AA$20,$AC116,FALSE)=0,"",VLOOKUP(S$1,Lecturas!$N$1:$AA$20,$AC116,FALSE))</f>
        <v/>
      </c>
      <c r="T116" s="163" t="str">
        <f>+IF(VLOOKUP(T$1,Lecturas!$N$1:$AA$20,$AC116,FALSE)=0,"",VLOOKUP(T$1,Lecturas!$N$1:$AA$20,$AC116,FALSE))</f>
        <v/>
      </c>
      <c r="U116" s="163" t="str">
        <f>+IF(VLOOKUP(U$1,Lecturas!$N$1:$AA$20,$AC116,FALSE)=0,"",VLOOKUP(U$1,Lecturas!$N$1:$AA$20,$AC116,FALSE))</f>
        <v/>
      </c>
      <c r="V116" s="156" t="str">
        <f>+IF(VLOOKUP(V$1,Lecturas!$N$1:$AA$20,$AC116,FALSE)=0,"",VLOOKUP(V$1,Lecturas!$N$1:$AA$20,$AC116,FALSE))</f>
        <v/>
      </c>
      <c r="W116" s="156" t="str">
        <f>+IF(VLOOKUP(W$1,Lecturas!$N$1:$AA$20,$AC116,FALSE)=0,"",VLOOKUP(W$1,Lecturas!$N$1:$AA$20,$AC116,FALSE))</f>
        <v/>
      </c>
      <c r="X116" s="156" t="str">
        <f>+IF(VLOOKUP(X$1,Lecturas!$N$1:$AA$20,$AC116,FALSE)=0,"",VLOOKUP(X$1,Lecturas!$N$1:$AA$20,$AC116,FALSE))</f>
        <v/>
      </c>
      <c r="Y116" s="163">
        <f>+IF(VLOOKUP(Y$1,Lecturas!$N$1:$AA$20,$AC116,FALSE)=0,"",VLOOKUP(Y$1,Lecturas!$N$1:$AA$20,$AC116,FALSE))</f>
        <v>5000</v>
      </c>
      <c r="Z116" s="48"/>
      <c r="AA116" s="48"/>
      <c r="AB116" s="48"/>
      <c r="AC116" s="148">
        <f>+'CARGA DE DATOS'!AF117</f>
        <v>2</v>
      </c>
    </row>
    <row r="117" spans="1:29" x14ac:dyDescent="0.25">
      <c r="A117" s="148">
        <f>+'CARGA DE DATOS'!A118</f>
        <v>116</v>
      </c>
      <c r="B117" s="48" t="str">
        <f>+IF(RESULTADOS!H117="","",RESULTADOS!H117)</f>
        <v/>
      </c>
      <c r="C117" s="48" t="str">
        <f>+IF(RESULTADOS!D117="","",RESULTADOS!D117)</f>
        <v/>
      </c>
      <c r="D117" s="160" t="str">
        <f>+IF('CARGA DE DATOS'!K118="Cooperativa","COOP",IF(Salida!AT118="true","PROSU","GD"))</f>
        <v>GD</v>
      </c>
      <c r="E117" s="160" t="s">
        <v>9147</v>
      </c>
      <c r="F117" s="160" t="str">
        <f>+IF(OR(D117="COOP",'CARGA DE DATOS'!K118="GUMA"),"15.02.2022",IF('CARGA DE DATOS'!K118="GUME","05.02.2022","10.02.2022"))</f>
        <v>15.02.2022</v>
      </c>
      <c r="G117" s="163">
        <f>+IF(VLOOKUP(G$1,Lecturas!$N$1:$AA$20,$AC117,FALSE)=0,"",VLOOKUP(G$1,Lecturas!$N$1:$AA$20,$AC117,FALSE))</f>
        <v>150</v>
      </c>
      <c r="H117" s="163">
        <f>+IF(VLOOKUP(H$1,Lecturas!$N$1:$AA$20,$AC117,FALSE)=0,"",VLOOKUP(H$1,Lecturas!$N$1:$AA$20,$AC117,FALSE))</f>
        <v>300</v>
      </c>
      <c r="I117" s="163">
        <f>+IF(VLOOKUP(I$1,Lecturas!$N$1:$AA$20,$AC117,FALSE)=0,"",VLOOKUP(I$1,Lecturas!$N$1:$AA$20,$AC117,FALSE))</f>
        <v>150</v>
      </c>
      <c r="J117" s="156" t="str">
        <f>+IF(VLOOKUP(J$1,Lecturas!$N$1:$AA$20,$AC117,FALSE)=0,"",VLOOKUP(J$1,Lecturas!$N$1:$AA$20,$AC117,FALSE))</f>
        <v/>
      </c>
      <c r="K117" s="156" t="str">
        <f>+IF(VLOOKUP(K$1,Lecturas!$N$1:$AA$20,$AC117,FALSE)=0,"",VLOOKUP(K$1,Lecturas!$N$1:$AA$20,$AC117,FALSE))</f>
        <v/>
      </c>
      <c r="L117" s="156" t="str">
        <f>+IF(VLOOKUP(L$1,Lecturas!$N$1:$AA$20,$AC117,FALSE)=0,"",VLOOKUP(L$1,Lecturas!$N$1:$AA$20,$AC117,FALSE))</f>
        <v/>
      </c>
      <c r="M117" s="163">
        <f>+IF(VLOOKUP(M$1,Lecturas!$N$1:$AA$20,$AC117,FALSE)=0,"",VLOOKUP(M$1,Lecturas!$N$1:$AA$20,$AC117,FALSE))</f>
        <v>2500</v>
      </c>
      <c r="N117" s="163">
        <f>+IF(VLOOKUP(N$1,Lecturas!$N$1:$AA$20,$AC117,FALSE)=0,"",VLOOKUP(N$1,Lecturas!$N$1:$AA$20,$AC117,FALSE))</f>
        <v>2000</v>
      </c>
      <c r="O117" s="163">
        <f>+IF(VLOOKUP(O$1,Lecturas!$N$1:$AA$20,$AC117,FALSE)=0,"",VLOOKUP(O$1,Lecturas!$N$1:$AA$20,$AC117,FALSE))</f>
        <v>3000</v>
      </c>
      <c r="P117" s="156" t="str">
        <f>+IF(VLOOKUP(P$1,Lecturas!$N$1:$AA$20,$AC117,FALSE)=0,"",VLOOKUP(P$1,Lecturas!$N$1:$AA$20,$AC117,FALSE))</f>
        <v/>
      </c>
      <c r="Q117" s="156" t="str">
        <f>+IF(VLOOKUP(Q$1,Lecturas!$N$1:$AA$20,$AC117,FALSE)=0,"",VLOOKUP(Q$1,Lecturas!$N$1:$AA$20,$AC117,FALSE))</f>
        <v/>
      </c>
      <c r="R117" s="156" t="str">
        <f>+IF(VLOOKUP(R$1,Lecturas!$N$1:$AA$20,$AC117,FALSE)=0,"",VLOOKUP(R$1,Lecturas!$N$1:$AA$20,$AC117,FALSE))</f>
        <v/>
      </c>
      <c r="S117" s="163" t="str">
        <f>+IF(VLOOKUP(S$1,Lecturas!$N$1:$AA$20,$AC117,FALSE)=0,"",VLOOKUP(S$1,Lecturas!$N$1:$AA$20,$AC117,FALSE))</f>
        <v/>
      </c>
      <c r="T117" s="163" t="str">
        <f>+IF(VLOOKUP(T$1,Lecturas!$N$1:$AA$20,$AC117,FALSE)=0,"",VLOOKUP(T$1,Lecturas!$N$1:$AA$20,$AC117,FALSE))</f>
        <v/>
      </c>
      <c r="U117" s="163" t="str">
        <f>+IF(VLOOKUP(U$1,Lecturas!$N$1:$AA$20,$AC117,FALSE)=0,"",VLOOKUP(U$1,Lecturas!$N$1:$AA$20,$AC117,FALSE))</f>
        <v/>
      </c>
      <c r="V117" s="156" t="str">
        <f>+IF(VLOOKUP(V$1,Lecturas!$N$1:$AA$20,$AC117,FALSE)=0,"",VLOOKUP(V$1,Lecturas!$N$1:$AA$20,$AC117,FALSE))</f>
        <v/>
      </c>
      <c r="W117" s="156" t="str">
        <f>+IF(VLOOKUP(W$1,Lecturas!$N$1:$AA$20,$AC117,FALSE)=0,"",VLOOKUP(W$1,Lecturas!$N$1:$AA$20,$AC117,FALSE))</f>
        <v/>
      </c>
      <c r="X117" s="156" t="str">
        <f>+IF(VLOOKUP(X$1,Lecturas!$N$1:$AA$20,$AC117,FALSE)=0,"",VLOOKUP(X$1,Lecturas!$N$1:$AA$20,$AC117,FALSE))</f>
        <v/>
      </c>
      <c r="Y117" s="163">
        <f>+IF(VLOOKUP(Y$1,Lecturas!$N$1:$AA$20,$AC117,FALSE)=0,"",VLOOKUP(Y$1,Lecturas!$N$1:$AA$20,$AC117,FALSE))</f>
        <v>5000</v>
      </c>
      <c r="Z117" s="48"/>
      <c r="AA117" s="48"/>
      <c r="AB117" s="48"/>
      <c r="AC117" s="148">
        <f>+'CARGA DE DATOS'!AF118</f>
        <v>3</v>
      </c>
    </row>
    <row r="118" spans="1:29" x14ac:dyDescent="0.25">
      <c r="A118" s="148">
        <f>+'CARGA DE DATOS'!A119</f>
        <v>117</v>
      </c>
      <c r="B118" s="48" t="str">
        <f>+IF(RESULTADOS!H118="","",RESULTADOS!H118)</f>
        <v/>
      </c>
      <c r="C118" s="48" t="str">
        <f>+IF(RESULTADOS!D118="","",RESULTADOS!D118)</f>
        <v/>
      </c>
      <c r="D118" s="160" t="str">
        <f>+IF('CARGA DE DATOS'!K119="Cooperativa","COOP",IF(Salida!AT119="true","PROSU","GD"))</f>
        <v>GD</v>
      </c>
      <c r="E118" s="160" t="s">
        <v>9147</v>
      </c>
      <c r="F118" s="160" t="str">
        <f>+IF(OR(D118="COOP",'CARGA DE DATOS'!K119="GUMA"),"15.02.2022",IF('CARGA DE DATOS'!K119="GUME","05.02.2022","10.02.2022"))</f>
        <v>15.02.2022</v>
      </c>
      <c r="G118" s="163">
        <f>+IF(VLOOKUP(G$1,Lecturas!$N$1:$AA$20,$AC118,FALSE)=0,"",VLOOKUP(G$1,Lecturas!$N$1:$AA$20,$AC118,FALSE))</f>
        <v>150</v>
      </c>
      <c r="H118" s="163">
        <f>+IF(VLOOKUP(H$1,Lecturas!$N$1:$AA$20,$AC118,FALSE)=0,"",VLOOKUP(H$1,Lecturas!$N$1:$AA$20,$AC118,FALSE))</f>
        <v>150</v>
      </c>
      <c r="I118" s="163">
        <f>+IF(VLOOKUP(I$1,Lecturas!$N$1:$AA$20,$AC118,FALSE)=0,"",VLOOKUP(I$1,Lecturas!$N$1:$AA$20,$AC118,FALSE))</f>
        <v>150</v>
      </c>
      <c r="J118" s="156" t="str">
        <f>+IF(VLOOKUP(J$1,Lecturas!$N$1:$AA$20,$AC118,FALSE)=0,"",VLOOKUP(J$1,Lecturas!$N$1:$AA$20,$AC118,FALSE))</f>
        <v/>
      </c>
      <c r="K118" s="156" t="str">
        <f>+IF(VLOOKUP(K$1,Lecturas!$N$1:$AA$20,$AC118,FALSE)=0,"",VLOOKUP(K$1,Lecturas!$N$1:$AA$20,$AC118,FALSE))</f>
        <v/>
      </c>
      <c r="L118" s="156" t="str">
        <f>+IF(VLOOKUP(L$1,Lecturas!$N$1:$AA$20,$AC118,FALSE)=0,"",VLOOKUP(L$1,Lecturas!$N$1:$AA$20,$AC118,FALSE))</f>
        <v/>
      </c>
      <c r="M118" s="163">
        <f>+IF(VLOOKUP(M$1,Lecturas!$N$1:$AA$20,$AC118,FALSE)=0,"",VLOOKUP(M$1,Lecturas!$N$1:$AA$20,$AC118,FALSE))</f>
        <v>2500</v>
      </c>
      <c r="N118" s="163">
        <f>+IF(VLOOKUP(N$1,Lecturas!$N$1:$AA$20,$AC118,FALSE)=0,"",VLOOKUP(N$1,Lecturas!$N$1:$AA$20,$AC118,FALSE))</f>
        <v>2000</v>
      </c>
      <c r="O118" s="163">
        <f>+IF(VLOOKUP(O$1,Lecturas!$N$1:$AA$20,$AC118,FALSE)=0,"",VLOOKUP(O$1,Lecturas!$N$1:$AA$20,$AC118,FALSE))</f>
        <v>3000</v>
      </c>
      <c r="P118" s="156" t="str">
        <f>+IF(VLOOKUP(P$1,Lecturas!$N$1:$AA$20,$AC118,FALSE)=0,"",VLOOKUP(P$1,Lecturas!$N$1:$AA$20,$AC118,FALSE))</f>
        <v/>
      </c>
      <c r="Q118" s="156" t="str">
        <f>+IF(VLOOKUP(Q$1,Lecturas!$N$1:$AA$20,$AC118,FALSE)=0,"",VLOOKUP(Q$1,Lecturas!$N$1:$AA$20,$AC118,FALSE))</f>
        <v/>
      </c>
      <c r="R118" s="156" t="str">
        <f>+IF(VLOOKUP(R$1,Lecturas!$N$1:$AA$20,$AC118,FALSE)=0,"",VLOOKUP(R$1,Lecturas!$N$1:$AA$20,$AC118,FALSE))</f>
        <v/>
      </c>
      <c r="S118" s="163" t="str">
        <f>+IF(VLOOKUP(S$1,Lecturas!$N$1:$AA$20,$AC118,FALSE)=0,"",VLOOKUP(S$1,Lecturas!$N$1:$AA$20,$AC118,FALSE))</f>
        <v/>
      </c>
      <c r="T118" s="163" t="str">
        <f>+IF(VLOOKUP(T$1,Lecturas!$N$1:$AA$20,$AC118,FALSE)=0,"",VLOOKUP(T$1,Lecturas!$N$1:$AA$20,$AC118,FALSE))</f>
        <v/>
      </c>
      <c r="U118" s="163" t="str">
        <f>+IF(VLOOKUP(U$1,Lecturas!$N$1:$AA$20,$AC118,FALSE)=0,"",VLOOKUP(U$1,Lecturas!$N$1:$AA$20,$AC118,FALSE))</f>
        <v/>
      </c>
      <c r="V118" s="156" t="str">
        <f>+IF(VLOOKUP(V$1,Lecturas!$N$1:$AA$20,$AC118,FALSE)=0,"",VLOOKUP(V$1,Lecturas!$N$1:$AA$20,$AC118,FALSE))</f>
        <v/>
      </c>
      <c r="W118" s="156" t="str">
        <f>+IF(VLOOKUP(W$1,Lecturas!$N$1:$AA$20,$AC118,FALSE)=0,"",VLOOKUP(W$1,Lecturas!$N$1:$AA$20,$AC118,FALSE))</f>
        <v/>
      </c>
      <c r="X118" s="156" t="str">
        <f>+IF(VLOOKUP(X$1,Lecturas!$N$1:$AA$20,$AC118,FALSE)=0,"",VLOOKUP(X$1,Lecturas!$N$1:$AA$20,$AC118,FALSE))</f>
        <v/>
      </c>
      <c r="Y118" s="163">
        <f>+IF(VLOOKUP(Y$1,Lecturas!$N$1:$AA$20,$AC118,FALSE)=0,"",VLOOKUP(Y$1,Lecturas!$N$1:$AA$20,$AC118,FALSE))</f>
        <v>15000</v>
      </c>
      <c r="Z118" s="48"/>
      <c r="AA118" s="48"/>
      <c r="AB118" s="48"/>
      <c r="AC118" s="148">
        <f>+'CARGA DE DATOS'!AF119</f>
        <v>4</v>
      </c>
    </row>
    <row r="119" spans="1:29" x14ac:dyDescent="0.25">
      <c r="A119" s="148">
        <f>+'CARGA DE DATOS'!A120</f>
        <v>118</v>
      </c>
      <c r="B119" s="48" t="str">
        <f>+IF(RESULTADOS!H119="","",RESULTADOS!H119)</f>
        <v/>
      </c>
      <c r="C119" s="48" t="str">
        <f>+IF(RESULTADOS!D119="","",RESULTADOS!D119)</f>
        <v/>
      </c>
      <c r="D119" s="160" t="str">
        <f>+IF('CARGA DE DATOS'!K120="Cooperativa","COOP",IF(Salida!AT120="true","PROSU","GD"))</f>
        <v>GD</v>
      </c>
      <c r="E119" s="160" t="s">
        <v>9147</v>
      </c>
      <c r="F119" s="160" t="str">
        <f>+IF(OR(D119="COOP",'CARGA DE DATOS'!K120="GUMA"),"15.02.2022",IF('CARGA DE DATOS'!K120="GUME","05.02.2022","10.02.2022"))</f>
        <v>15.02.2022</v>
      </c>
      <c r="G119" s="163">
        <f>+IF(VLOOKUP(G$1,Lecturas!$N$1:$AA$20,$AC119,FALSE)=0,"",VLOOKUP(G$1,Lecturas!$N$1:$AA$20,$AC119,FALSE))</f>
        <v>150</v>
      </c>
      <c r="H119" s="163">
        <f>+IF(VLOOKUP(H$1,Lecturas!$N$1:$AA$20,$AC119,FALSE)=0,"",VLOOKUP(H$1,Lecturas!$N$1:$AA$20,$AC119,FALSE))</f>
        <v>300</v>
      </c>
      <c r="I119" s="163">
        <f>+IF(VLOOKUP(I$1,Lecturas!$N$1:$AA$20,$AC119,FALSE)=0,"",VLOOKUP(I$1,Lecturas!$N$1:$AA$20,$AC119,FALSE))</f>
        <v>350</v>
      </c>
      <c r="J119" s="156" t="str">
        <f>+IF(VLOOKUP(J$1,Lecturas!$N$1:$AA$20,$AC119,FALSE)=0,"",VLOOKUP(J$1,Lecturas!$N$1:$AA$20,$AC119,FALSE))</f>
        <v/>
      </c>
      <c r="K119" s="156" t="str">
        <f>+IF(VLOOKUP(K$1,Lecturas!$N$1:$AA$20,$AC119,FALSE)=0,"",VLOOKUP(K$1,Lecturas!$N$1:$AA$20,$AC119,FALSE))</f>
        <v/>
      </c>
      <c r="L119" s="156" t="str">
        <f>+IF(VLOOKUP(L$1,Lecturas!$N$1:$AA$20,$AC119,FALSE)=0,"",VLOOKUP(L$1,Lecturas!$N$1:$AA$20,$AC119,FALSE))</f>
        <v/>
      </c>
      <c r="M119" s="163">
        <f>+IF(VLOOKUP(M$1,Lecturas!$N$1:$AA$20,$AC119,FALSE)=0,"",VLOOKUP(M$1,Lecturas!$N$1:$AA$20,$AC119,FALSE))</f>
        <v>2500</v>
      </c>
      <c r="N119" s="163">
        <f>+IF(VLOOKUP(N$1,Lecturas!$N$1:$AA$20,$AC119,FALSE)=0,"",VLOOKUP(N$1,Lecturas!$N$1:$AA$20,$AC119,FALSE))</f>
        <v>2000</v>
      </c>
      <c r="O119" s="163">
        <f>+IF(VLOOKUP(O$1,Lecturas!$N$1:$AA$20,$AC119,FALSE)=0,"",VLOOKUP(O$1,Lecturas!$N$1:$AA$20,$AC119,FALSE))</f>
        <v>3000</v>
      </c>
      <c r="P119" s="156" t="str">
        <f>+IF(VLOOKUP(P$1,Lecturas!$N$1:$AA$20,$AC119,FALSE)=0,"",VLOOKUP(P$1,Lecturas!$N$1:$AA$20,$AC119,FALSE))</f>
        <v/>
      </c>
      <c r="Q119" s="156" t="str">
        <f>+IF(VLOOKUP(Q$1,Lecturas!$N$1:$AA$20,$AC119,FALSE)=0,"",VLOOKUP(Q$1,Lecturas!$N$1:$AA$20,$AC119,FALSE))</f>
        <v/>
      </c>
      <c r="R119" s="156" t="str">
        <f>+IF(VLOOKUP(R$1,Lecturas!$N$1:$AA$20,$AC119,FALSE)=0,"",VLOOKUP(R$1,Lecturas!$N$1:$AA$20,$AC119,FALSE))</f>
        <v/>
      </c>
      <c r="S119" s="163" t="str">
        <f>+IF(VLOOKUP(S$1,Lecturas!$N$1:$AA$20,$AC119,FALSE)=0,"",VLOOKUP(S$1,Lecturas!$N$1:$AA$20,$AC119,FALSE))</f>
        <v/>
      </c>
      <c r="T119" s="163" t="str">
        <f>+IF(VLOOKUP(T$1,Lecturas!$N$1:$AA$20,$AC119,FALSE)=0,"",VLOOKUP(T$1,Lecturas!$N$1:$AA$20,$AC119,FALSE))</f>
        <v/>
      </c>
      <c r="U119" s="163" t="str">
        <f>+IF(VLOOKUP(U$1,Lecturas!$N$1:$AA$20,$AC119,FALSE)=0,"",VLOOKUP(U$1,Lecturas!$N$1:$AA$20,$AC119,FALSE))</f>
        <v/>
      </c>
      <c r="V119" s="156" t="str">
        <f>+IF(VLOOKUP(V$1,Lecturas!$N$1:$AA$20,$AC119,FALSE)=0,"",VLOOKUP(V$1,Lecturas!$N$1:$AA$20,$AC119,FALSE))</f>
        <v/>
      </c>
      <c r="W119" s="156" t="str">
        <f>+IF(VLOOKUP(W$1,Lecturas!$N$1:$AA$20,$AC119,FALSE)=0,"",VLOOKUP(W$1,Lecturas!$N$1:$AA$20,$AC119,FALSE))</f>
        <v/>
      </c>
      <c r="X119" s="156" t="str">
        <f>+IF(VLOOKUP(X$1,Lecturas!$N$1:$AA$20,$AC119,FALSE)=0,"",VLOOKUP(X$1,Lecturas!$N$1:$AA$20,$AC119,FALSE))</f>
        <v/>
      </c>
      <c r="Y119" s="163">
        <f>+IF(VLOOKUP(Y$1,Lecturas!$N$1:$AA$20,$AC119,FALSE)=0,"",VLOOKUP(Y$1,Lecturas!$N$1:$AA$20,$AC119,FALSE))</f>
        <v>2460</v>
      </c>
      <c r="Z119" s="48"/>
      <c r="AA119" s="48"/>
      <c r="AB119" s="48"/>
      <c r="AC119" s="148">
        <f>+'CARGA DE DATOS'!AF120</f>
        <v>5</v>
      </c>
    </row>
    <row r="120" spans="1:29" x14ac:dyDescent="0.25">
      <c r="A120" s="148">
        <f>+'CARGA DE DATOS'!A121</f>
        <v>119</v>
      </c>
      <c r="B120" s="48" t="str">
        <f>+IF(RESULTADOS!H120="","",RESULTADOS!H120)</f>
        <v/>
      </c>
      <c r="C120" s="48" t="str">
        <f>+IF(RESULTADOS!D120="","",RESULTADOS!D120)</f>
        <v/>
      </c>
      <c r="D120" s="160" t="str">
        <f>+IF('CARGA DE DATOS'!K121="Cooperativa","COOP",IF(Salida!AT121="true","PROSU","GD"))</f>
        <v>GD</v>
      </c>
      <c r="E120" s="160" t="s">
        <v>9147</v>
      </c>
      <c r="F120" s="160" t="str">
        <f>+IF(OR(D120="COOP",'CARGA DE DATOS'!K121="GUMA"),"15.02.2022",IF('CARGA DE DATOS'!K121="GUME","05.02.2022","10.02.2022"))</f>
        <v>15.02.2022</v>
      </c>
      <c r="G120" s="163">
        <f>+IF(VLOOKUP(G$1,Lecturas!$N$1:$AA$20,$AC120,FALSE)=0,"",VLOOKUP(G$1,Lecturas!$N$1:$AA$20,$AC120,FALSE))</f>
        <v>150</v>
      </c>
      <c r="H120" s="163">
        <f>+IF(VLOOKUP(H$1,Lecturas!$N$1:$AA$20,$AC120,FALSE)=0,"",VLOOKUP(H$1,Lecturas!$N$1:$AA$20,$AC120,FALSE))</f>
        <v>150</v>
      </c>
      <c r="I120" s="163">
        <f>+IF(VLOOKUP(I$1,Lecturas!$N$1:$AA$20,$AC120,FALSE)=0,"",VLOOKUP(I$1,Lecturas!$N$1:$AA$20,$AC120,FALSE))</f>
        <v>150</v>
      </c>
      <c r="J120" s="156" t="str">
        <f>+IF(VLOOKUP(J$1,Lecturas!$N$1:$AA$20,$AC120,FALSE)=0,"",VLOOKUP(J$1,Lecturas!$N$1:$AA$20,$AC120,FALSE))</f>
        <v/>
      </c>
      <c r="K120" s="156" t="str">
        <f>+IF(VLOOKUP(K$1,Lecturas!$N$1:$AA$20,$AC120,FALSE)=0,"",VLOOKUP(K$1,Lecturas!$N$1:$AA$20,$AC120,FALSE))</f>
        <v/>
      </c>
      <c r="L120" s="156" t="str">
        <f>+IF(VLOOKUP(L$1,Lecturas!$N$1:$AA$20,$AC120,FALSE)=0,"",VLOOKUP(L$1,Lecturas!$N$1:$AA$20,$AC120,FALSE))</f>
        <v/>
      </c>
      <c r="M120" s="163">
        <f>+IF(VLOOKUP(M$1,Lecturas!$N$1:$AA$20,$AC120,FALSE)=0,"",VLOOKUP(M$1,Lecturas!$N$1:$AA$20,$AC120,FALSE))</f>
        <v>2500</v>
      </c>
      <c r="N120" s="163">
        <f>+IF(VLOOKUP(N$1,Lecturas!$N$1:$AA$20,$AC120,FALSE)=0,"",VLOOKUP(N$1,Lecturas!$N$1:$AA$20,$AC120,FALSE))</f>
        <v>2000</v>
      </c>
      <c r="O120" s="163">
        <f>+IF(VLOOKUP(O$1,Lecturas!$N$1:$AA$20,$AC120,FALSE)=0,"",VLOOKUP(O$1,Lecturas!$N$1:$AA$20,$AC120,FALSE))</f>
        <v>3000</v>
      </c>
      <c r="P120" s="156" t="str">
        <f>+IF(VLOOKUP(P$1,Lecturas!$N$1:$AA$20,$AC120,FALSE)=0,"",VLOOKUP(P$1,Lecturas!$N$1:$AA$20,$AC120,FALSE))</f>
        <v/>
      </c>
      <c r="Q120" s="156" t="str">
        <f>+IF(VLOOKUP(Q$1,Lecturas!$N$1:$AA$20,$AC120,FALSE)=0,"",VLOOKUP(Q$1,Lecturas!$N$1:$AA$20,$AC120,FALSE))</f>
        <v/>
      </c>
      <c r="R120" s="156" t="str">
        <f>+IF(VLOOKUP(R$1,Lecturas!$N$1:$AA$20,$AC120,FALSE)=0,"",VLOOKUP(R$1,Lecturas!$N$1:$AA$20,$AC120,FALSE))</f>
        <v/>
      </c>
      <c r="S120" s="163" t="str">
        <f>+IF(VLOOKUP(S$1,Lecturas!$N$1:$AA$20,$AC120,FALSE)=0,"",VLOOKUP(S$1,Lecturas!$N$1:$AA$20,$AC120,FALSE))</f>
        <v/>
      </c>
      <c r="T120" s="163" t="str">
        <f>+IF(VLOOKUP(T$1,Lecturas!$N$1:$AA$20,$AC120,FALSE)=0,"",VLOOKUP(T$1,Lecturas!$N$1:$AA$20,$AC120,FALSE))</f>
        <v/>
      </c>
      <c r="U120" s="163" t="str">
        <f>+IF(VLOOKUP(U$1,Lecturas!$N$1:$AA$20,$AC120,FALSE)=0,"",VLOOKUP(U$1,Lecturas!$N$1:$AA$20,$AC120,FALSE))</f>
        <v/>
      </c>
      <c r="V120" s="156" t="str">
        <f>+IF(VLOOKUP(V$1,Lecturas!$N$1:$AA$20,$AC120,FALSE)=0,"",VLOOKUP(V$1,Lecturas!$N$1:$AA$20,$AC120,FALSE))</f>
        <v/>
      </c>
      <c r="W120" s="156" t="str">
        <f>+IF(VLOOKUP(W$1,Lecturas!$N$1:$AA$20,$AC120,FALSE)=0,"",VLOOKUP(W$1,Lecturas!$N$1:$AA$20,$AC120,FALSE))</f>
        <v/>
      </c>
      <c r="X120" s="156" t="str">
        <f>+IF(VLOOKUP(X$1,Lecturas!$N$1:$AA$20,$AC120,FALSE)=0,"",VLOOKUP(X$1,Lecturas!$N$1:$AA$20,$AC120,FALSE))</f>
        <v/>
      </c>
      <c r="Y120" s="163">
        <f>+IF(VLOOKUP(Y$1,Lecturas!$N$1:$AA$20,$AC120,FALSE)=0,"",VLOOKUP(Y$1,Lecturas!$N$1:$AA$20,$AC120,FALSE))</f>
        <v>5000</v>
      </c>
      <c r="Z120" s="48"/>
      <c r="AA120" s="48"/>
      <c r="AB120" s="48"/>
      <c r="AC120" s="148">
        <f>+'CARGA DE DATOS'!AF121</f>
        <v>2</v>
      </c>
    </row>
    <row r="121" spans="1:29" x14ac:dyDescent="0.25">
      <c r="A121" s="148">
        <f>+'CARGA DE DATOS'!A122</f>
        <v>120</v>
      </c>
      <c r="B121" s="48" t="str">
        <f>+IF(RESULTADOS!H121="","",RESULTADOS!H121)</f>
        <v/>
      </c>
      <c r="C121" s="48" t="str">
        <f>+IF(RESULTADOS!D121="","",RESULTADOS!D121)</f>
        <v/>
      </c>
      <c r="D121" s="160" t="str">
        <f>+IF('CARGA DE DATOS'!K122="Cooperativa","COOP",IF(Salida!AT122="true","PROSU","GD"))</f>
        <v>GD</v>
      </c>
      <c r="E121" s="160" t="s">
        <v>9147</v>
      </c>
      <c r="F121" s="160" t="str">
        <f>+IF(OR(D121="COOP",'CARGA DE DATOS'!K122="GUMA"),"15.02.2022",IF('CARGA DE DATOS'!K122="GUME","05.02.2022","10.02.2022"))</f>
        <v>15.02.2022</v>
      </c>
      <c r="G121" s="163">
        <f>+IF(VLOOKUP(G$1,Lecturas!$N$1:$AA$20,$AC121,FALSE)=0,"",VLOOKUP(G$1,Lecturas!$N$1:$AA$20,$AC121,FALSE))</f>
        <v>150</v>
      </c>
      <c r="H121" s="163">
        <f>+IF(VLOOKUP(H$1,Lecturas!$N$1:$AA$20,$AC121,FALSE)=0,"",VLOOKUP(H$1,Lecturas!$N$1:$AA$20,$AC121,FALSE))</f>
        <v>300</v>
      </c>
      <c r="I121" s="163">
        <f>+IF(VLOOKUP(I$1,Lecturas!$N$1:$AA$20,$AC121,FALSE)=0,"",VLOOKUP(I$1,Lecturas!$N$1:$AA$20,$AC121,FALSE))</f>
        <v>350</v>
      </c>
      <c r="J121" s="156" t="str">
        <f>+IF(VLOOKUP(J$1,Lecturas!$N$1:$AA$20,$AC121,FALSE)=0,"",VLOOKUP(J$1,Lecturas!$N$1:$AA$20,$AC121,FALSE))</f>
        <v/>
      </c>
      <c r="K121" s="156" t="str">
        <f>+IF(VLOOKUP(K$1,Lecturas!$N$1:$AA$20,$AC121,FALSE)=0,"",VLOOKUP(K$1,Lecturas!$N$1:$AA$20,$AC121,FALSE))</f>
        <v/>
      </c>
      <c r="L121" s="156" t="str">
        <f>+IF(VLOOKUP(L$1,Lecturas!$N$1:$AA$20,$AC121,FALSE)=0,"",VLOOKUP(L$1,Lecturas!$N$1:$AA$20,$AC121,FALSE))</f>
        <v/>
      </c>
      <c r="M121" s="163">
        <f>+IF(VLOOKUP(M$1,Lecturas!$N$1:$AA$20,$AC121,FALSE)=0,"",VLOOKUP(M$1,Lecturas!$N$1:$AA$20,$AC121,FALSE))</f>
        <v>2500</v>
      </c>
      <c r="N121" s="163">
        <f>+IF(VLOOKUP(N$1,Lecturas!$N$1:$AA$20,$AC121,FALSE)=0,"",VLOOKUP(N$1,Lecturas!$N$1:$AA$20,$AC121,FALSE))</f>
        <v>2000</v>
      </c>
      <c r="O121" s="163">
        <f>+IF(VLOOKUP(O$1,Lecturas!$N$1:$AA$20,$AC121,FALSE)=0,"",VLOOKUP(O$1,Lecturas!$N$1:$AA$20,$AC121,FALSE))</f>
        <v>3000</v>
      </c>
      <c r="P121" s="156" t="str">
        <f>+IF(VLOOKUP(P$1,Lecturas!$N$1:$AA$20,$AC121,FALSE)=0,"",VLOOKUP(P$1,Lecturas!$N$1:$AA$20,$AC121,FALSE))</f>
        <v/>
      </c>
      <c r="Q121" s="156" t="str">
        <f>+IF(VLOOKUP(Q$1,Lecturas!$N$1:$AA$20,$AC121,FALSE)=0,"",VLOOKUP(Q$1,Lecturas!$N$1:$AA$20,$AC121,FALSE))</f>
        <v/>
      </c>
      <c r="R121" s="156" t="str">
        <f>+IF(VLOOKUP(R$1,Lecturas!$N$1:$AA$20,$AC121,FALSE)=0,"",VLOOKUP(R$1,Lecturas!$N$1:$AA$20,$AC121,FALSE))</f>
        <v/>
      </c>
      <c r="S121" s="163" t="str">
        <f>+IF(VLOOKUP(S$1,Lecturas!$N$1:$AA$20,$AC121,FALSE)=0,"",VLOOKUP(S$1,Lecturas!$N$1:$AA$20,$AC121,FALSE))</f>
        <v/>
      </c>
      <c r="T121" s="163" t="str">
        <f>+IF(VLOOKUP(T$1,Lecturas!$N$1:$AA$20,$AC121,FALSE)=0,"",VLOOKUP(T$1,Lecturas!$N$1:$AA$20,$AC121,FALSE))</f>
        <v/>
      </c>
      <c r="U121" s="163" t="str">
        <f>+IF(VLOOKUP(U$1,Lecturas!$N$1:$AA$20,$AC121,FALSE)=0,"",VLOOKUP(U$1,Lecturas!$N$1:$AA$20,$AC121,FALSE))</f>
        <v/>
      </c>
      <c r="V121" s="156" t="str">
        <f>+IF(VLOOKUP(V$1,Lecturas!$N$1:$AA$20,$AC121,FALSE)=0,"",VLOOKUP(V$1,Lecturas!$N$1:$AA$20,$AC121,FALSE))</f>
        <v/>
      </c>
      <c r="W121" s="156" t="str">
        <f>+IF(VLOOKUP(W$1,Lecturas!$N$1:$AA$20,$AC121,FALSE)=0,"",VLOOKUP(W$1,Lecturas!$N$1:$AA$20,$AC121,FALSE))</f>
        <v/>
      </c>
      <c r="X121" s="156" t="str">
        <f>+IF(VLOOKUP(X$1,Lecturas!$N$1:$AA$20,$AC121,FALSE)=0,"",VLOOKUP(X$1,Lecturas!$N$1:$AA$20,$AC121,FALSE))</f>
        <v/>
      </c>
      <c r="Y121" s="163">
        <f>+IF(VLOOKUP(Y$1,Lecturas!$N$1:$AA$20,$AC121,FALSE)=0,"",VLOOKUP(Y$1,Lecturas!$N$1:$AA$20,$AC121,FALSE))</f>
        <v>2460</v>
      </c>
      <c r="Z121" s="48"/>
      <c r="AA121" s="48"/>
      <c r="AB121" s="48"/>
      <c r="AC121" s="148">
        <f>+'CARGA DE DATOS'!AF122</f>
        <v>5</v>
      </c>
    </row>
    <row r="122" spans="1:29" x14ac:dyDescent="0.25">
      <c r="A122" s="148">
        <f>+'CARGA DE DATOS'!A123</f>
        <v>121</v>
      </c>
      <c r="B122" s="48" t="str">
        <f>+IF(RESULTADOS!H122="","",RESULTADOS!H122)</f>
        <v/>
      </c>
      <c r="C122" s="48" t="str">
        <f>+IF(RESULTADOS!D122="","",RESULTADOS!D122)</f>
        <v/>
      </c>
      <c r="D122" s="160" t="str">
        <f>+IF('CARGA DE DATOS'!K123="Cooperativa","COOP",IF(Salida!AT123="true","PROSU","GD"))</f>
        <v>GD</v>
      </c>
      <c r="E122" s="160" t="s">
        <v>9147</v>
      </c>
      <c r="F122" s="160" t="str">
        <f>+IF(OR(D122="COOP",'CARGA DE DATOS'!K123="GUMA"),"15.02.2022",IF('CARGA DE DATOS'!K123="GUME","05.02.2022","10.02.2022"))</f>
        <v>15.02.2022</v>
      </c>
      <c r="G122" s="163">
        <f>+IF(VLOOKUP(G$1,Lecturas!$N$1:$AA$20,$AC122,FALSE)=0,"",VLOOKUP(G$1,Lecturas!$N$1:$AA$20,$AC122,FALSE))</f>
        <v>1000</v>
      </c>
      <c r="H122" s="163">
        <f>+IF(VLOOKUP(H$1,Lecturas!$N$1:$AA$20,$AC122,FALSE)=0,"",VLOOKUP(H$1,Lecturas!$N$1:$AA$20,$AC122,FALSE))</f>
        <v>150</v>
      </c>
      <c r="I122" s="163">
        <f>+IF(VLOOKUP(I$1,Lecturas!$N$1:$AA$20,$AC122,FALSE)=0,"",VLOOKUP(I$1,Lecturas!$N$1:$AA$20,$AC122,FALSE))</f>
        <v>350</v>
      </c>
      <c r="J122" s="156" t="str">
        <f>+IF(VLOOKUP(J$1,Lecturas!$N$1:$AA$20,$AC122,FALSE)=0,"",VLOOKUP(J$1,Lecturas!$N$1:$AA$20,$AC122,FALSE))</f>
        <v/>
      </c>
      <c r="K122" s="156" t="str">
        <f>+IF(VLOOKUP(K$1,Lecturas!$N$1:$AA$20,$AC122,FALSE)=0,"",VLOOKUP(K$1,Lecturas!$N$1:$AA$20,$AC122,FALSE))</f>
        <v/>
      </c>
      <c r="L122" s="156" t="str">
        <f>+IF(VLOOKUP(L$1,Lecturas!$N$1:$AA$20,$AC122,FALSE)=0,"",VLOOKUP(L$1,Lecturas!$N$1:$AA$20,$AC122,FALSE))</f>
        <v/>
      </c>
      <c r="M122" s="163">
        <f>+IF(VLOOKUP(M$1,Lecturas!$N$1:$AA$20,$AC122,FALSE)=0,"",VLOOKUP(M$1,Lecturas!$N$1:$AA$20,$AC122,FALSE))</f>
        <v>2500</v>
      </c>
      <c r="N122" s="163">
        <f>+IF(VLOOKUP(N$1,Lecturas!$N$1:$AA$20,$AC122,FALSE)=0,"",VLOOKUP(N$1,Lecturas!$N$1:$AA$20,$AC122,FALSE))</f>
        <v>2000</v>
      </c>
      <c r="O122" s="163">
        <f>+IF(VLOOKUP(O$1,Lecturas!$N$1:$AA$20,$AC122,FALSE)=0,"",VLOOKUP(O$1,Lecturas!$N$1:$AA$20,$AC122,FALSE))</f>
        <v>3000</v>
      </c>
      <c r="P122" s="156" t="str">
        <f>+IF(VLOOKUP(P$1,Lecturas!$N$1:$AA$20,$AC122,FALSE)=0,"",VLOOKUP(P$1,Lecturas!$N$1:$AA$20,$AC122,FALSE))</f>
        <v/>
      </c>
      <c r="Q122" s="156" t="str">
        <f>+IF(VLOOKUP(Q$1,Lecturas!$N$1:$AA$20,$AC122,FALSE)=0,"",VLOOKUP(Q$1,Lecturas!$N$1:$AA$20,$AC122,FALSE))</f>
        <v/>
      </c>
      <c r="R122" s="156" t="str">
        <f>+IF(VLOOKUP(R$1,Lecturas!$N$1:$AA$20,$AC122,FALSE)=0,"",VLOOKUP(R$1,Lecturas!$N$1:$AA$20,$AC122,FALSE))</f>
        <v/>
      </c>
      <c r="S122" s="163" t="str">
        <f>+IF(VLOOKUP(S$1,Lecturas!$N$1:$AA$20,$AC122,FALSE)=0,"",VLOOKUP(S$1,Lecturas!$N$1:$AA$20,$AC122,FALSE))</f>
        <v/>
      </c>
      <c r="T122" s="163" t="str">
        <f>+IF(VLOOKUP(T$1,Lecturas!$N$1:$AA$20,$AC122,FALSE)=0,"",VLOOKUP(T$1,Lecturas!$N$1:$AA$20,$AC122,FALSE))</f>
        <v/>
      </c>
      <c r="U122" s="163" t="str">
        <f>+IF(VLOOKUP(U$1,Lecturas!$N$1:$AA$20,$AC122,FALSE)=0,"",VLOOKUP(U$1,Lecturas!$N$1:$AA$20,$AC122,FALSE))</f>
        <v/>
      </c>
      <c r="V122" s="156" t="str">
        <f>+IF(VLOOKUP(V$1,Lecturas!$N$1:$AA$20,$AC122,FALSE)=0,"",VLOOKUP(V$1,Lecturas!$N$1:$AA$20,$AC122,FALSE))</f>
        <v/>
      </c>
      <c r="W122" s="156" t="str">
        <f>+IF(VLOOKUP(W$1,Lecturas!$N$1:$AA$20,$AC122,FALSE)=0,"",VLOOKUP(W$1,Lecturas!$N$1:$AA$20,$AC122,FALSE))</f>
        <v/>
      </c>
      <c r="X122" s="156" t="str">
        <f>+IF(VLOOKUP(X$1,Lecturas!$N$1:$AA$20,$AC122,FALSE)=0,"",VLOOKUP(X$1,Lecturas!$N$1:$AA$20,$AC122,FALSE))</f>
        <v/>
      </c>
      <c r="Y122" s="163">
        <f>+IF(VLOOKUP(Y$1,Lecturas!$N$1:$AA$20,$AC122,FALSE)=0,"",VLOOKUP(Y$1,Lecturas!$N$1:$AA$20,$AC122,FALSE))</f>
        <v>7500</v>
      </c>
      <c r="Z122" s="48"/>
      <c r="AA122" s="48"/>
      <c r="AB122" s="48"/>
      <c r="AC122" s="148">
        <f>+'CARGA DE DATOS'!AF123</f>
        <v>6</v>
      </c>
    </row>
    <row r="123" spans="1:29" x14ac:dyDescent="0.25">
      <c r="A123" s="148">
        <f>+'CARGA DE DATOS'!A124</f>
        <v>122</v>
      </c>
      <c r="B123" s="48" t="str">
        <f>+IF(RESULTADOS!H123="","",RESULTADOS!H123)</f>
        <v/>
      </c>
      <c r="C123" s="48" t="str">
        <f>+IF(RESULTADOS!D123="","",RESULTADOS!D123)</f>
        <v/>
      </c>
      <c r="D123" s="160" t="str">
        <f>+IF('CARGA DE DATOS'!K124="Cooperativa","COOP",IF(Salida!AT124="true","PROSU","GD"))</f>
        <v>GD</v>
      </c>
      <c r="E123" s="160" t="s">
        <v>9147</v>
      </c>
      <c r="F123" s="160" t="str">
        <f>+IF(OR(D123="COOP",'CARGA DE DATOS'!K124="GUMA"),"15.02.2022",IF('CARGA DE DATOS'!K124="GUME","05.02.2022","10.02.2022"))</f>
        <v>15.02.2022</v>
      </c>
      <c r="G123" s="163">
        <f>+IF(VLOOKUP(G$1,Lecturas!$N$1:$AA$20,$AC123,FALSE)=0,"",VLOOKUP(G$1,Lecturas!$N$1:$AA$20,$AC123,FALSE))</f>
        <v>1500</v>
      </c>
      <c r="H123" s="163">
        <f>+IF(VLOOKUP(H$1,Lecturas!$N$1:$AA$20,$AC123,FALSE)=0,"",VLOOKUP(H$1,Lecturas!$N$1:$AA$20,$AC123,FALSE))</f>
        <v>1550</v>
      </c>
      <c r="I123" s="163">
        <f>+IF(VLOOKUP(I$1,Lecturas!$N$1:$AA$20,$AC123,FALSE)=0,"",VLOOKUP(I$1,Lecturas!$N$1:$AA$20,$AC123,FALSE))</f>
        <v>1550</v>
      </c>
      <c r="J123" s="156" t="str">
        <f>+IF(VLOOKUP(J$1,Lecturas!$N$1:$AA$20,$AC123,FALSE)=0,"",VLOOKUP(J$1,Lecturas!$N$1:$AA$20,$AC123,FALSE))</f>
        <v/>
      </c>
      <c r="K123" s="156" t="str">
        <f>+IF(VLOOKUP(K$1,Lecturas!$N$1:$AA$20,$AC123,FALSE)=0,"",VLOOKUP(K$1,Lecturas!$N$1:$AA$20,$AC123,FALSE))</f>
        <v/>
      </c>
      <c r="L123" s="156" t="str">
        <f>+IF(VLOOKUP(L$1,Lecturas!$N$1:$AA$20,$AC123,FALSE)=0,"",VLOOKUP(L$1,Lecturas!$N$1:$AA$20,$AC123,FALSE))</f>
        <v/>
      </c>
      <c r="M123" s="163">
        <f>+IF(VLOOKUP(M$1,Lecturas!$N$1:$AA$20,$AC123,FALSE)=0,"",VLOOKUP(M$1,Lecturas!$N$1:$AA$20,$AC123,FALSE))</f>
        <v>2500</v>
      </c>
      <c r="N123" s="163">
        <f>+IF(VLOOKUP(N$1,Lecturas!$N$1:$AA$20,$AC123,FALSE)=0,"",VLOOKUP(N$1,Lecturas!$N$1:$AA$20,$AC123,FALSE))</f>
        <v>2000</v>
      </c>
      <c r="O123" s="163">
        <f>+IF(VLOOKUP(O$1,Lecturas!$N$1:$AA$20,$AC123,FALSE)=0,"",VLOOKUP(O$1,Lecturas!$N$1:$AA$20,$AC123,FALSE))</f>
        <v>3000</v>
      </c>
      <c r="P123" s="156" t="str">
        <f>+IF(VLOOKUP(P$1,Lecturas!$N$1:$AA$20,$AC123,FALSE)=0,"",VLOOKUP(P$1,Lecturas!$N$1:$AA$20,$AC123,FALSE))</f>
        <v/>
      </c>
      <c r="Q123" s="156" t="str">
        <f>+IF(VLOOKUP(Q$1,Lecturas!$N$1:$AA$20,$AC123,FALSE)=0,"",VLOOKUP(Q$1,Lecturas!$N$1:$AA$20,$AC123,FALSE))</f>
        <v/>
      </c>
      <c r="R123" s="156" t="str">
        <f>+IF(VLOOKUP(R$1,Lecturas!$N$1:$AA$20,$AC123,FALSE)=0,"",VLOOKUP(R$1,Lecturas!$N$1:$AA$20,$AC123,FALSE))</f>
        <v/>
      </c>
      <c r="S123" s="163" t="str">
        <f>+IF(VLOOKUP(S$1,Lecturas!$N$1:$AA$20,$AC123,FALSE)=0,"",VLOOKUP(S$1,Lecturas!$N$1:$AA$20,$AC123,FALSE))</f>
        <v/>
      </c>
      <c r="T123" s="163" t="str">
        <f>+IF(VLOOKUP(T$1,Lecturas!$N$1:$AA$20,$AC123,FALSE)=0,"",VLOOKUP(T$1,Lecturas!$N$1:$AA$20,$AC123,FALSE))</f>
        <v/>
      </c>
      <c r="U123" s="163" t="str">
        <f>+IF(VLOOKUP(U$1,Lecturas!$N$1:$AA$20,$AC123,FALSE)=0,"",VLOOKUP(U$1,Lecturas!$N$1:$AA$20,$AC123,FALSE))</f>
        <v/>
      </c>
      <c r="V123" s="156" t="str">
        <f>+IF(VLOOKUP(V$1,Lecturas!$N$1:$AA$20,$AC123,FALSE)=0,"",VLOOKUP(V$1,Lecturas!$N$1:$AA$20,$AC123,FALSE))</f>
        <v/>
      </c>
      <c r="W123" s="156" t="str">
        <f>+IF(VLOOKUP(W$1,Lecturas!$N$1:$AA$20,$AC123,FALSE)=0,"",VLOOKUP(W$1,Lecturas!$N$1:$AA$20,$AC123,FALSE))</f>
        <v/>
      </c>
      <c r="X123" s="156" t="str">
        <f>+IF(VLOOKUP(X$1,Lecturas!$N$1:$AA$20,$AC123,FALSE)=0,"",VLOOKUP(X$1,Lecturas!$N$1:$AA$20,$AC123,FALSE))</f>
        <v/>
      </c>
      <c r="Y123" s="163">
        <f>+IF(VLOOKUP(Y$1,Lecturas!$N$1:$AA$20,$AC123,FALSE)=0,"",VLOOKUP(Y$1,Lecturas!$N$1:$AA$20,$AC123,FALSE))</f>
        <v>7500</v>
      </c>
      <c r="Z123" s="48"/>
      <c r="AA123" s="48"/>
      <c r="AB123" s="48"/>
      <c r="AC123" s="148">
        <f>+'CARGA DE DATOS'!AF124</f>
        <v>7</v>
      </c>
    </row>
    <row r="124" spans="1:29" x14ac:dyDescent="0.25">
      <c r="A124" s="148">
        <f>+'CARGA DE DATOS'!A125</f>
        <v>123</v>
      </c>
      <c r="B124" s="48" t="str">
        <f>+IF(RESULTADOS!H124="","",RESULTADOS!H124)</f>
        <v/>
      </c>
      <c r="C124" s="48" t="str">
        <f>+IF(RESULTADOS!D124="","",RESULTADOS!D124)</f>
        <v/>
      </c>
      <c r="D124" s="160" t="str">
        <f>+IF('CARGA DE DATOS'!K125="Cooperativa","COOP",IF(Salida!AT125="true","PROSU","GD"))</f>
        <v>GD</v>
      </c>
      <c r="E124" s="160" t="s">
        <v>9147</v>
      </c>
      <c r="F124" s="160" t="str">
        <f>+IF(OR(D124="COOP",'CARGA DE DATOS'!K125="GUMA"),"15.02.2022",IF('CARGA DE DATOS'!K125="GUME","05.02.2022","10.02.2022"))</f>
        <v>15.02.2022</v>
      </c>
      <c r="G124" s="163">
        <f>+IF(VLOOKUP(G$1,Lecturas!$N$1:$AA$20,$AC124,FALSE)=0,"",VLOOKUP(G$1,Lecturas!$N$1:$AA$20,$AC124,FALSE))</f>
        <v>150</v>
      </c>
      <c r="H124" s="163">
        <f>+IF(VLOOKUP(H$1,Lecturas!$N$1:$AA$20,$AC124,FALSE)=0,"",VLOOKUP(H$1,Lecturas!$N$1:$AA$20,$AC124,FALSE))</f>
        <v>300</v>
      </c>
      <c r="I124" s="163">
        <f>+IF(VLOOKUP(I$1,Lecturas!$N$1:$AA$20,$AC124,FALSE)=0,"",VLOOKUP(I$1,Lecturas!$N$1:$AA$20,$AC124,FALSE))</f>
        <v>350</v>
      </c>
      <c r="J124" s="156" t="str">
        <f>+IF(VLOOKUP(J$1,Lecturas!$N$1:$AA$20,$AC124,FALSE)=0,"",VLOOKUP(J$1,Lecturas!$N$1:$AA$20,$AC124,FALSE))</f>
        <v/>
      </c>
      <c r="K124" s="156" t="str">
        <f>+IF(VLOOKUP(K$1,Lecturas!$N$1:$AA$20,$AC124,FALSE)=0,"",VLOOKUP(K$1,Lecturas!$N$1:$AA$20,$AC124,FALSE))</f>
        <v/>
      </c>
      <c r="L124" s="156" t="str">
        <f>+IF(VLOOKUP(L$1,Lecturas!$N$1:$AA$20,$AC124,FALSE)=0,"",VLOOKUP(L$1,Lecturas!$N$1:$AA$20,$AC124,FALSE))</f>
        <v/>
      </c>
      <c r="M124" s="163">
        <f>+IF(VLOOKUP(M$1,Lecturas!$N$1:$AA$20,$AC124,FALSE)=0,"",VLOOKUP(M$1,Lecturas!$N$1:$AA$20,$AC124,FALSE))</f>
        <v>2500</v>
      </c>
      <c r="N124" s="163">
        <f>+IF(VLOOKUP(N$1,Lecturas!$N$1:$AA$20,$AC124,FALSE)=0,"",VLOOKUP(N$1,Lecturas!$N$1:$AA$20,$AC124,FALSE))</f>
        <v>2000</v>
      </c>
      <c r="O124" s="163">
        <f>+IF(VLOOKUP(O$1,Lecturas!$N$1:$AA$20,$AC124,FALSE)=0,"",VLOOKUP(O$1,Lecturas!$N$1:$AA$20,$AC124,FALSE))</f>
        <v>3000</v>
      </c>
      <c r="P124" s="156" t="str">
        <f>+IF(VLOOKUP(P$1,Lecturas!$N$1:$AA$20,$AC124,FALSE)=0,"",VLOOKUP(P$1,Lecturas!$N$1:$AA$20,$AC124,FALSE))</f>
        <v/>
      </c>
      <c r="Q124" s="156" t="str">
        <f>+IF(VLOOKUP(Q$1,Lecturas!$N$1:$AA$20,$AC124,FALSE)=0,"",VLOOKUP(Q$1,Lecturas!$N$1:$AA$20,$AC124,FALSE))</f>
        <v/>
      </c>
      <c r="R124" s="156" t="str">
        <f>+IF(VLOOKUP(R$1,Lecturas!$N$1:$AA$20,$AC124,FALSE)=0,"",VLOOKUP(R$1,Lecturas!$N$1:$AA$20,$AC124,FALSE))</f>
        <v/>
      </c>
      <c r="S124" s="163" t="str">
        <f>+IF(VLOOKUP(S$1,Lecturas!$N$1:$AA$20,$AC124,FALSE)=0,"",VLOOKUP(S$1,Lecturas!$N$1:$AA$20,$AC124,FALSE))</f>
        <v/>
      </c>
      <c r="T124" s="163" t="str">
        <f>+IF(VLOOKUP(T$1,Lecturas!$N$1:$AA$20,$AC124,FALSE)=0,"",VLOOKUP(T$1,Lecturas!$N$1:$AA$20,$AC124,FALSE))</f>
        <v/>
      </c>
      <c r="U124" s="163" t="str">
        <f>+IF(VLOOKUP(U$1,Lecturas!$N$1:$AA$20,$AC124,FALSE)=0,"",VLOOKUP(U$1,Lecturas!$N$1:$AA$20,$AC124,FALSE))</f>
        <v/>
      </c>
      <c r="V124" s="156" t="str">
        <f>+IF(VLOOKUP(V$1,Lecturas!$N$1:$AA$20,$AC124,FALSE)=0,"",VLOOKUP(V$1,Lecturas!$N$1:$AA$20,$AC124,FALSE))</f>
        <v/>
      </c>
      <c r="W124" s="156" t="str">
        <f>+IF(VLOOKUP(W$1,Lecturas!$N$1:$AA$20,$AC124,FALSE)=0,"",VLOOKUP(W$1,Lecturas!$N$1:$AA$20,$AC124,FALSE))</f>
        <v/>
      </c>
      <c r="X124" s="156" t="str">
        <f>+IF(VLOOKUP(X$1,Lecturas!$N$1:$AA$20,$AC124,FALSE)=0,"",VLOOKUP(X$1,Lecturas!$N$1:$AA$20,$AC124,FALSE))</f>
        <v/>
      </c>
      <c r="Y124" s="163">
        <f>+IF(VLOOKUP(Y$1,Lecturas!$N$1:$AA$20,$AC124,FALSE)=0,"",VLOOKUP(Y$1,Lecturas!$N$1:$AA$20,$AC124,FALSE))</f>
        <v>500</v>
      </c>
      <c r="Z124" s="48"/>
      <c r="AA124" s="48"/>
      <c r="AB124" s="48"/>
      <c r="AC124" s="148">
        <f>+'CARGA DE DATOS'!AF125</f>
        <v>8</v>
      </c>
    </row>
    <row r="125" spans="1:29" x14ac:dyDescent="0.25">
      <c r="A125" s="148">
        <f>+'CARGA DE DATOS'!A126</f>
        <v>124</v>
      </c>
      <c r="B125" s="48" t="str">
        <f>+IF(RESULTADOS!H125="","",RESULTADOS!H125)</f>
        <v/>
      </c>
      <c r="C125" s="48" t="str">
        <f>+IF(RESULTADOS!D125="","",RESULTADOS!D125)</f>
        <v/>
      </c>
      <c r="D125" s="160" t="str">
        <f>+IF('CARGA DE DATOS'!K126="Cooperativa","COOP",IF(Salida!AT126="true","PROSU","GD"))</f>
        <v>GD</v>
      </c>
      <c r="E125" s="160" t="s">
        <v>9147</v>
      </c>
      <c r="F125" s="160" t="str">
        <f>+IF(OR(D125="COOP",'CARGA DE DATOS'!K126="GUMA"),"15.02.2022",IF('CARGA DE DATOS'!K126="GUME","05.02.2022","10.02.2022"))</f>
        <v>15.02.2022</v>
      </c>
      <c r="G125" s="163">
        <f>+IF(VLOOKUP(G$1,Lecturas!$N$1:$AA$20,$AC125,FALSE)=0,"",VLOOKUP(G$1,Lecturas!$N$1:$AA$20,$AC125,FALSE))</f>
        <v>1500</v>
      </c>
      <c r="H125" s="163">
        <f>+IF(VLOOKUP(H$1,Lecturas!$N$1:$AA$20,$AC125,FALSE)=0,"",VLOOKUP(H$1,Lecturas!$N$1:$AA$20,$AC125,FALSE))</f>
        <v>300</v>
      </c>
      <c r="I125" s="163">
        <f>+IF(VLOOKUP(I$1,Lecturas!$N$1:$AA$20,$AC125,FALSE)=0,"",VLOOKUP(I$1,Lecturas!$N$1:$AA$20,$AC125,FALSE))</f>
        <v>350</v>
      </c>
      <c r="J125" s="156" t="str">
        <f>+IF(VLOOKUP(J$1,Lecturas!$N$1:$AA$20,$AC125,FALSE)=0,"",VLOOKUP(J$1,Lecturas!$N$1:$AA$20,$AC125,FALSE))</f>
        <v/>
      </c>
      <c r="K125" s="156" t="str">
        <f>+IF(VLOOKUP(K$1,Lecturas!$N$1:$AA$20,$AC125,FALSE)=0,"",VLOOKUP(K$1,Lecturas!$N$1:$AA$20,$AC125,FALSE))</f>
        <v/>
      </c>
      <c r="L125" s="156" t="str">
        <f>+IF(VLOOKUP(L$1,Lecturas!$N$1:$AA$20,$AC125,FALSE)=0,"",VLOOKUP(L$1,Lecturas!$N$1:$AA$20,$AC125,FALSE))</f>
        <v/>
      </c>
      <c r="M125" s="163">
        <f>+IF(VLOOKUP(M$1,Lecturas!$N$1:$AA$20,$AC125,FALSE)=0,"",VLOOKUP(M$1,Lecturas!$N$1:$AA$20,$AC125,FALSE))</f>
        <v>2500</v>
      </c>
      <c r="N125" s="163">
        <f>+IF(VLOOKUP(N$1,Lecturas!$N$1:$AA$20,$AC125,FALSE)=0,"",VLOOKUP(N$1,Lecturas!$N$1:$AA$20,$AC125,FALSE))</f>
        <v>2000</v>
      </c>
      <c r="O125" s="163">
        <f>+IF(VLOOKUP(O$1,Lecturas!$N$1:$AA$20,$AC125,FALSE)=0,"",VLOOKUP(O$1,Lecturas!$N$1:$AA$20,$AC125,FALSE))</f>
        <v>3000</v>
      </c>
      <c r="P125" s="156" t="str">
        <f>+IF(VLOOKUP(P$1,Lecturas!$N$1:$AA$20,$AC125,FALSE)=0,"",VLOOKUP(P$1,Lecturas!$N$1:$AA$20,$AC125,FALSE))</f>
        <v/>
      </c>
      <c r="Q125" s="156" t="str">
        <f>+IF(VLOOKUP(Q$1,Lecturas!$N$1:$AA$20,$AC125,FALSE)=0,"",VLOOKUP(Q$1,Lecturas!$N$1:$AA$20,$AC125,FALSE))</f>
        <v/>
      </c>
      <c r="R125" s="156" t="str">
        <f>+IF(VLOOKUP(R$1,Lecturas!$N$1:$AA$20,$AC125,FALSE)=0,"",VLOOKUP(R$1,Lecturas!$N$1:$AA$20,$AC125,FALSE))</f>
        <v/>
      </c>
      <c r="S125" s="163" t="str">
        <f>+IF(VLOOKUP(S$1,Lecturas!$N$1:$AA$20,$AC125,FALSE)=0,"",VLOOKUP(S$1,Lecturas!$N$1:$AA$20,$AC125,FALSE))</f>
        <v/>
      </c>
      <c r="T125" s="163" t="str">
        <f>+IF(VLOOKUP(T$1,Lecturas!$N$1:$AA$20,$AC125,FALSE)=0,"",VLOOKUP(T$1,Lecturas!$N$1:$AA$20,$AC125,FALSE))</f>
        <v/>
      </c>
      <c r="U125" s="163" t="str">
        <f>+IF(VLOOKUP(U$1,Lecturas!$N$1:$AA$20,$AC125,FALSE)=0,"",VLOOKUP(U$1,Lecturas!$N$1:$AA$20,$AC125,FALSE))</f>
        <v/>
      </c>
      <c r="V125" s="156" t="str">
        <f>+IF(VLOOKUP(V$1,Lecturas!$N$1:$AA$20,$AC125,FALSE)=0,"",VLOOKUP(V$1,Lecturas!$N$1:$AA$20,$AC125,FALSE))</f>
        <v/>
      </c>
      <c r="W125" s="156" t="str">
        <f>+IF(VLOOKUP(W$1,Lecturas!$N$1:$AA$20,$AC125,FALSE)=0,"",VLOOKUP(W$1,Lecturas!$N$1:$AA$20,$AC125,FALSE))</f>
        <v/>
      </c>
      <c r="X125" s="156" t="str">
        <f>+IF(VLOOKUP(X$1,Lecturas!$N$1:$AA$20,$AC125,FALSE)=0,"",VLOOKUP(X$1,Lecturas!$N$1:$AA$20,$AC125,FALSE))</f>
        <v/>
      </c>
      <c r="Y125" s="163">
        <f>+IF(VLOOKUP(Y$1,Lecturas!$N$1:$AA$20,$AC125,FALSE)=0,"",VLOOKUP(Y$1,Lecturas!$N$1:$AA$20,$AC125,FALSE))</f>
        <v>6500</v>
      </c>
      <c r="Z125" s="48"/>
      <c r="AA125" s="48"/>
      <c r="AB125" s="48"/>
      <c r="AC125" s="148">
        <f>+'CARGA DE DATOS'!AF126</f>
        <v>9</v>
      </c>
    </row>
    <row r="126" spans="1:29" x14ac:dyDescent="0.25">
      <c r="A126" s="148">
        <f>+'CARGA DE DATOS'!A127</f>
        <v>125</v>
      </c>
      <c r="B126" s="48" t="str">
        <f>+IF(RESULTADOS!H126="","",RESULTADOS!H126)</f>
        <v/>
      </c>
      <c r="C126" s="48" t="str">
        <f>+IF(RESULTADOS!D126="","",RESULTADOS!D126)</f>
        <v/>
      </c>
      <c r="D126" s="160" t="str">
        <f>+IF('CARGA DE DATOS'!K127="Cooperativa","COOP",IF(Salida!AT127="true","PROSU","GD"))</f>
        <v>GD</v>
      </c>
      <c r="E126" s="160" t="s">
        <v>9147</v>
      </c>
      <c r="F126" s="160" t="str">
        <f>+IF(OR(D126="COOP",'CARGA DE DATOS'!K127="GUMA"),"15.02.2022",IF('CARGA DE DATOS'!K127="GUME","05.02.2022","10.02.2022"))</f>
        <v>15.02.2022</v>
      </c>
      <c r="G126" s="163">
        <f>+IF(VLOOKUP(G$1,Lecturas!$N$1:$AA$20,$AC126,FALSE)=0,"",VLOOKUP(G$1,Lecturas!$N$1:$AA$20,$AC126,FALSE))</f>
        <v>150</v>
      </c>
      <c r="H126" s="163">
        <f>+IF(VLOOKUP(H$1,Lecturas!$N$1:$AA$20,$AC126,FALSE)=0,"",VLOOKUP(H$1,Lecturas!$N$1:$AA$20,$AC126,FALSE))</f>
        <v>150</v>
      </c>
      <c r="I126" s="163">
        <f>+IF(VLOOKUP(I$1,Lecturas!$N$1:$AA$20,$AC126,FALSE)=0,"",VLOOKUP(I$1,Lecturas!$N$1:$AA$20,$AC126,FALSE))</f>
        <v>150</v>
      </c>
      <c r="J126" s="156" t="str">
        <f>+IF(VLOOKUP(J$1,Lecturas!$N$1:$AA$20,$AC126,FALSE)=0,"",VLOOKUP(J$1,Lecturas!$N$1:$AA$20,$AC126,FALSE))</f>
        <v/>
      </c>
      <c r="K126" s="156" t="str">
        <f>+IF(VLOOKUP(K$1,Lecturas!$N$1:$AA$20,$AC126,FALSE)=0,"",VLOOKUP(K$1,Lecturas!$N$1:$AA$20,$AC126,FALSE))</f>
        <v/>
      </c>
      <c r="L126" s="156" t="str">
        <f>+IF(VLOOKUP(L$1,Lecturas!$N$1:$AA$20,$AC126,FALSE)=0,"",VLOOKUP(L$1,Lecturas!$N$1:$AA$20,$AC126,FALSE))</f>
        <v/>
      </c>
      <c r="M126" s="163">
        <f>+IF(VLOOKUP(M$1,Lecturas!$N$1:$AA$20,$AC126,FALSE)=0,"",VLOOKUP(M$1,Lecturas!$N$1:$AA$20,$AC126,FALSE))</f>
        <v>2500</v>
      </c>
      <c r="N126" s="163">
        <f>+IF(VLOOKUP(N$1,Lecturas!$N$1:$AA$20,$AC126,FALSE)=0,"",VLOOKUP(N$1,Lecturas!$N$1:$AA$20,$AC126,FALSE))</f>
        <v>2000</v>
      </c>
      <c r="O126" s="163">
        <f>+IF(VLOOKUP(O$1,Lecturas!$N$1:$AA$20,$AC126,FALSE)=0,"",VLOOKUP(O$1,Lecturas!$N$1:$AA$20,$AC126,FALSE))</f>
        <v>3000</v>
      </c>
      <c r="P126" s="156" t="str">
        <f>+IF(VLOOKUP(P$1,Lecturas!$N$1:$AA$20,$AC126,FALSE)=0,"",VLOOKUP(P$1,Lecturas!$N$1:$AA$20,$AC126,FALSE))</f>
        <v/>
      </c>
      <c r="Q126" s="156" t="str">
        <f>+IF(VLOOKUP(Q$1,Lecturas!$N$1:$AA$20,$AC126,FALSE)=0,"",VLOOKUP(Q$1,Lecturas!$N$1:$AA$20,$AC126,FALSE))</f>
        <v/>
      </c>
      <c r="R126" s="156" t="str">
        <f>+IF(VLOOKUP(R$1,Lecturas!$N$1:$AA$20,$AC126,FALSE)=0,"",VLOOKUP(R$1,Lecturas!$N$1:$AA$20,$AC126,FALSE))</f>
        <v/>
      </c>
      <c r="S126" s="163" t="str">
        <f>+IF(VLOOKUP(S$1,Lecturas!$N$1:$AA$20,$AC126,FALSE)=0,"",VLOOKUP(S$1,Lecturas!$N$1:$AA$20,$AC126,FALSE))</f>
        <v/>
      </c>
      <c r="T126" s="163" t="str">
        <f>+IF(VLOOKUP(T$1,Lecturas!$N$1:$AA$20,$AC126,FALSE)=0,"",VLOOKUP(T$1,Lecturas!$N$1:$AA$20,$AC126,FALSE))</f>
        <v/>
      </c>
      <c r="U126" s="163" t="str">
        <f>+IF(VLOOKUP(U$1,Lecturas!$N$1:$AA$20,$AC126,FALSE)=0,"",VLOOKUP(U$1,Lecturas!$N$1:$AA$20,$AC126,FALSE))</f>
        <v/>
      </c>
      <c r="V126" s="156" t="str">
        <f>+IF(VLOOKUP(V$1,Lecturas!$N$1:$AA$20,$AC126,FALSE)=0,"",VLOOKUP(V$1,Lecturas!$N$1:$AA$20,$AC126,FALSE))</f>
        <v/>
      </c>
      <c r="W126" s="156" t="str">
        <f>+IF(VLOOKUP(W$1,Lecturas!$N$1:$AA$20,$AC126,FALSE)=0,"",VLOOKUP(W$1,Lecturas!$N$1:$AA$20,$AC126,FALSE))</f>
        <v/>
      </c>
      <c r="X126" s="156" t="str">
        <f>+IF(VLOOKUP(X$1,Lecturas!$N$1:$AA$20,$AC126,FALSE)=0,"",VLOOKUP(X$1,Lecturas!$N$1:$AA$20,$AC126,FALSE))</f>
        <v/>
      </c>
      <c r="Y126" s="163">
        <f>+IF(VLOOKUP(Y$1,Lecturas!$N$1:$AA$20,$AC126,FALSE)=0,"",VLOOKUP(Y$1,Lecturas!$N$1:$AA$20,$AC126,FALSE))</f>
        <v>5000</v>
      </c>
      <c r="Z126" s="48"/>
      <c r="AA126" s="48"/>
      <c r="AB126" s="48"/>
      <c r="AC126" s="148">
        <f>+'CARGA DE DATOS'!AF127</f>
        <v>2</v>
      </c>
    </row>
    <row r="127" spans="1:29" x14ac:dyDescent="0.25">
      <c r="A127" s="148">
        <f>+'CARGA DE DATOS'!A128</f>
        <v>126</v>
      </c>
      <c r="B127" s="48" t="str">
        <f>+IF(RESULTADOS!H127="","",RESULTADOS!H127)</f>
        <v/>
      </c>
      <c r="C127" s="48" t="str">
        <f>+IF(RESULTADOS!D127="","",RESULTADOS!D127)</f>
        <v/>
      </c>
      <c r="D127" s="160" t="str">
        <f>+IF('CARGA DE DATOS'!K128="Cooperativa","COOP",IF(Salida!AT128="true","PROSU","GD"))</f>
        <v>GD</v>
      </c>
      <c r="E127" s="160" t="s">
        <v>9147</v>
      </c>
      <c r="F127" s="160" t="str">
        <f>+IF(OR(D127="COOP",'CARGA DE DATOS'!K128="GUMA"),"15.02.2022",IF('CARGA DE DATOS'!K128="GUME","05.02.2022","10.02.2022"))</f>
        <v>15.02.2022</v>
      </c>
      <c r="G127" s="163">
        <f>+IF(VLOOKUP(G$1,Lecturas!$N$1:$AA$20,$AC127,FALSE)=0,"",VLOOKUP(G$1,Lecturas!$N$1:$AA$20,$AC127,FALSE))</f>
        <v>150</v>
      </c>
      <c r="H127" s="163">
        <f>+IF(VLOOKUP(H$1,Lecturas!$N$1:$AA$20,$AC127,FALSE)=0,"",VLOOKUP(H$1,Lecturas!$N$1:$AA$20,$AC127,FALSE))</f>
        <v>300</v>
      </c>
      <c r="I127" s="163">
        <f>+IF(VLOOKUP(I$1,Lecturas!$N$1:$AA$20,$AC127,FALSE)=0,"",VLOOKUP(I$1,Lecturas!$N$1:$AA$20,$AC127,FALSE))</f>
        <v>350</v>
      </c>
      <c r="J127" s="156" t="str">
        <f>+IF(VLOOKUP(J$1,Lecturas!$N$1:$AA$20,$AC127,FALSE)=0,"",VLOOKUP(J$1,Lecturas!$N$1:$AA$20,$AC127,FALSE))</f>
        <v/>
      </c>
      <c r="K127" s="156" t="str">
        <f>+IF(VLOOKUP(K$1,Lecturas!$N$1:$AA$20,$AC127,FALSE)=0,"",VLOOKUP(K$1,Lecturas!$N$1:$AA$20,$AC127,FALSE))</f>
        <v/>
      </c>
      <c r="L127" s="156" t="str">
        <f>+IF(VLOOKUP(L$1,Lecturas!$N$1:$AA$20,$AC127,FALSE)=0,"",VLOOKUP(L$1,Lecturas!$N$1:$AA$20,$AC127,FALSE))</f>
        <v/>
      </c>
      <c r="M127" s="163">
        <f>+IF(VLOOKUP(M$1,Lecturas!$N$1:$AA$20,$AC127,FALSE)=0,"",VLOOKUP(M$1,Lecturas!$N$1:$AA$20,$AC127,FALSE))</f>
        <v>2500</v>
      </c>
      <c r="N127" s="163">
        <f>+IF(VLOOKUP(N$1,Lecturas!$N$1:$AA$20,$AC127,FALSE)=0,"",VLOOKUP(N$1,Lecturas!$N$1:$AA$20,$AC127,FALSE))</f>
        <v>2000</v>
      </c>
      <c r="O127" s="163">
        <f>+IF(VLOOKUP(O$1,Lecturas!$N$1:$AA$20,$AC127,FALSE)=0,"",VLOOKUP(O$1,Lecturas!$N$1:$AA$20,$AC127,FALSE))</f>
        <v>3000</v>
      </c>
      <c r="P127" s="156" t="str">
        <f>+IF(VLOOKUP(P$1,Lecturas!$N$1:$AA$20,$AC127,FALSE)=0,"",VLOOKUP(P$1,Lecturas!$N$1:$AA$20,$AC127,FALSE))</f>
        <v/>
      </c>
      <c r="Q127" s="156" t="str">
        <f>+IF(VLOOKUP(Q$1,Lecturas!$N$1:$AA$20,$AC127,FALSE)=0,"",VLOOKUP(Q$1,Lecturas!$N$1:$AA$20,$AC127,FALSE))</f>
        <v/>
      </c>
      <c r="R127" s="156" t="str">
        <f>+IF(VLOOKUP(R$1,Lecturas!$N$1:$AA$20,$AC127,FALSE)=0,"",VLOOKUP(R$1,Lecturas!$N$1:$AA$20,$AC127,FALSE))</f>
        <v/>
      </c>
      <c r="S127" s="163" t="str">
        <f>+IF(VLOOKUP(S$1,Lecturas!$N$1:$AA$20,$AC127,FALSE)=0,"",VLOOKUP(S$1,Lecturas!$N$1:$AA$20,$AC127,FALSE))</f>
        <v/>
      </c>
      <c r="T127" s="163" t="str">
        <f>+IF(VLOOKUP(T$1,Lecturas!$N$1:$AA$20,$AC127,FALSE)=0,"",VLOOKUP(T$1,Lecturas!$N$1:$AA$20,$AC127,FALSE))</f>
        <v/>
      </c>
      <c r="U127" s="163" t="str">
        <f>+IF(VLOOKUP(U$1,Lecturas!$N$1:$AA$20,$AC127,FALSE)=0,"",VLOOKUP(U$1,Lecturas!$N$1:$AA$20,$AC127,FALSE))</f>
        <v/>
      </c>
      <c r="V127" s="156" t="str">
        <f>+IF(VLOOKUP(V$1,Lecturas!$N$1:$AA$20,$AC127,FALSE)=0,"",VLOOKUP(V$1,Lecturas!$N$1:$AA$20,$AC127,FALSE))</f>
        <v/>
      </c>
      <c r="W127" s="156" t="str">
        <f>+IF(VLOOKUP(W$1,Lecturas!$N$1:$AA$20,$AC127,FALSE)=0,"",VLOOKUP(W$1,Lecturas!$N$1:$AA$20,$AC127,FALSE))</f>
        <v/>
      </c>
      <c r="X127" s="156" t="str">
        <f>+IF(VLOOKUP(X$1,Lecturas!$N$1:$AA$20,$AC127,FALSE)=0,"",VLOOKUP(X$1,Lecturas!$N$1:$AA$20,$AC127,FALSE))</f>
        <v/>
      </c>
      <c r="Y127" s="163">
        <f>+IF(VLOOKUP(Y$1,Lecturas!$N$1:$AA$20,$AC127,FALSE)=0,"",VLOOKUP(Y$1,Lecturas!$N$1:$AA$20,$AC127,FALSE))</f>
        <v>2460</v>
      </c>
      <c r="Z127" s="48"/>
      <c r="AA127" s="48"/>
      <c r="AB127" s="48"/>
      <c r="AC127" s="148">
        <f>+'CARGA DE DATOS'!AF128</f>
        <v>5</v>
      </c>
    </row>
    <row r="128" spans="1:29" x14ac:dyDescent="0.25">
      <c r="A128" s="148">
        <f>+'CARGA DE DATOS'!A129</f>
        <v>127</v>
      </c>
      <c r="B128" s="48" t="str">
        <f>+IF(RESULTADOS!H128="","",RESULTADOS!H128)</f>
        <v/>
      </c>
      <c r="C128" s="48" t="str">
        <f>+IF(RESULTADOS!D128="","",RESULTADOS!D128)</f>
        <v/>
      </c>
      <c r="D128" s="160" t="str">
        <f>+IF('CARGA DE DATOS'!K129="Cooperativa","COOP",IF(Salida!AT129="true","PROSU","GD"))</f>
        <v>GD</v>
      </c>
      <c r="E128" s="160" t="s">
        <v>9147</v>
      </c>
      <c r="F128" s="160" t="str">
        <f>+IF(OR(D128="COOP",'CARGA DE DATOS'!K129="GUMA"),"15.02.2022",IF('CARGA DE DATOS'!K129="GUME","05.02.2022","10.02.2022"))</f>
        <v>15.02.2022</v>
      </c>
      <c r="G128" s="163">
        <f>+IF(VLOOKUP(G$1,Lecturas!$N$1:$AA$20,$AC128,FALSE)=0,"",VLOOKUP(G$1,Lecturas!$N$1:$AA$20,$AC128,FALSE))</f>
        <v>150</v>
      </c>
      <c r="H128" s="163">
        <f>+IF(VLOOKUP(H$1,Lecturas!$N$1:$AA$20,$AC128,FALSE)=0,"",VLOOKUP(H$1,Lecturas!$N$1:$AA$20,$AC128,FALSE))</f>
        <v>150</v>
      </c>
      <c r="I128" s="163">
        <f>+IF(VLOOKUP(I$1,Lecturas!$N$1:$AA$20,$AC128,FALSE)=0,"",VLOOKUP(I$1,Lecturas!$N$1:$AA$20,$AC128,FALSE))</f>
        <v>150</v>
      </c>
      <c r="J128" s="156" t="str">
        <f>+IF(VLOOKUP(J$1,Lecturas!$N$1:$AA$20,$AC128,FALSE)=0,"",VLOOKUP(J$1,Lecturas!$N$1:$AA$20,$AC128,FALSE))</f>
        <v/>
      </c>
      <c r="K128" s="156" t="str">
        <f>+IF(VLOOKUP(K$1,Lecturas!$N$1:$AA$20,$AC128,FALSE)=0,"",VLOOKUP(K$1,Lecturas!$N$1:$AA$20,$AC128,FALSE))</f>
        <v/>
      </c>
      <c r="L128" s="156" t="str">
        <f>+IF(VLOOKUP(L$1,Lecturas!$N$1:$AA$20,$AC128,FALSE)=0,"",VLOOKUP(L$1,Lecturas!$N$1:$AA$20,$AC128,FALSE))</f>
        <v/>
      </c>
      <c r="M128" s="163">
        <f>+IF(VLOOKUP(M$1,Lecturas!$N$1:$AA$20,$AC128,FALSE)=0,"",VLOOKUP(M$1,Lecturas!$N$1:$AA$20,$AC128,FALSE))</f>
        <v>2500</v>
      </c>
      <c r="N128" s="163">
        <f>+IF(VLOOKUP(N$1,Lecturas!$N$1:$AA$20,$AC128,FALSE)=0,"",VLOOKUP(N$1,Lecturas!$N$1:$AA$20,$AC128,FALSE))</f>
        <v>2000</v>
      </c>
      <c r="O128" s="163">
        <f>+IF(VLOOKUP(O$1,Lecturas!$N$1:$AA$20,$AC128,FALSE)=0,"",VLOOKUP(O$1,Lecturas!$N$1:$AA$20,$AC128,FALSE))</f>
        <v>3000</v>
      </c>
      <c r="P128" s="156" t="str">
        <f>+IF(VLOOKUP(P$1,Lecturas!$N$1:$AA$20,$AC128,FALSE)=0,"",VLOOKUP(P$1,Lecturas!$N$1:$AA$20,$AC128,FALSE))</f>
        <v/>
      </c>
      <c r="Q128" s="156" t="str">
        <f>+IF(VLOOKUP(Q$1,Lecturas!$N$1:$AA$20,$AC128,FALSE)=0,"",VLOOKUP(Q$1,Lecturas!$N$1:$AA$20,$AC128,FALSE))</f>
        <v/>
      </c>
      <c r="R128" s="156" t="str">
        <f>+IF(VLOOKUP(R$1,Lecturas!$N$1:$AA$20,$AC128,FALSE)=0,"",VLOOKUP(R$1,Lecturas!$N$1:$AA$20,$AC128,FALSE))</f>
        <v/>
      </c>
      <c r="S128" s="163" t="str">
        <f>+IF(VLOOKUP(S$1,Lecturas!$N$1:$AA$20,$AC128,FALSE)=0,"",VLOOKUP(S$1,Lecturas!$N$1:$AA$20,$AC128,FALSE))</f>
        <v/>
      </c>
      <c r="T128" s="163" t="str">
        <f>+IF(VLOOKUP(T$1,Lecturas!$N$1:$AA$20,$AC128,FALSE)=0,"",VLOOKUP(T$1,Lecturas!$N$1:$AA$20,$AC128,FALSE))</f>
        <v/>
      </c>
      <c r="U128" s="163" t="str">
        <f>+IF(VLOOKUP(U$1,Lecturas!$N$1:$AA$20,$AC128,FALSE)=0,"",VLOOKUP(U$1,Lecturas!$N$1:$AA$20,$AC128,FALSE))</f>
        <v/>
      </c>
      <c r="V128" s="156" t="str">
        <f>+IF(VLOOKUP(V$1,Lecturas!$N$1:$AA$20,$AC128,FALSE)=0,"",VLOOKUP(V$1,Lecturas!$N$1:$AA$20,$AC128,FALSE))</f>
        <v/>
      </c>
      <c r="W128" s="156" t="str">
        <f>+IF(VLOOKUP(W$1,Lecturas!$N$1:$AA$20,$AC128,FALSE)=0,"",VLOOKUP(W$1,Lecturas!$N$1:$AA$20,$AC128,FALSE))</f>
        <v/>
      </c>
      <c r="X128" s="156" t="str">
        <f>+IF(VLOOKUP(X$1,Lecturas!$N$1:$AA$20,$AC128,FALSE)=0,"",VLOOKUP(X$1,Lecturas!$N$1:$AA$20,$AC128,FALSE))</f>
        <v/>
      </c>
      <c r="Y128" s="163">
        <f>+IF(VLOOKUP(Y$1,Lecturas!$N$1:$AA$20,$AC128,FALSE)=0,"",VLOOKUP(Y$1,Lecturas!$N$1:$AA$20,$AC128,FALSE))</f>
        <v>5000</v>
      </c>
      <c r="Z128" s="48"/>
      <c r="AA128" s="48"/>
      <c r="AB128" s="48"/>
      <c r="AC128" s="148">
        <f>+'CARGA DE DATOS'!AF129</f>
        <v>2</v>
      </c>
    </row>
    <row r="129" spans="1:29" x14ac:dyDescent="0.25">
      <c r="A129" s="148">
        <f>+'CARGA DE DATOS'!A130</f>
        <v>128</v>
      </c>
      <c r="B129" s="48" t="str">
        <f>+IF(RESULTADOS!H129="","",RESULTADOS!H129)</f>
        <v/>
      </c>
      <c r="C129" s="48" t="str">
        <f>+IF(RESULTADOS!D129="","",RESULTADOS!D129)</f>
        <v/>
      </c>
      <c r="D129" s="160" t="str">
        <f>+IF('CARGA DE DATOS'!K130="Cooperativa","COOP",IF(Salida!AT130="true","PROSU","GD"))</f>
        <v>GD</v>
      </c>
      <c r="E129" s="160" t="s">
        <v>9147</v>
      </c>
      <c r="F129" s="160" t="str">
        <f>+IF(OR(D129="COOP",'CARGA DE DATOS'!K130="GUMA"),"15.02.2022",IF('CARGA DE DATOS'!K130="GUME","05.02.2022","10.02.2022"))</f>
        <v>15.02.2022</v>
      </c>
      <c r="G129" s="163">
        <f>+IF(VLOOKUP(G$1,Lecturas!$N$1:$AA$20,$AC129,FALSE)=0,"",VLOOKUP(G$1,Lecturas!$N$1:$AA$20,$AC129,FALSE))</f>
        <v>150</v>
      </c>
      <c r="H129" s="163">
        <f>+IF(VLOOKUP(H$1,Lecturas!$N$1:$AA$20,$AC129,FALSE)=0,"",VLOOKUP(H$1,Lecturas!$N$1:$AA$20,$AC129,FALSE))</f>
        <v>150</v>
      </c>
      <c r="I129" s="163">
        <f>+IF(VLOOKUP(I$1,Lecturas!$N$1:$AA$20,$AC129,FALSE)=0,"",VLOOKUP(I$1,Lecturas!$N$1:$AA$20,$AC129,FALSE))</f>
        <v>150</v>
      </c>
      <c r="J129" s="156" t="str">
        <f>+IF(VLOOKUP(J$1,Lecturas!$N$1:$AA$20,$AC129,FALSE)=0,"",VLOOKUP(J$1,Lecturas!$N$1:$AA$20,$AC129,FALSE))</f>
        <v/>
      </c>
      <c r="K129" s="156" t="str">
        <f>+IF(VLOOKUP(K$1,Lecturas!$N$1:$AA$20,$AC129,FALSE)=0,"",VLOOKUP(K$1,Lecturas!$N$1:$AA$20,$AC129,FALSE))</f>
        <v/>
      </c>
      <c r="L129" s="156" t="str">
        <f>+IF(VLOOKUP(L$1,Lecturas!$N$1:$AA$20,$AC129,FALSE)=0,"",VLOOKUP(L$1,Lecturas!$N$1:$AA$20,$AC129,FALSE))</f>
        <v/>
      </c>
      <c r="M129" s="163">
        <f>+IF(VLOOKUP(M$1,Lecturas!$N$1:$AA$20,$AC129,FALSE)=0,"",VLOOKUP(M$1,Lecturas!$N$1:$AA$20,$AC129,FALSE))</f>
        <v>2500</v>
      </c>
      <c r="N129" s="163">
        <f>+IF(VLOOKUP(N$1,Lecturas!$N$1:$AA$20,$AC129,FALSE)=0,"",VLOOKUP(N$1,Lecturas!$N$1:$AA$20,$AC129,FALSE))</f>
        <v>2000</v>
      </c>
      <c r="O129" s="163">
        <f>+IF(VLOOKUP(O$1,Lecturas!$N$1:$AA$20,$AC129,FALSE)=0,"",VLOOKUP(O$1,Lecturas!$N$1:$AA$20,$AC129,FALSE))</f>
        <v>3000</v>
      </c>
      <c r="P129" s="156" t="str">
        <f>+IF(VLOOKUP(P$1,Lecturas!$N$1:$AA$20,$AC129,FALSE)=0,"",VLOOKUP(P$1,Lecturas!$N$1:$AA$20,$AC129,FALSE))</f>
        <v/>
      </c>
      <c r="Q129" s="156" t="str">
        <f>+IF(VLOOKUP(Q$1,Lecturas!$N$1:$AA$20,$AC129,FALSE)=0,"",VLOOKUP(Q$1,Lecturas!$N$1:$AA$20,$AC129,FALSE))</f>
        <v/>
      </c>
      <c r="R129" s="156" t="str">
        <f>+IF(VLOOKUP(R$1,Lecturas!$N$1:$AA$20,$AC129,FALSE)=0,"",VLOOKUP(R$1,Lecturas!$N$1:$AA$20,$AC129,FALSE))</f>
        <v/>
      </c>
      <c r="S129" s="163" t="str">
        <f>+IF(VLOOKUP(S$1,Lecturas!$N$1:$AA$20,$AC129,FALSE)=0,"",VLOOKUP(S$1,Lecturas!$N$1:$AA$20,$AC129,FALSE))</f>
        <v/>
      </c>
      <c r="T129" s="163" t="str">
        <f>+IF(VLOOKUP(T$1,Lecturas!$N$1:$AA$20,$AC129,FALSE)=0,"",VLOOKUP(T$1,Lecturas!$N$1:$AA$20,$AC129,FALSE))</f>
        <v/>
      </c>
      <c r="U129" s="163" t="str">
        <f>+IF(VLOOKUP(U$1,Lecturas!$N$1:$AA$20,$AC129,FALSE)=0,"",VLOOKUP(U$1,Lecturas!$N$1:$AA$20,$AC129,FALSE))</f>
        <v/>
      </c>
      <c r="V129" s="156" t="str">
        <f>+IF(VLOOKUP(V$1,Lecturas!$N$1:$AA$20,$AC129,FALSE)=0,"",VLOOKUP(V$1,Lecturas!$N$1:$AA$20,$AC129,FALSE))</f>
        <v/>
      </c>
      <c r="W129" s="156" t="str">
        <f>+IF(VLOOKUP(W$1,Lecturas!$N$1:$AA$20,$AC129,FALSE)=0,"",VLOOKUP(W$1,Lecturas!$N$1:$AA$20,$AC129,FALSE))</f>
        <v/>
      </c>
      <c r="X129" s="156" t="str">
        <f>+IF(VLOOKUP(X$1,Lecturas!$N$1:$AA$20,$AC129,FALSE)=0,"",VLOOKUP(X$1,Lecturas!$N$1:$AA$20,$AC129,FALSE))</f>
        <v/>
      </c>
      <c r="Y129" s="163">
        <f>+IF(VLOOKUP(Y$1,Lecturas!$N$1:$AA$20,$AC129,FALSE)=0,"",VLOOKUP(Y$1,Lecturas!$N$1:$AA$20,$AC129,FALSE))</f>
        <v>5000</v>
      </c>
      <c r="Z129" s="48"/>
      <c r="AA129" s="48"/>
      <c r="AB129" s="48"/>
      <c r="AC129" s="148">
        <f>+'CARGA DE DATOS'!AF130</f>
        <v>2</v>
      </c>
    </row>
    <row r="130" spans="1:29" x14ac:dyDescent="0.25">
      <c r="A130" s="148">
        <f>+'CARGA DE DATOS'!A131</f>
        <v>129</v>
      </c>
      <c r="B130" s="48" t="str">
        <f>+IF(RESULTADOS!H130="","",RESULTADOS!H130)</f>
        <v/>
      </c>
      <c r="C130" s="48" t="str">
        <f>+IF(RESULTADOS!D130="","",RESULTADOS!D130)</f>
        <v/>
      </c>
      <c r="D130" s="160" t="str">
        <f>+IF('CARGA DE DATOS'!K131="Cooperativa","COOP",IF(Salida!AT131="true","PROSU","GD"))</f>
        <v>GD</v>
      </c>
      <c r="E130" s="160" t="s">
        <v>9147</v>
      </c>
      <c r="F130" s="160" t="str">
        <f>+IF(OR(D130="COOP",'CARGA DE DATOS'!K131="GUMA"),"15.02.2022",IF('CARGA DE DATOS'!K131="GUME","05.02.2022","10.02.2022"))</f>
        <v>15.02.2022</v>
      </c>
      <c r="G130" s="163">
        <f>+IF(VLOOKUP(G$1,Lecturas!$N$1:$AA$20,$AC130,FALSE)=0,"",VLOOKUP(G$1,Lecturas!$N$1:$AA$20,$AC130,FALSE))</f>
        <v>150</v>
      </c>
      <c r="H130" s="163">
        <f>+IF(VLOOKUP(H$1,Lecturas!$N$1:$AA$20,$AC130,FALSE)=0,"",VLOOKUP(H$1,Lecturas!$N$1:$AA$20,$AC130,FALSE))</f>
        <v>300</v>
      </c>
      <c r="I130" s="163">
        <f>+IF(VLOOKUP(I$1,Lecturas!$N$1:$AA$20,$AC130,FALSE)=0,"",VLOOKUP(I$1,Lecturas!$N$1:$AA$20,$AC130,FALSE))</f>
        <v>350</v>
      </c>
      <c r="J130" s="156" t="str">
        <f>+IF(VLOOKUP(J$1,Lecturas!$N$1:$AA$20,$AC130,FALSE)=0,"",VLOOKUP(J$1,Lecturas!$N$1:$AA$20,$AC130,FALSE))</f>
        <v/>
      </c>
      <c r="K130" s="156" t="str">
        <f>+IF(VLOOKUP(K$1,Lecturas!$N$1:$AA$20,$AC130,FALSE)=0,"",VLOOKUP(K$1,Lecturas!$N$1:$AA$20,$AC130,FALSE))</f>
        <v/>
      </c>
      <c r="L130" s="156" t="str">
        <f>+IF(VLOOKUP(L$1,Lecturas!$N$1:$AA$20,$AC130,FALSE)=0,"",VLOOKUP(L$1,Lecturas!$N$1:$AA$20,$AC130,FALSE))</f>
        <v/>
      </c>
      <c r="M130" s="163">
        <f>+IF(VLOOKUP(M$1,Lecturas!$N$1:$AA$20,$AC130,FALSE)=0,"",VLOOKUP(M$1,Lecturas!$N$1:$AA$20,$AC130,FALSE))</f>
        <v>2500</v>
      </c>
      <c r="N130" s="163">
        <f>+IF(VLOOKUP(N$1,Lecturas!$N$1:$AA$20,$AC130,FALSE)=0,"",VLOOKUP(N$1,Lecturas!$N$1:$AA$20,$AC130,FALSE))</f>
        <v>2000</v>
      </c>
      <c r="O130" s="163">
        <f>+IF(VLOOKUP(O$1,Lecturas!$N$1:$AA$20,$AC130,FALSE)=0,"",VLOOKUP(O$1,Lecturas!$N$1:$AA$20,$AC130,FALSE))</f>
        <v>3000</v>
      </c>
      <c r="P130" s="156" t="str">
        <f>+IF(VLOOKUP(P$1,Lecturas!$N$1:$AA$20,$AC130,FALSE)=0,"",VLOOKUP(P$1,Lecturas!$N$1:$AA$20,$AC130,FALSE))</f>
        <v/>
      </c>
      <c r="Q130" s="156" t="str">
        <f>+IF(VLOOKUP(Q$1,Lecturas!$N$1:$AA$20,$AC130,FALSE)=0,"",VLOOKUP(Q$1,Lecturas!$N$1:$AA$20,$AC130,FALSE))</f>
        <v/>
      </c>
      <c r="R130" s="156" t="str">
        <f>+IF(VLOOKUP(R$1,Lecturas!$N$1:$AA$20,$AC130,FALSE)=0,"",VLOOKUP(R$1,Lecturas!$N$1:$AA$20,$AC130,FALSE))</f>
        <v/>
      </c>
      <c r="S130" s="163" t="str">
        <f>+IF(VLOOKUP(S$1,Lecturas!$N$1:$AA$20,$AC130,FALSE)=0,"",VLOOKUP(S$1,Lecturas!$N$1:$AA$20,$AC130,FALSE))</f>
        <v/>
      </c>
      <c r="T130" s="163" t="str">
        <f>+IF(VLOOKUP(T$1,Lecturas!$N$1:$AA$20,$AC130,FALSE)=0,"",VLOOKUP(T$1,Lecturas!$N$1:$AA$20,$AC130,FALSE))</f>
        <v/>
      </c>
      <c r="U130" s="163" t="str">
        <f>+IF(VLOOKUP(U$1,Lecturas!$N$1:$AA$20,$AC130,FALSE)=0,"",VLOOKUP(U$1,Lecturas!$N$1:$AA$20,$AC130,FALSE))</f>
        <v/>
      </c>
      <c r="V130" s="156" t="str">
        <f>+IF(VLOOKUP(V$1,Lecturas!$N$1:$AA$20,$AC130,FALSE)=0,"",VLOOKUP(V$1,Lecturas!$N$1:$AA$20,$AC130,FALSE))</f>
        <v/>
      </c>
      <c r="W130" s="156" t="str">
        <f>+IF(VLOOKUP(W$1,Lecturas!$N$1:$AA$20,$AC130,FALSE)=0,"",VLOOKUP(W$1,Lecturas!$N$1:$AA$20,$AC130,FALSE))</f>
        <v/>
      </c>
      <c r="X130" s="156" t="str">
        <f>+IF(VLOOKUP(X$1,Lecturas!$N$1:$AA$20,$AC130,FALSE)=0,"",VLOOKUP(X$1,Lecturas!$N$1:$AA$20,$AC130,FALSE))</f>
        <v/>
      </c>
      <c r="Y130" s="163">
        <f>+IF(VLOOKUP(Y$1,Lecturas!$N$1:$AA$20,$AC130,FALSE)=0,"",VLOOKUP(Y$1,Lecturas!$N$1:$AA$20,$AC130,FALSE))</f>
        <v>2460</v>
      </c>
      <c r="Z130" s="48"/>
      <c r="AA130" s="48"/>
      <c r="AB130" s="48"/>
      <c r="AC130" s="148">
        <f>+'CARGA DE DATOS'!AF131</f>
        <v>5</v>
      </c>
    </row>
    <row r="131" spans="1:29" x14ac:dyDescent="0.25">
      <c r="A131" s="148">
        <f>+'CARGA DE DATOS'!A132</f>
        <v>130</v>
      </c>
      <c r="B131" s="48" t="str">
        <f>+IF(RESULTADOS!H131="","",RESULTADOS!H131)</f>
        <v/>
      </c>
      <c r="C131" s="48" t="str">
        <f>+IF(RESULTADOS!D131="","",RESULTADOS!D131)</f>
        <v/>
      </c>
      <c r="D131" s="160" t="str">
        <f>+IF('CARGA DE DATOS'!K132="Cooperativa","COOP",IF(Salida!AT132="true","PROSU","GD"))</f>
        <v>GD</v>
      </c>
      <c r="E131" s="160" t="s">
        <v>9147</v>
      </c>
      <c r="F131" s="160" t="str">
        <f>+IF(OR(D131="COOP",'CARGA DE DATOS'!K132="GUMA"),"15.02.2022",IF('CARGA DE DATOS'!K132="GUME","05.02.2022","10.02.2022"))</f>
        <v>05.02.2022</v>
      </c>
      <c r="G131" s="163">
        <f>+IF(VLOOKUP(G$1,Lecturas!$N$1:$AA$20,$AC131,FALSE)=0,"",VLOOKUP(G$1,Lecturas!$N$1:$AA$20,$AC131,FALSE))</f>
        <v>150</v>
      </c>
      <c r="H131" s="163">
        <f>+IF(VLOOKUP(H$1,Lecturas!$N$1:$AA$20,$AC131,FALSE)=0,"",VLOOKUP(H$1,Lecturas!$N$1:$AA$20,$AC131,FALSE))</f>
        <v>150</v>
      </c>
      <c r="I131" s="163">
        <f>+IF(VLOOKUP(I$1,Lecturas!$N$1:$AA$20,$AC131,FALSE)=0,"",VLOOKUP(I$1,Lecturas!$N$1:$AA$20,$AC131,FALSE))</f>
        <v>150</v>
      </c>
      <c r="J131" s="156" t="str">
        <f>+IF(VLOOKUP(J$1,Lecturas!$N$1:$AA$20,$AC131,FALSE)=0,"",VLOOKUP(J$1,Lecturas!$N$1:$AA$20,$AC131,FALSE))</f>
        <v/>
      </c>
      <c r="K131" s="156" t="str">
        <f>+IF(VLOOKUP(K$1,Lecturas!$N$1:$AA$20,$AC131,FALSE)=0,"",VLOOKUP(K$1,Lecturas!$N$1:$AA$20,$AC131,FALSE))</f>
        <v/>
      </c>
      <c r="L131" s="156" t="str">
        <f>+IF(VLOOKUP(L$1,Lecturas!$N$1:$AA$20,$AC131,FALSE)=0,"",VLOOKUP(L$1,Lecturas!$N$1:$AA$20,$AC131,FALSE))</f>
        <v/>
      </c>
      <c r="M131" s="163">
        <f>+IF(VLOOKUP(M$1,Lecturas!$N$1:$AA$20,$AC131,FALSE)=0,"",VLOOKUP(M$1,Lecturas!$N$1:$AA$20,$AC131,FALSE))</f>
        <v>2500</v>
      </c>
      <c r="N131" s="163">
        <f>+IF(VLOOKUP(N$1,Lecturas!$N$1:$AA$20,$AC131,FALSE)=0,"",VLOOKUP(N$1,Lecturas!$N$1:$AA$20,$AC131,FALSE))</f>
        <v>2000</v>
      </c>
      <c r="O131" s="163">
        <f>+IF(VLOOKUP(O$1,Lecturas!$N$1:$AA$20,$AC131,FALSE)=0,"",VLOOKUP(O$1,Lecturas!$N$1:$AA$20,$AC131,FALSE))</f>
        <v>3000</v>
      </c>
      <c r="P131" s="156" t="str">
        <f>+IF(VLOOKUP(P$1,Lecturas!$N$1:$AA$20,$AC131,FALSE)=0,"",VLOOKUP(P$1,Lecturas!$N$1:$AA$20,$AC131,FALSE))</f>
        <v/>
      </c>
      <c r="Q131" s="156" t="str">
        <f>+IF(VLOOKUP(Q$1,Lecturas!$N$1:$AA$20,$AC131,FALSE)=0,"",VLOOKUP(Q$1,Lecturas!$N$1:$AA$20,$AC131,FALSE))</f>
        <v/>
      </c>
      <c r="R131" s="156" t="str">
        <f>+IF(VLOOKUP(R$1,Lecturas!$N$1:$AA$20,$AC131,FALSE)=0,"",VLOOKUP(R$1,Lecturas!$N$1:$AA$20,$AC131,FALSE))</f>
        <v/>
      </c>
      <c r="S131" s="163" t="str">
        <f>+IF(VLOOKUP(S$1,Lecturas!$N$1:$AA$20,$AC131,FALSE)=0,"",VLOOKUP(S$1,Lecturas!$N$1:$AA$20,$AC131,FALSE))</f>
        <v/>
      </c>
      <c r="T131" s="163" t="str">
        <f>+IF(VLOOKUP(T$1,Lecturas!$N$1:$AA$20,$AC131,FALSE)=0,"",VLOOKUP(T$1,Lecturas!$N$1:$AA$20,$AC131,FALSE))</f>
        <v/>
      </c>
      <c r="U131" s="163" t="str">
        <f>+IF(VLOOKUP(U$1,Lecturas!$N$1:$AA$20,$AC131,FALSE)=0,"",VLOOKUP(U$1,Lecturas!$N$1:$AA$20,$AC131,FALSE))</f>
        <v/>
      </c>
      <c r="V131" s="156" t="str">
        <f>+IF(VLOOKUP(V$1,Lecturas!$N$1:$AA$20,$AC131,FALSE)=0,"",VLOOKUP(V$1,Lecturas!$N$1:$AA$20,$AC131,FALSE))</f>
        <v/>
      </c>
      <c r="W131" s="156" t="str">
        <f>+IF(VLOOKUP(W$1,Lecturas!$N$1:$AA$20,$AC131,FALSE)=0,"",VLOOKUP(W$1,Lecturas!$N$1:$AA$20,$AC131,FALSE))</f>
        <v/>
      </c>
      <c r="X131" s="156" t="str">
        <f>+IF(VLOOKUP(X$1,Lecturas!$N$1:$AA$20,$AC131,FALSE)=0,"",VLOOKUP(X$1,Lecturas!$N$1:$AA$20,$AC131,FALSE))</f>
        <v/>
      </c>
      <c r="Y131" s="163">
        <f>+IF(VLOOKUP(Y$1,Lecturas!$N$1:$AA$20,$AC131,FALSE)=0,"",VLOOKUP(Y$1,Lecturas!$N$1:$AA$20,$AC131,FALSE))</f>
        <v>5000</v>
      </c>
      <c r="Z131" s="48"/>
      <c r="AA131" s="48"/>
      <c r="AB131" s="48"/>
      <c r="AC131" s="148">
        <f>+'CARGA DE DATOS'!AF132</f>
        <v>2</v>
      </c>
    </row>
    <row r="132" spans="1:29" x14ac:dyDescent="0.25">
      <c r="A132" s="148">
        <f>+'CARGA DE DATOS'!A133</f>
        <v>131</v>
      </c>
      <c r="B132" s="48" t="str">
        <f>+IF(RESULTADOS!H132="","",RESULTADOS!H132)</f>
        <v/>
      </c>
      <c r="C132" s="48" t="str">
        <f>+IF(RESULTADOS!D132="","",RESULTADOS!D132)</f>
        <v/>
      </c>
      <c r="D132" s="160" t="str">
        <f>+IF('CARGA DE DATOS'!K133="Cooperativa","COOP",IF(Salida!AT133="true","PROSU","GD"))</f>
        <v>GD</v>
      </c>
      <c r="E132" s="160" t="s">
        <v>9147</v>
      </c>
      <c r="F132" s="160" t="str">
        <f>+IF(OR(D132="COOP",'CARGA DE DATOS'!K133="GUMA"),"15.02.2022",IF('CARGA DE DATOS'!K133="GUME","05.02.2022","10.02.2022"))</f>
        <v>05.02.2022</v>
      </c>
      <c r="G132" s="163">
        <f>+IF(VLOOKUP(G$1,Lecturas!$N$1:$AA$20,$AC132,FALSE)=0,"",VLOOKUP(G$1,Lecturas!$N$1:$AA$20,$AC132,FALSE))</f>
        <v>150</v>
      </c>
      <c r="H132" s="163">
        <f>+IF(VLOOKUP(H$1,Lecturas!$N$1:$AA$20,$AC132,FALSE)=0,"",VLOOKUP(H$1,Lecturas!$N$1:$AA$20,$AC132,FALSE))</f>
        <v>300</v>
      </c>
      <c r="I132" s="163">
        <f>+IF(VLOOKUP(I$1,Lecturas!$N$1:$AA$20,$AC132,FALSE)=0,"",VLOOKUP(I$1,Lecturas!$N$1:$AA$20,$AC132,FALSE))</f>
        <v>150</v>
      </c>
      <c r="J132" s="156" t="str">
        <f>+IF(VLOOKUP(J$1,Lecturas!$N$1:$AA$20,$AC132,FALSE)=0,"",VLOOKUP(J$1,Lecturas!$N$1:$AA$20,$AC132,FALSE))</f>
        <v/>
      </c>
      <c r="K132" s="156" t="str">
        <f>+IF(VLOOKUP(K$1,Lecturas!$N$1:$AA$20,$AC132,FALSE)=0,"",VLOOKUP(K$1,Lecturas!$N$1:$AA$20,$AC132,FALSE))</f>
        <v/>
      </c>
      <c r="L132" s="156" t="str">
        <f>+IF(VLOOKUP(L$1,Lecturas!$N$1:$AA$20,$AC132,FALSE)=0,"",VLOOKUP(L$1,Lecturas!$N$1:$AA$20,$AC132,FALSE))</f>
        <v/>
      </c>
      <c r="M132" s="163">
        <f>+IF(VLOOKUP(M$1,Lecturas!$N$1:$AA$20,$AC132,FALSE)=0,"",VLOOKUP(M$1,Lecturas!$N$1:$AA$20,$AC132,FALSE))</f>
        <v>2500</v>
      </c>
      <c r="N132" s="163">
        <f>+IF(VLOOKUP(N$1,Lecturas!$N$1:$AA$20,$AC132,FALSE)=0,"",VLOOKUP(N$1,Lecturas!$N$1:$AA$20,$AC132,FALSE))</f>
        <v>2000</v>
      </c>
      <c r="O132" s="163">
        <f>+IF(VLOOKUP(O$1,Lecturas!$N$1:$AA$20,$AC132,FALSE)=0,"",VLOOKUP(O$1,Lecturas!$N$1:$AA$20,$AC132,FALSE))</f>
        <v>3000</v>
      </c>
      <c r="P132" s="156" t="str">
        <f>+IF(VLOOKUP(P$1,Lecturas!$N$1:$AA$20,$AC132,FALSE)=0,"",VLOOKUP(P$1,Lecturas!$N$1:$AA$20,$AC132,FALSE))</f>
        <v/>
      </c>
      <c r="Q132" s="156" t="str">
        <f>+IF(VLOOKUP(Q$1,Lecturas!$N$1:$AA$20,$AC132,FALSE)=0,"",VLOOKUP(Q$1,Lecturas!$N$1:$AA$20,$AC132,FALSE))</f>
        <v/>
      </c>
      <c r="R132" s="156" t="str">
        <f>+IF(VLOOKUP(R$1,Lecturas!$N$1:$AA$20,$AC132,FALSE)=0,"",VLOOKUP(R$1,Lecturas!$N$1:$AA$20,$AC132,FALSE))</f>
        <v/>
      </c>
      <c r="S132" s="163" t="str">
        <f>+IF(VLOOKUP(S$1,Lecturas!$N$1:$AA$20,$AC132,FALSE)=0,"",VLOOKUP(S$1,Lecturas!$N$1:$AA$20,$AC132,FALSE))</f>
        <v/>
      </c>
      <c r="T132" s="163" t="str">
        <f>+IF(VLOOKUP(T$1,Lecturas!$N$1:$AA$20,$AC132,FALSE)=0,"",VLOOKUP(T$1,Lecturas!$N$1:$AA$20,$AC132,FALSE))</f>
        <v/>
      </c>
      <c r="U132" s="163" t="str">
        <f>+IF(VLOOKUP(U$1,Lecturas!$N$1:$AA$20,$AC132,FALSE)=0,"",VLOOKUP(U$1,Lecturas!$N$1:$AA$20,$AC132,FALSE))</f>
        <v/>
      </c>
      <c r="V132" s="156" t="str">
        <f>+IF(VLOOKUP(V$1,Lecturas!$N$1:$AA$20,$AC132,FALSE)=0,"",VLOOKUP(V$1,Lecturas!$N$1:$AA$20,$AC132,FALSE))</f>
        <v/>
      </c>
      <c r="W132" s="156" t="str">
        <f>+IF(VLOOKUP(W$1,Lecturas!$N$1:$AA$20,$AC132,FALSE)=0,"",VLOOKUP(W$1,Lecturas!$N$1:$AA$20,$AC132,FALSE))</f>
        <v/>
      </c>
      <c r="X132" s="156" t="str">
        <f>+IF(VLOOKUP(X$1,Lecturas!$N$1:$AA$20,$AC132,FALSE)=0,"",VLOOKUP(X$1,Lecturas!$N$1:$AA$20,$AC132,FALSE))</f>
        <v/>
      </c>
      <c r="Y132" s="163">
        <f>+IF(VLOOKUP(Y$1,Lecturas!$N$1:$AA$20,$AC132,FALSE)=0,"",VLOOKUP(Y$1,Lecturas!$N$1:$AA$20,$AC132,FALSE))</f>
        <v>5000</v>
      </c>
      <c r="Z132" s="48"/>
      <c r="AA132" s="48"/>
      <c r="AB132" s="48"/>
      <c r="AC132" s="148">
        <f>+'CARGA DE DATOS'!AF133</f>
        <v>3</v>
      </c>
    </row>
    <row r="133" spans="1:29" x14ac:dyDescent="0.25">
      <c r="A133" s="148">
        <f>+'CARGA DE DATOS'!A134</f>
        <v>132</v>
      </c>
      <c r="B133" s="48" t="str">
        <f>+IF(RESULTADOS!H133="","",RESULTADOS!H133)</f>
        <v/>
      </c>
      <c r="C133" s="48" t="str">
        <f>+IF(RESULTADOS!D133="","",RESULTADOS!D133)</f>
        <v/>
      </c>
      <c r="D133" s="160" t="str">
        <f>+IF('CARGA DE DATOS'!K134="Cooperativa","COOP",IF(Salida!AT134="true","PROSU","GD"))</f>
        <v>GD</v>
      </c>
      <c r="E133" s="160" t="s">
        <v>9147</v>
      </c>
      <c r="F133" s="160" t="str">
        <f>+IF(OR(D133="COOP",'CARGA DE DATOS'!K134="GUMA"),"15.02.2022",IF('CARGA DE DATOS'!K134="GUME","05.02.2022","10.02.2022"))</f>
        <v>05.02.2022</v>
      </c>
      <c r="G133" s="163">
        <f>+IF(VLOOKUP(G$1,Lecturas!$N$1:$AA$20,$AC133,FALSE)=0,"",VLOOKUP(G$1,Lecturas!$N$1:$AA$20,$AC133,FALSE))</f>
        <v>150</v>
      </c>
      <c r="H133" s="163">
        <f>+IF(VLOOKUP(H$1,Lecturas!$N$1:$AA$20,$AC133,FALSE)=0,"",VLOOKUP(H$1,Lecturas!$N$1:$AA$20,$AC133,FALSE))</f>
        <v>150</v>
      </c>
      <c r="I133" s="163">
        <f>+IF(VLOOKUP(I$1,Lecturas!$N$1:$AA$20,$AC133,FALSE)=0,"",VLOOKUP(I$1,Lecturas!$N$1:$AA$20,$AC133,FALSE))</f>
        <v>150</v>
      </c>
      <c r="J133" s="156" t="str">
        <f>+IF(VLOOKUP(J$1,Lecturas!$N$1:$AA$20,$AC133,FALSE)=0,"",VLOOKUP(J$1,Lecturas!$N$1:$AA$20,$AC133,FALSE))</f>
        <v/>
      </c>
      <c r="K133" s="156" t="str">
        <f>+IF(VLOOKUP(K$1,Lecturas!$N$1:$AA$20,$AC133,FALSE)=0,"",VLOOKUP(K$1,Lecturas!$N$1:$AA$20,$AC133,FALSE))</f>
        <v/>
      </c>
      <c r="L133" s="156" t="str">
        <f>+IF(VLOOKUP(L$1,Lecturas!$N$1:$AA$20,$AC133,FALSE)=0,"",VLOOKUP(L$1,Lecturas!$N$1:$AA$20,$AC133,FALSE))</f>
        <v/>
      </c>
      <c r="M133" s="163">
        <f>+IF(VLOOKUP(M$1,Lecturas!$N$1:$AA$20,$AC133,FALSE)=0,"",VLOOKUP(M$1,Lecturas!$N$1:$AA$20,$AC133,FALSE))</f>
        <v>2500</v>
      </c>
      <c r="N133" s="163">
        <f>+IF(VLOOKUP(N$1,Lecturas!$N$1:$AA$20,$AC133,FALSE)=0,"",VLOOKUP(N$1,Lecturas!$N$1:$AA$20,$AC133,FALSE))</f>
        <v>2000</v>
      </c>
      <c r="O133" s="163">
        <f>+IF(VLOOKUP(O$1,Lecturas!$N$1:$AA$20,$AC133,FALSE)=0,"",VLOOKUP(O$1,Lecturas!$N$1:$AA$20,$AC133,FALSE))</f>
        <v>3000</v>
      </c>
      <c r="P133" s="156" t="str">
        <f>+IF(VLOOKUP(P$1,Lecturas!$N$1:$AA$20,$AC133,FALSE)=0,"",VLOOKUP(P$1,Lecturas!$N$1:$AA$20,$AC133,FALSE))</f>
        <v/>
      </c>
      <c r="Q133" s="156" t="str">
        <f>+IF(VLOOKUP(Q$1,Lecturas!$N$1:$AA$20,$AC133,FALSE)=0,"",VLOOKUP(Q$1,Lecturas!$N$1:$AA$20,$AC133,FALSE))</f>
        <v/>
      </c>
      <c r="R133" s="156" t="str">
        <f>+IF(VLOOKUP(R$1,Lecturas!$N$1:$AA$20,$AC133,FALSE)=0,"",VLOOKUP(R$1,Lecturas!$N$1:$AA$20,$AC133,FALSE))</f>
        <v/>
      </c>
      <c r="S133" s="163" t="str">
        <f>+IF(VLOOKUP(S$1,Lecturas!$N$1:$AA$20,$AC133,FALSE)=0,"",VLOOKUP(S$1,Lecturas!$N$1:$AA$20,$AC133,FALSE))</f>
        <v/>
      </c>
      <c r="T133" s="163" t="str">
        <f>+IF(VLOOKUP(T$1,Lecturas!$N$1:$AA$20,$AC133,FALSE)=0,"",VLOOKUP(T$1,Lecturas!$N$1:$AA$20,$AC133,FALSE))</f>
        <v/>
      </c>
      <c r="U133" s="163" t="str">
        <f>+IF(VLOOKUP(U$1,Lecturas!$N$1:$AA$20,$AC133,FALSE)=0,"",VLOOKUP(U$1,Lecturas!$N$1:$AA$20,$AC133,FALSE))</f>
        <v/>
      </c>
      <c r="V133" s="156" t="str">
        <f>+IF(VLOOKUP(V$1,Lecturas!$N$1:$AA$20,$AC133,FALSE)=0,"",VLOOKUP(V$1,Lecturas!$N$1:$AA$20,$AC133,FALSE))</f>
        <v/>
      </c>
      <c r="W133" s="156" t="str">
        <f>+IF(VLOOKUP(W$1,Lecturas!$N$1:$AA$20,$AC133,FALSE)=0,"",VLOOKUP(W$1,Lecturas!$N$1:$AA$20,$AC133,FALSE))</f>
        <v/>
      </c>
      <c r="X133" s="156" t="str">
        <f>+IF(VLOOKUP(X$1,Lecturas!$N$1:$AA$20,$AC133,FALSE)=0,"",VLOOKUP(X$1,Lecturas!$N$1:$AA$20,$AC133,FALSE))</f>
        <v/>
      </c>
      <c r="Y133" s="163">
        <f>+IF(VLOOKUP(Y$1,Lecturas!$N$1:$AA$20,$AC133,FALSE)=0,"",VLOOKUP(Y$1,Lecturas!$N$1:$AA$20,$AC133,FALSE))</f>
        <v>15000</v>
      </c>
      <c r="Z133" s="48"/>
      <c r="AA133" s="48"/>
      <c r="AB133" s="48"/>
      <c r="AC133" s="148">
        <f>+'CARGA DE DATOS'!AF134</f>
        <v>4</v>
      </c>
    </row>
    <row r="134" spans="1:29" x14ac:dyDescent="0.25">
      <c r="A134" s="148">
        <f>+'CARGA DE DATOS'!A135</f>
        <v>133</v>
      </c>
      <c r="B134" s="48" t="str">
        <f>+IF(RESULTADOS!H134="","",RESULTADOS!H134)</f>
        <v/>
      </c>
      <c r="C134" s="48" t="str">
        <f>+IF(RESULTADOS!D134="","",RESULTADOS!D134)</f>
        <v/>
      </c>
      <c r="D134" s="160" t="str">
        <f>+IF('CARGA DE DATOS'!K135="Cooperativa","COOP",IF(Salida!AT135="true","PROSU","GD"))</f>
        <v>GD</v>
      </c>
      <c r="E134" s="160" t="s">
        <v>9147</v>
      </c>
      <c r="F134" s="160" t="str">
        <f>+IF(OR(D134="COOP",'CARGA DE DATOS'!K135="GUMA"),"15.02.2022",IF('CARGA DE DATOS'!K135="GUME","05.02.2022","10.02.2022"))</f>
        <v>05.02.2022</v>
      </c>
      <c r="G134" s="163">
        <f>+IF(VLOOKUP(G$1,Lecturas!$N$1:$AA$20,$AC134,FALSE)=0,"",VLOOKUP(G$1,Lecturas!$N$1:$AA$20,$AC134,FALSE))</f>
        <v>150</v>
      </c>
      <c r="H134" s="163">
        <f>+IF(VLOOKUP(H$1,Lecturas!$N$1:$AA$20,$AC134,FALSE)=0,"",VLOOKUP(H$1,Lecturas!$N$1:$AA$20,$AC134,FALSE))</f>
        <v>300</v>
      </c>
      <c r="I134" s="163">
        <f>+IF(VLOOKUP(I$1,Lecturas!$N$1:$AA$20,$AC134,FALSE)=0,"",VLOOKUP(I$1,Lecturas!$N$1:$AA$20,$AC134,FALSE))</f>
        <v>350</v>
      </c>
      <c r="J134" s="156" t="str">
        <f>+IF(VLOOKUP(J$1,Lecturas!$N$1:$AA$20,$AC134,FALSE)=0,"",VLOOKUP(J$1,Lecturas!$N$1:$AA$20,$AC134,FALSE))</f>
        <v/>
      </c>
      <c r="K134" s="156" t="str">
        <f>+IF(VLOOKUP(K$1,Lecturas!$N$1:$AA$20,$AC134,FALSE)=0,"",VLOOKUP(K$1,Lecturas!$N$1:$AA$20,$AC134,FALSE))</f>
        <v/>
      </c>
      <c r="L134" s="156" t="str">
        <f>+IF(VLOOKUP(L$1,Lecturas!$N$1:$AA$20,$AC134,FALSE)=0,"",VLOOKUP(L$1,Lecturas!$N$1:$AA$20,$AC134,FALSE))</f>
        <v/>
      </c>
      <c r="M134" s="163">
        <f>+IF(VLOOKUP(M$1,Lecturas!$N$1:$AA$20,$AC134,FALSE)=0,"",VLOOKUP(M$1,Lecturas!$N$1:$AA$20,$AC134,FALSE))</f>
        <v>2500</v>
      </c>
      <c r="N134" s="163">
        <f>+IF(VLOOKUP(N$1,Lecturas!$N$1:$AA$20,$AC134,FALSE)=0,"",VLOOKUP(N$1,Lecturas!$N$1:$AA$20,$AC134,FALSE))</f>
        <v>2000</v>
      </c>
      <c r="O134" s="163">
        <f>+IF(VLOOKUP(O$1,Lecturas!$N$1:$AA$20,$AC134,FALSE)=0,"",VLOOKUP(O$1,Lecturas!$N$1:$AA$20,$AC134,FALSE))</f>
        <v>3000</v>
      </c>
      <c r="P134" s="156" t="str">
        <f>+IF(VLOOKUP(P$1,Lecturas!$N$1:$AA$20,$AC134,FALSE)=0,"",VLOOKUP(P$1,Lecturas!$N$1:$AA$20,$AC134,FALSE))</f>
        <v/>
      </c>
      <c r="Q134" s="156" t="str">
        <f>+IF(VLOOKUP(Q$1,Lecturas!$N$1:$AA$20,$AC134,FALSE)=0,"",VLOOKUP(Q$1,Lecturas!$N$1:$AA$20,$AC134,FALSE))</f>
        <v/>
      </c>
      <c r="R134" s="156" t="str">
        <f>+IF(VLOOKUP(R$1,Lecturas!$N$1:$AA$20,$AC134,FALSE)=0,"",VLOOKUP(R$1,Lecturas!$N$1:$AA$20,$AC134,FALSE))</f>
        <v/>
      </c>
      <c r="S134" s="163" t="str">
        <f>+IF(VLOOKUP(S$1,Lecturas!$N$1:$AA$20,$AC134,FALSE)=0,"",VLOOKUP(S$1,Lecturas!$N$1:$AA$20,$AC134,FALSE))</f>
        <v/>
      </c>
      <c r="T134" s="163" t="str">
        <f>+IF(VLOOKUP(T$1,Lecturas!$N$1:$AA$20,$AC134,FALSE)=0,"",VLOOKUP(T$1,Lecturas!$N$1:$AA$20,$AC134,FALSE))</f>
        <v/>
      </c>
      <c r="U134" s="163" t="str">
        <f>+IF(VLOOKUP(U$1,Lecturas!$N$1:$AA$20,$AC134,FALSE)=0,"",VLOOKUP(U$1,Lecturas!$N$1:$AA$20,$AC134,FALSE))</f>
        <v/>
      </c>
      <c r="V134" s="156" t="str">
        <f>+IF(VLOOKUP(V$1,Lecturas!$N$1:$AA$20,$AC134,FALSE)=0,"",VLOOKUP(V$1,Lecturas!$N$1:$AA$20,$AC134,FALSE))</f>
        <v/>
      </c>
      <c r="W134" s="156" t="str">
        <f>+IF(VLOOKUP(W$1,Lecturas!$N$1:$AA$20,$AC134,FALSE)=0,"",VLOOKUP(W$1,Lecturas!$N$1:$AA$20,$AC134,FALSE))</f>
        <v/>
      </c>
      <c r="X134" s="156" t="str">
        <f>+IF(VLOOKUP(X$1,Lecturas!$N$1:$AA$20,$AC134,FALSE)=0,"",VLOOKUP(X$1,Lecturas!$N$1:$AA$20,$AC134,FALSE))</f>
        <v/>
      </c>
      <c r="Y134" s="163">
        <f>+IF(VLOOKUP(Y$1,Lecturas!$N$1:$AA$20,$AC134,FALSE)=0,"",VLOOKUP(Y$1,Lecturas!$N$1:$AA$20,$AC134,FALSE))</f>
        <v>2460</v>
      </c>
      <c r="Z134" s="48"/>
      <c r="AA134" s="48"/>
      <c r="AB134" s="48"/>
      <c r="AC134" s="148">
        <f>+'CARGA DE DATOS'!AF135</f>
        <v>5</v>
      </c>
    </row>
    <row r="135" spans="1:29" x14ac:dyDescent="0.25">
      <c r="A135" s="148">
        <f>+'CARGA DE DATOS'!A136</f>
        <v>134</v>
      </c>
      <c r="B135" s="48" t="str">
        <f>+IF(RESULTADOS!H135="","",RESULTADOS!H135)</f>
        <v/>
      </c>
      <c r="C135" s="48" t="str">
        <f>+IF(RESULTADOS!D135="","",RESULTADOS!D135)</f>
        <v/>
      </c>
      <c r="D135" s="160" t="str">
        <f>+IF('CARGA DE DATOS'!K136="Cooperativa","COOP",IF(Salida!AT136="true","PROSU","GD"))</f>
        <v>GD</v>
      </c>
      <c r="E135" s="160" t="s">
        <v>9147</v>
      </c>
      <c r="F135" s="160" t="str">
        <f>+IF(OR(D135="COOP",'CARGA DE DATOS'!K136="GUMA"),"15.02.2022",IF('CARGA DE DATOS'!K136="GUME","05.02.2022","10.02.2022"))</f>
        <v>05.02.2022</v>
      </c>
      <c r="G135" s="163">
        <f>+IF(VLOOKUP(G$1,Lecturas!$N$1:$AA$20,$AC135,FALSE)=0,"",VLOOKUP(G$1,Lecturas!$N$1:$AA$20,$AC135,FALSE))</f>
        <v>150</v>
      </c>
      <c r="H135" s="163">
        <f>+IF(VLOOKUP(H$1,Lecturas!$N$1:$AA$20,$AC135,FALSE)=0,"",VLOOKUP(H$1,Lecturas!$N$1:$AA$20,$AC135,FALSE))</f>
        <v>150</v>
      </c>
      <c r="I135" s="163">
        <f>+IF(VLOOKUP(I$1,Lecturas!$N$1:$AA$20,$AC135,FALSE)=0,"",VLOOKUP(I$1,Lecturas!$N$1:$AA$20,$AC135,FALSE))</f>
        <v>150</v>
      </c>
      <c r="J135" s="156" t="str">
        <f>+IF(VLOOKUP(J$1,Lecturas!$N$1:$AA$20,$AC135,FALSE)=0,"",VLOOKUP(J$1,Lecturas!$N$1:$AA$20,$AC135,FALSE))</f>
        <v/>
      </c>
      <c r="K135" s="156" t="str">
        <f>+IF(VLOOKUP(K$1,Lecturas!$N$1:$AA$20,$AC135,FALSE)=0,"",VLOOKUP(K$1,Lecturas!$N$1:$AA$20,$AC135,FALSE))</f>
        <v/>
      </c>
      <c r="L135" s="156" t="str">
        <f>+IF(VLOOKUP(L$1,Lecturas!$N$1:$AA$20,$AC135,FALSE)=0,"",VLOOKUP(L$1,Lecturas!$N$1:$AA$20,$AC135,FALSE))</f>
        <v/>
      </c>
      <c r="M135" s="163">
        <f>+IF(VLOOKUP(M$1,Lecturas!$N$1:$AA$20,$AC135,FALSE)=0,"",VLOOKUP(M$1,Lecturas!$N$1:$AA$20,$AC135,FALSE))</f>
        <v>2500</v>
      </c>
      <c r="N135" s="163">
        <f>+IF(VLOOKUP(N$1,Lecturas!$N$1:$AA$20,$AC135,FALSE)=0,"",VLOOKUP(N$1,Lecturas!$N$1:$AA$20,$AC135,FALSE))</f>
        <v>2000</v>
      </c>
      <c r="O135" s="163">
        <f>+IF(VLOOKUP(O$1,Lecturas!$N$1:$AA$20,$AC135,FALSE)=0,"",VLOOKUP(O$1,Lecturas!$N$1:$AA$20,$AC135,FALSE))</f>
        <v>3000</v>
      </c>
      <c r="P135" s="156" t="str">
        <f>+IF(VLOOKUP(P$1,Lecturas!$N$1:$AA$20,$AC135,FALSE)=0,"",VLOOKUP(P$1,Lecturas!$N$1:$AA$20,$AC135,FALSE))</f>
        <v/>
      </c>
      <c r="Q135" s="156" t="str">
        <f>+IF(VLOOKUP(Q$1,Lecturas!$N$1:$AA$20,$AC135,FALSE)=0,"",VLOOKUP(Q$1,Lecturas!$N$1:$AA$20,$AC135,FALSE))</f>
        <v/>
      </c>
      <c r="R135" s="156" t="str">
        <f>+IF(VLOOKUP(R$1,Lecturas!$N$1:$AA$20,$AC135,FALSE)=0,"",VLOOKUP(R$1,Lecturas!$N$1:$AA$20,$AC135,FALSE))</f>
        <v/>
      </c>
      <c r="S135" s="163" t="str">
        <f>+IF(VLOOKUP(S$1,Lecturas!$N$1:$AA$20,$AC135,FALSE)=0,"",VLOOKUP(S$1,Lecturas!$N$1:$AA$20,$AC135,FALSE))</f>
        <v/>
      </c>
      <c r="T135" s="163" t="str">
        <f>+IF(VLOOKUP(T$1,Lecturas!$N$1:$AA$20,$AC135,FALSE)=0,"",VLOOKUP(T$1,Lecturas!$N$1:$AA$20,$AC135,FALSE))</f>
        <v/>
      </c>
      <c r="U135" s="163" t="str">
        <f>+IF(VLOOKUP(U$1,Lecturas!$N$1:$AA$20,$AC135,FALSE)=0,"",VLOOKUP(U$1,Lecturas!$N$1:$AA$20,$AC135,FALSE))</f>
        <v/>
      </c>
      <c r="V135" s="156" t="str">
        <f>+IF(VLOOKUP(V$1,Lecturas!$N$1:$AA$20,$AC135,FALSE)=0,"",VLOOKUP(V$1,Lecturas!$N$1:$AA$20,$AC135,FALSE))</f>
        <v/>
      </c>
      <c r="W135" s="156" t="str">
        <f>+IF(VLOOKUP(W$1,Lecturas!$N$1:$AA$20,$AC135,FALSE)=0,"",VLOOKUP(W$1,Lecturas!$N$1:$AA$20,$AC135,FALSE))</f>
        <v/>
      </c>
      <c r="X135" s="156" t="str">
        <f>+IF(VLOOKUP(X$1,Lecturas!$N$1:$AA$20,$AC135,FALSE)=0,"",VLOOKUP(X$1,Lecturas!$N$1:$AA$20,$AC135,FALSE))</f>
        <v/>
      </c>
      <c r="Y135" s="163">
        <f>+IF(VLOOKUP(Y$1,Lecturas!$N$1:$AA$20,$AC135,FALSE)=0,"",VLOOKUP(Y$1,Lecturas!$N$1:$AA$20,$AC135,FALSE))</f>
        <v>5000</v>
      </c>
      <c r="Z135" s="48"/>
      <c r="AA135" s="48"/>
      <c r="AB135" s="48"/>
      <c r="AC135" s="148">
        <f>+'CARGA DE DATOS'!AF136</f>
        <v>2</v>
      </c>
    </row>
    <row r="136" spans="1:29" x14ac:dyDescent="0.25">
      <c r="A136" s="148">
        <f>+'CARGA DE DATOS'!A137</f>
        <v>135</v>
      </c>
      <c r="B136" s="48" t="str">
        <f>+IF(RESULTADOS!H136="","",RESULTADOS!H136)</f>
        <v/>
      </c>
      <c r="C136" s="48" t="str">
        <f>+IF(RESULTADOS!D136="","",RESULTADOS!D136)</f>
        <v/>
      </c>
      <c r="D136" s="160" t="str">
        <f>+IF('CARGA DE DATOS'!K137="Cooperativa","COOP",IF(Salida!AT137="true","PROSU","GD"))</f>
        <v>GD</v>
      </c>
      <c r="E136" s="160" t="s">
        <v>9147</v>
      </c>
      <c r="F136" s="160" t="str">
        <f>+IF(OR(D136="COOP",'CARGA DE DATOS'!K137="GUMA"),"15.02.2022",IF('CARGA DE DATOS'!K137="GUME","05.02.2022","10.02.2022"))</f>
        <v>05.02.2022</v>
      </c>
      <c r="G136" s="163">
        <f>+IF(VLOOKUP(G$1,Lecturas!$N$1:$AA$20,$AC136,FALSE)=0,"",VLOOKUP(G$1,Lecturas!$N$1:$AA$20,$AC136,FALSE))</f>
        <v>150</v>
      </c>
      <c r="H136" s="163">
        <f>+IF(VLOOKUP(H$1,Lecturas!$N$1:$AA$20,$AC136,FALSE)=0,"",VLOOKUP(H$1,Lecturas!$N$1:$AA$20,$AC136,FALSE))</f>
        <v>300</v>
      </c>
      <c r="I136" s="163">
        <f>+IF(VLOOKUP(I$1,Lecturas!$N$1:$AA$20,$AC136,FALSE)=0,"",VLOOKUP(I$1,Lecturas!$N$1:$AA$20,$AC136,FALSE))</f>
        <v>350</v>
      </c>
      <c r="J136" s="156" t="str">
        <f>+IF(VLOOKUP(J$1,Lecturas!$N$1:$AA$20,$AC136,FALSE)=0,"",VLOOKUP(J$1,Lecturas!$N$1:$AA$20,$AC136,FALSE))</f>
        <v/>
      </c>
      <c r="K136" s="156" t="str">
        <f>+IF(VLOOKUP(K$1,Lecturas!$N$1:$AA$20,$AC136,FALSE)=0,"",VLOOKUP(K$1,Lecturas!$N$1:$AA$20,$AC136,FALSE))</f>
        <v/>
      </c>
      <c r="L136" s="156" t="str">
        <f>+IF(VLOOKUP(L$1,Lecturas!$N$1:$AA$20,$AC136,FALSE)=0,"",VLOOKUP(L$1,Lecturas!$N$1:$AA$20,$AC136,FALSE))</f>
        <v/>
      </c>
      <c r="M136" s="163">
        <f>+IF(VLOOKUP(M$1,Lecturas!$N$1:$AA$20,$AC136,FALSE)=0,"",VLOOKUP(M$1,Lecturas!$N$1:$AA$20,$AC136,FALSE))</f>
        <v>2500</v>
      </c>
      <c r="N136" s="163">
        <f>+IF(VLOOKUP(N$1,Lecturas!$N$1:$AA$20,$AC136,FALSE)=0,"",VLOOKUP(N$1,Lecturas!$N$1:$AA$20,$AC136,FALSE))</f>
        <v>2000</v>
      </c>
      <c r="O136" s="163">
        <f>+IF(VLOOKUP(O$1,Lecturas!$N$1:$AA$20,$AC136,FALSE)=0,"",VLOOKUP(O$1,Lecturas!$N$1:$AA$20,$AC136,FALSE))</f>
        <v>3000</v>
      </c>
      <c r="P136" s="156" t="str">
        <f>+IF(VLOOKUP(P$1,Lecturas!$N$1:$AA$20,$AC136,FALSE)=0,"",VLOOKUP(P$1,Lecturas!$N$1:$AA$20,$AC136,FALSE))</f>
        <v/>
      </c>
      <c r="Q136" s="156" t="str">
        <f>+IF(VLOOKUP(Q$1,Lecturas!$N$1:$AA$20,$AC136,FALSE)=0,"",VLOOKUP(Q$1,Lecturas!$N$1:$AA$20,$AC136,FALSE))</f>
        <v/>
      </c>
      <c r="R136" s="156" t="str">
        <f>+IF(VLOOKUP(R$1,Lecturas!$N$1:$AA$20,$AC136,FALSE)=0,"",VLOOKUP(R$1,Lecturas!$N$1:$AA$20,$AC136,FALSE))</f>
        <v/>
      </c>
      <c r="S136" s="163" t="str">
        <f>+IF(VLOOKUP(S$1,Lecturas!$N$1:$AA$20,$AC136,FALSE)=0,"",VLOOKUP(S$1,Lecturas!$N$1:$AA$20,$AC136,FALSE))</f>
        <v/>
      </c>
      <c r="T136" s="163" t="str">
        <f>+IF(VLOOKUP(T$1,Lecturas!$N$1:$AA$20,$AC136,FALSE)=0,"",VLOOKUP(T$1,Lecturas!$N$1:$AA$20,$AC136,FALSE))</f>
        <v/>
      </c>
      <c r="U136" s="163" t="str">
        <f>+IF(VLOOKUP(U$1,Lecturas!$N$1:$AA$20,$AC136,FALSE)=0,"",VLOOKUP(U$1,Lecturas!$N$1:$AA$20,$AC136,FALSE))</f>
        <v/>
      </c>
      <c r="V136" s="156" t="str">
        <f>+IF(VLOOKUP(V$1,Lecturas!$N$1:$AA$20,$AC136,FALSE)=0,"",VLOOKUP(V$1,Lecturas!$N$1:$AA$20,$AC136,FALSE))</f>
        <v/>
      </c>
      <c r="W136" s="156" t="str">
        <f>+IF(VLOOKUP(W$1,Lecturas!$N$1:$AA$20,$AC136,FALSE)=0,"",VLOOKUP(W$1,Lecturas!$N$1:$AA$20,$AC136,FALSE))</f>
        <v/>
      </c>
      <c r="X136" s="156" t="str">
        <f>+IF(VLOOKUP(X$1,Lecturas!$N$1:$AA$20,$AC136,FALSE)=0,"",VLOOKUP(X$1,Lecturas!$N$1:$AA$20,$AC136,FALSE))</f>
        <v/>
      </c>
      <c r="Y136" s="163">
        <f>+IF(VLOOKUP(Y$1,Lecturas!$N$1:$AA$20,$AC136,FALSE)=0,"",VLOOKUP(Y$1,Lecturas!$N$1:$AA$20,$AC136,FALSE))</f>
        <v>2460</v>
      </c>
      <c r="Z136" s="48"/>
      <c r="AA136" s="48"/>
      <c r="AB136" s="48"/>
      <c r="AC136" s="148">
        <f>+'CARGA DE DATOS'!AF137</f>
        <v>5</v>
      </c>
    </row>
    <row r="137" spans="1:29" x14ac:dyDescent="0.25">
      <c r="A137" s="148">
        <f>+'CARGA DE DATOS'!A138</f>
        <v>136</v>
      </c>
      <c r="B137" s="48" t="str">
        <f>+IF(RESULTADOS!H137="","",RESULTADOS!H137)</f>
        <v/>
      </c>
      <c r="C137" s="48" t="str">
        <f>+IF(RESULTADOS!D137="","",RESULTADOS!D137)</f>
        <v/>
      </c>
      <c r="D137" s="160" t="str">
        <f>+IF('CARGA DE DATOS'!K138="Cooperativa","COOP",IF(Salida!AT138="true","PROSU","GD"))</f>
        <v>GD</v>
      </c>
      <c r="E137" s="160" t="s">
        <v>9147</v>
      </c>
      <c r="F137" s="160" t="str">
        <f>+IF(OR(D137="COOP",'CARGA DE DATOS'!K138="GUMA"),"15.02.2022",IF('CARGA DE DATOS'!K138="GUME","05.02.2022","10.02.2022"))</f>
        <v>05.02.2022</v>
      </c>
      <c r="G137" s="163">
        <f>+IF(VLOOKUP(G$1,Lecturas!$N$1:$AA$20,$AC137,FALSE)=0,"",VLOOKUP(G$1,Lecturas!$N$1:$AA$20,$AC137,FALSE))</f>
        <v>1000</v>
      </c>
      <c r="H137" s="163">
        <f>+IF(VLOOKUP(H$1,Lecturas!$N$1:$AA$20,$AC137,FALSE)=0,"",VLOOKUP(H$1,Lecturas!$N$1:$AA$20,$AC137,FALSE))</f>
        <v>150</v>
      </c>
      <c r="I137" s="163">
        <f>+IF(VLOOKUP(I$1,Lecturas!$N$1:$AA$20,$AC137,FALSE)=0,"",VLOOKUP(I$1,Lecturas!$N$1:$AA$20,$AC137,FALSE))</f>
        <v>350</v>
      </c>
      <c r="J137" s="156" t="str">
        <f>+IF(VLOOKUP(J$1,Lecturas!$N$1:$AA$20,$AC137,FALSE)=0,"",VLOOKUP(J$1,Lecturas!$N$1:$AA$20,$AC137,FALSE))</f>
        <v/>
      </c>
      <c r="K137" s="156" t="str">
        <f>+IF(VLOOKUP(K$1,Lecturas!$N$1:$AA$20,$AC137,FALSE)=0,"",VLOOKUP(K$1,Lecturas!$N$1:$AA$20,$AC137,FALSE))</f>
        <v/>
      </c>
      <c r="L137" s="156" t="str">
        <f>+IF(VLOOKUP(L$1,Lecturas!$N$1:$AA$20,$AC137,FALSE)=0,"",VLOOKUP(L$1,Lecturas!$N$1:$AA$20,$AC137,FALSE))</f>
        <v/>
      </c>
      <c r="M137" s="163">
        <f>+IF(VLOOKUP(M$1,Lecturas!$N$1:$AA$20,$AC137,FALSE)=0,"",VLOOKUP(M$1,Lecturas!$N$1:$AA$20,$AC137,FALSE))</f>
        <v>2500</v>
      </c>
      <c r="N137" s="163">
        <f>+IF(VLOOKUP(N$1,Lecturas!$N$1:$AA$20,$AC137,FALSE)=0,"",VLOOKUP(N$1,Lecturas!$N$1:$AA$20,$AC137,FALSE))</f>
        <v>2000</v>
      </c>
      <c r="O137" s="163">
        <f>+IF(VLOOKUP(O$1,Lecturas!$N$1:$AA$20,$AC137,FALSE)=0,"",VLOOKUP(O$1,Lecturas!$N$1:$AA$20,$AC137,FALSE))</f>
        <v>3000</v>
      </c>
      <c r="P137" s="156" t="str">
        <f>+IF(VLOOKUP(P$1,Lecturas!$N$1:$AA$20,$AC137,FALSE)=0,"",VLOOKUP(P$1,Lecturas!$N$1:$AA$20,$AC137,FALSE))</f>
        <v/>
      </c>
      <c r="Q137" s="156" t="str">
        <f>+IF(VLOOKUP(Q$1,Lecturas!$N$1:$AA$20,$AC137,FALSE)=0,"",VLOOKUP(Q$1,Lecturas!$N$1:$AA$20,$AC137,FALSE))</f>
        <v/>
      </c>
      <c r="R137" s="156" t="str">
        <f>+IF(VLOOKUP(R$1,Lecturas!$N$1:$AA$20,$AC137,FALSE)=0,"",VLOOKUP(R$1,Lecturas!$N$1:$AA$20,$AC137,FALSE))</f>
        <v/>
      </c>
      <c r="S137" s="163" t="str">
        <f>+IF(VLOOKUP(S$1,Lecturas!$N$1:$AA$20,$AC137,FALSE)=0,"",VLOOKUP(S$1,Lecturas!$N$1:$AA$20,$AC137,FALSE))</f>
        <v/>
      </c>
      <c r="T137" s="163" t="str">
        <f>+IF(VLOOKUP(T$1,Lecturas!$N$1:$AA$20,$AC137,FALSE)=0,"",VLOOKUP(T$1,Lecturas!$N$1:$AA$20,$AC137,FALSE))</f>
        <v/>
      </c>
      <c r="U137" s="163" t="str">
        <f>+IF(VLOOKUP(U$1,Lecturas!$N$1:$AA$20,$AC137,FALSE)=0,"",VLOOKUP(U$1,Lecturas!$N$1:$AA$20,$AC137,FALSE))</f>
        <v/>
      </c>
      <c r="V137" s="156" t="str">
        <f>+IF(VLOOKUP(V$1,Lecturas!$N$1:$AA$20,$AC137,FALSE)=0,"",VLOOKUP(V$1,Lecturas!$N$1:$AA$20,$AC137,FALSE))</f>
        <v/>
      </c>
      <c r="W137" s="156" t="str">
        <f>+IF(VLOOKUP(W$1,Lecturas!$N$1:$AA$20,$AC137,FALSE)=0,"",VLOOKUP(W$1,Lecturas!$N$1:$AA$20,$AC137,FALSE))</f>
        <v/>
      </c>
      <c r="X137" s="156" t="str">
        <f>+IF(VLOOKUP(X$1,Lecturas!$N$1:$AA$20,$AC137,FALSE)=0,"",VLOOKUP(X$1,Lecturas!$N$1:$AA$20,$AC137,FALSE))</f>
        <v/>
      </c>
      <c r="Y137" s="163">
        <f>+IF(VLOOKUP(Y$1,Lecturas!$N$1:$AA$20,$AC137,FALSE)=0,"",VLOOKUP(Y$1,Lecturas!$N$1:$AA$20,$AC137,FALSE))</f>
        <v>7500</v>
      </c>
      <c r="Z137" s="48"/>
      <c r="AA137" s="48"/>
      <c r="AB137" s="48"/>
      <c r="AC137" s="148">
        <f>+'CARGA DE DATOS'!AF138</f>
        <v>6</v>
      </c>
    </row>
    <row r="138" spans="1:29" x14ac:dyDescent="0.25">
      <c r="A138" s="148">
        <f>+'CARGA DE DATOS'!A139</f>
        <v>137</v>
      </c>
      <c r="B138" s="48" t="str">
        <f>+IF(RESULTADOS!H138="","",RESULTADOS!H138)</f>
        <v/>
      </c>
      <c r="C138" s="48" t="str">
        <f>+IF(RESULTADOS!D138="","",RESULTADOS!D138)</f>
        <v/>
      </c>
      <c r="D138" s="160" t="str">
        <f>+IF('CARGA DE DATOS'!K139="Cooperativa","COOP",IF(Salida!AT139="true","PROSU","GD"))</f>
        <v>GD</v>
      </c>
      <c r="E138" s="160" t="s">
        <v>9147</v>
      </c>
      <c r="F138" s="160" t="str">
        <f>+IF(OR(D138="COOP",'CARGA DE DATOS'!K139="GUMA"),"15.02.2022",IF('CARGA DE DATOS'!K139="GUME","05.02.2022","10.02.2022"))</f>
        <v>05.02.2022</v>
      </c>
      <c r="G138" s="163">
        <f>+IF(VLOOKUP(G$1,Lecturas!$N$1:$AA$20,$AC138,FALSE)=0,"",VLOOKUP(G$1,Lecturas!$N$1:$AA$20,$AC138,FALSE))</f>
        <v>1500</v>
      </c>
      <c r="H138" s="163">
        <f>+IF(VLOOKUP(H$1,Lecturas!$N$1:$AA$20,$AC138,FALSE)=0,"",VLOOKUP(H$1,Lecturas!$N$1:$AA$20,$AC138,FALSE))</f>
        <v>1550</v>
      </c>
      <c r="I138" s="163">
        <f>+IF(VLOOKUP(I$1,Lecturas!$N$1:$AA$20,$AC138,FALSE)=0,"",VLOOKUP(I$1,Lecturas!$N$1:$AA$20,$AC138,FALSE))</f>
        <v>1550</v>
      </c>
      <c r="J138" s="156" t="str">
        <f>+IF(VLOOKUP(J$1,Lecturas!$N$1:$AA$20,$AC138,FALSE)=0,"",VLOOKUP(J$1,Lecturas!$N$1:$AA$20,$AC138,FALSE))</f>
        <v/>
      </c>
      <c r="K138" s="156" t="str">
        <f>+IF(VLOOKUP(K$1,Lecturas!$N$1:$AA$20,$AC138,FALSE)=0,"",VLOOKUP(K$1,Lecturas!$N$1:$AA$20,$AC138,FALSE))</f>
        <v/>
      </c>
      <c r="L138" s="156" t="str">
        <f>+IF(VLOOKUP(L$1,Lecturas!$N$1:$AA$20,$AC138,FALSE)=0,"",VLOOKUP(L$1,Lecturas!$N$1:$AA$20,$AC138,FALSE))</f>
        <v/>
      </c>
      <c r="M138" s="163">
        <f>+IF(VLOOKUP(M$1,Lecturas!$N$1:$AA$20,$AC138,FALSE)=0,"",VLOOKUP(M$1,Lecturas!$N$1:$AA$20,$AC138,FALSE))</f>
        <v>2500</v>
      </c>
      <c r="N138" s="163">
        <f>+IF(VLOOKUP(N$1,Lecturas!$N$1:$AA$20,$AC138,FALSE)=0,"",VLOOKUP(N$1,Lecturas!$N$1:$AA$20,$AC138,FALSE))</f>
        <v>2000</v>
      </c>
      <c r="O138" s="163">
        <f>+IF(VLOOKUP(O$1,Lecturas!$N$1:$AA$20,$AC138,FALSE)=0,"",VLOOKUP(O$1,Lecturas!$N$1:$AA$20,$AC138,FALSE))</f>
        <v>3000</v>
      </c>
      <c r="P138" s="156" t="str">
        <f>+IF(VLOOKUP(P$1,Lecturas!$N$1:$AA$20,$AC138,FALSE)=0,"",VLOOKUP(P$1,Lecturas!$N$1:$AA$20,$AC138,FALSE))</f>
        <v/>
      </c>
      <c r="Q138" s="156" t="str">
        <f>+IF(VLOOKUP(Q$1,Lecturas!$N$1:$AA$20,$AC138,FALSE)=0,"",VLOOKUP(Q$1,Lecturas!$N$1:$AA$20,$AC138,FALSE))</f>
        <v/>
      </c>
      <c r="R138" s="156" t="str">
        <f>+IF(VLOOKUP(R$1,Lecturas!$N$1:$AA$20,$AC138,FALSE)=0,"",VLOOKUP(R$1,Lecturas!$N$1:$AA$20,$AC138,FALSE))</f>
        <v/>
      </c>
      <c r="S138" s="163" t="str">
        <f>+IF(VLOOKUP(S$1,Lecturas!$N$1:$AA$20,$AC138,FALSE)=0,"",VLOOKUP(S$1,Lecturas!$N$1:$AA$20,$AC138,FALSE))</f>
        <v/>
      </c>
      <c r="T138" s="163" t="str">
        <f>+IF(VLOOKUP(T$1,Lecturas!$N$1:$AA$20,$AC138,FALSE)=0,"",VLOOKUP(T$1,Lecturas!$N$1:$AA$20,$AC138,FALSE))</f>
        <v/>
      </c>
      <c r="U138" s="163" t="str">
        <f>+IF(VLOOKUP(U$1,Lecturas!$N$1:$AA$20,$AC138,FALSE)=0,"",VLOOKUP(U$1,Lecturas!$N$1:$AA$20,$AC138,FALSE))</f>
        <v/>
      </c>
      <c r="V138" s="156" t="str">
        <f>+IF(VLOOKUP(V$1,Lecturas!$N$1:$AA$20,$AC138,FALSE)=0,"",VLOOKUP(V$1,Lecturas!$N$1:$AA$20,$AC138,FALSE))</f>
        <v/>
      </c>
      <c r="W138" s="156" t="str">
        <f>+IF(VLOOKUP(W$1,Lecturas!$N$1:$AA$20,$AC138,FALSE)=0,"",VLOOKUP(W$1,Lecturas!$N$1:$AA$20,$AC138,FALSE))</f>
        <v/>
      </c>
      <c r="X138" s="156" t="str">
        <f>+IF(VLOOKUP(X$1,Lecturas!$N$1:$AA$20,$AC138,FALSE)=0,"",VLOOKUP(X$1,Lecturas!$N$1:$AA$20,$AC138,FALSE))</f>
        <v/>
      </c>
      <c r="Y138" s="163">
        <f>+IF(VLOOKUP(Y$1,Lecturas!$N$1:$AA$20,$AC138,FALSE)=0,"",VLOOKUP(Y$1,Lecturas!$N$1:$AA$20,$AC138,FALSE))</f>
        <v>7500</v>
      </c>
      <c r="Z138" s="48"/>
      <c r="AA138" s="48"/>
      <c r="AB138" s="48"/>
      <c r="AC138" s="148">
        <f>+'CARGA DE DATOS'!AF139</f>
        <v>7</v>
      </c>
    </row>
    <row r="139" spans="1:29" x14ac:dyDescent="0.25">
      <c r="A139" s="148">
        <f>+'CARGA DE DATOS'!A140</f>
        <v>138</v>
      </c>
      <c r="B139" s="48" t="str">
        <f>+IF(RESULTADOS!H139="","",RESULTADOS!H139)</f>
        <v/>
      </c>
      <c r="C139" s="48" t="str">
        <f>+IF(RESULTADOS!D139="","",RESULTADOS!D139)</f>
        <v/>
      </c>
      <c r="D139" s="160" t="str">
        <f>+IF('CARGA DE DATOS'!K140="Cooperativa","COOP",IF(Salida!AT140="true","PROSU","GD"))</f>
        <v>GD</v>
      </c>
      <c r="E139" s="160" t="s">
        <v>9147</v>
      </c>
      <c r="F139" s="160" t="str">
        <f>+IF(OR(D139="COOP",'CARGA DE DATOS'!K140="GUMA"),"15.02.2022",IF('CARGA DE DATOS'!K140="GUME","05.02.2022","10.02.2022"))</f>
        <v>05.02.2022</v>
      </c>
      <c r="G139" s="163">
        <f>+IF(VLOOKUP(G$1,Lecturas!$N$1:$AA$20,$AC139,FALSE)=0,"",VLOOKUP(G$1,Lecturas!$N$1:$AA$20,$AC139,FALSE))</f>
        <v>150</v>
      </c>
      <c r="H139" s="163">
        <f>+IF(VLOOKUP(H$1,Lecturas!$N$1:$AA$20,$AC139,FALSE)=0,"",VLOOKUP(H$1,Lecturas!$N$1:$AA$20,$AC139,FALSE))</f>
        <v>300</v>
      </c>
      <c r="I139" s="163">
        <f>+IF(VLOOKUP(I$1,Lecturas!$N$1:$AA$20,$AC139,FALSE)=0,"",VLOOKUP(I$1,Lecturas!$N$1:$AA$20,$AC139,FALSE))</f>
        <v>350</v>
      </c>
      <c r="J139" s="156" t="str">
        <f>+IF(VLOOKUP(J$1,Lecturas!$N$1:$AA$20,$AC139,FALSE)=0,"",VLOOKUP(J$1,Lecturas!$N$1:$AA$20,$AC139,FALSE))</f>
        <v/>
      </c>
      <c r="K139" s="156" t="str">
        <f>+IF(VLOOKUP(K$1,Lecturas!$N$1:$AA$20,$AC139,FALSE)=0,"",VLOOKUP(K$1,Lecturas!$N$1:$AA$20,$AC139,FALSE))</f>
        <v/>
      </c>
      <c r="L139" s="156" t="str">
        <f>+IF(VLOOKUP(L$1,Lecturas!$N$1:$AA$20,$AC139,FALSE)=0,"",VLOOKUP(L$1,Lecturas!$N$1:$AA$20,$AC139,FALSE))</f>
        <v/>
      </c>
      <c r="M139" s="163">
        <f>+IF(VLOOKUP(M$1,Lecturas!$N$1:$AA$20,$AC139,FALSE)=0,"",VLOOKUP(M$1,Lecturas!$N$1:$AA$20,$AC139,FALSE))</f>
        <v>2500</v>
      </c>
      <c r="N139" s="163">
        <f>+IF(VLOOKUP(N$1,Lecturas!$N$1:$AA$20,$AC139,FALSE)=0,"",VLOOKUP(N$1,Lecturas!$N$1:$AA$20,$AC139,FALSE))</f>
        <v>2000</v>
      </c>
      <c r="O139" s="163">
        <f>+IF(VLOOKUP(O$1,Lecturas!$N$1:$AA$20,$AC139,FALSE)=0,"",VLOOKUP(O$1,Lecturas!$N$1:$AA$20,$AC139,FALSE))</f>
        <v>3000</v>
      </c>
      <c r="P139" s="156" t="str">
        <f>+IF(VLOOKUP(P$1,Lecturas!$N$1:$AA$20,$AC139,FALSE)=0,"",VLOOKUP(P$1,Lecturas!$N$1:$AA$20,$AC139,FALSE))</f>
        <v/>
      </c>
      <c r="Q139" s="156" t="str">
        <f>+IF(VLOOKUP(Q$1,Lecturas!$N$1:$AA$20,$AC139,FALSE)=0,"",VLOOKUP(Q$1,Lecturas!$N$1:$AA$20,$AC139,FALSE))</f>
        <v/>
      </c>
      <c r="R139" s="156" t="str">
        <f>+IF(VLOOKUP(R$1,Lecturas!$N$1:$AA$20,$AC139,FALSE)=0,"",VLOOKUP(R$1,Lecturas!$N$1:$AA$20,$AC139,FALSE))</f>
        <v/>
      </c>
      <c r="S139" s="163" t="str">
        <f>+IF(VLOOKUP(S$1,Lecturas!$N$1:$AA$20,$AC139,FALSE)=0,"",VLOOKUP(S$1,Lecturas!$N$1:$AA$20,$AC139,FALSE))</f>
        <v/>
      </c>
      <c r="T139" s="163" t="str">
        <f>+IF(VLOOKUP(T$1,Lecturas!$N$1:$AA$20,$AC139,FALSE)=0,"",VLOOKUP(T$1,Lecturas!$N$1:$AA$20,$AC139,FALSE))</f>
        <v/>
      </c>
      <c r="U139" s="163" t="str">
        <f>+IF(VLOOKUP(U$1,Lecturas!$N$1:$AA$20,$AC139,FALSE)=0,"",VLOOKUP(U$1,Lecturas!$N$1:$AA$20,$AC139,FALSE))</f>
        <v/>
      </c>
      <c r="V139" s="156" t="str">
        <f>+IF(VLOOKUP(V$1,Lecturas!$N$1:$AA$20,$AC139,FALSE)=0,"",VLOOKUP(V$1,Lecturas!$N$1:$AA$20,$AC139,FALSE))</f>
        <v/>
      </c>
      <c r="W139" s="156" t="str">
        <f>+IF(VLOOKUP(W$1,Lecturas!$N$1:$AA$20,$AC139,FALSE)=0,"",VLOOKUP(W$1,Lecturas!$N$1:$AA$20,$AC139,FALSE))</f>
        <v/>
      </c>
      <c r="X139" s="156" t="str">
        <f>+IF(VLOOKUP(X$1,Lecturas!$N$1:$AA$20,$AC139,FALSE)=0,"",VLOOKUP(X$1,Lecturas!$N$1:$AA$20,$AC139,FALSE))</f>
        <v/>
      </c>
      <c r="Y139" s="163">
        <f>+IF(VLOOKUP(Y$1,Lecturas!$N$1:$AA$20,$AC139,FALSE)=0,"",VLOOKUP(Y$1,Lecturas!$N$1:$AA$20,$AC139,FALSE))</f>
        <v>500</v>
      </c>
      <c r="Z139" s="48"/>
      <c r="AA139" s="48"/>
      <c r="AB139" s="48"/>
      <c r="AC139" s="148">
        <f>+'CARGA DE DATOS'!AF140</f>
        <v>8</v>
      </c>
    </row>
    <row r="140" spans="1:29" x14ac:dyDescent="0.25">
      <c r="A140" s="148">
        <f>+'CARGA DE DATOS'!A141</f>
        <v>139</v>
      </c>
      <c r="B140" s="48" t="str">
        <f>+IF(RESULTADOS!H140="","",RESULTADOS!H140)</f>
        <v/>
      </c>
      <c r="C140" s="48" t="str">
        <f>+IF(RESULTADOS!D140="","",RESULTADOS!D140)</f>
        <v/>
      </c>
      <c r="D140" s="160" t="str">
        <f>+IF('CARGA DE DATOS'!K141="Cooperativa","COOP",IF(Salida!AT141="true","PROSU","GD"))</f>
        <v>GD</v>
      </c>
      <c r="E140" s="160" t="s">
        <v>9147</v>
      </c>
      <c r="F140" s="160" t="str">
        <f>+IF(OR(D140="COOP",'CARGA DE DATOS'!K141="GUMA"),"15.02.2022",IF('CARGA DE DATOS'!K141="GUME","05.02.2022","10.02.2022"))</f>
        <v>05.02.2022</v>
      </c>
      <c r="G140" s="163">
        <f>+IF(VLOOKUP(G$1,Lecturas!$N$1:$AA$20,$AC140,FALSE)=0,"",VLOOKUP(G$1,Lecturas!$N$1:$AA$20,$AC140,FALSE))</f>
        <v>1500</v>
      </c>
      <c r="H140" s="163">
        <f>+IF(VLOOKUP(H$1,Lecturas!$N$1:$AA$20,$AC140,FALSE)=0,"",VLOOKUP(H$1,Lecturas!$N$1:$AA$20,$AC140,FALSE))</f>
        <v>300</v>
      </c>
      <c r="I140" s="163">
        <f>+IF(VLOOKUP(I$1,Lecturas!$N$1:$AA$20,$AC140,FALSE)=0,"",VLOOKUP(I$1,Lecturas!$N$1:$AA$20,$AC140,FALSE))</f>
        <v>350</v>
      </c>
      <c r="J140" s="156" t="str">
        <f>+IF(VLOOKUP(J$1,Lecturas!$N$1:$AA$20,$AC140,FALSE)=0,"",VLOOKUP(J$1,Lecturas!$N$1:$AA$20,$AC140,FALSE))</f>
        <v/>
      </c>
      <c r="K140" s="156" t="str">
        <f>+IF(VLOOKUP(K$1,Lecturas!$N$1:$AA$20,$AC140,FALSE)=0,"",VLOOKUP(K$1,Lecturas!$N$1:$AA$20,$AC140,FALSE))</f>
        <v/>
      </c>
      <c r="L140" s="156" t="str">
        <f>+IF(VLOOKUP(L$1,Lecturas!$N$1:$AA$20,$AC140,FALSE)=0,"",VLOOKUP(L$1,Lecturas!$N$1:$AA$20,$AC140,FALSE))</f>
        <v/>
      </c>
      <c r="M140" s="163">
        <f>+IF(VLOOKUP(M$1,Lecturas!$N$1:$AA$20,$AC140,FALSE)=0,"",VLOOKUP(M$1,Lecturas!$N$1:$AA$20,$AC140,FALSE))</f>
        <v>2500</v>
      </c>
      <c r="N140" s="163">
        <f>+IF(VLOOKUP(N$1,Lecturas!$N$1:$AA$20,$AC140,FALSE)=0,"",VLOOKUP(N$1,Lecturas!$N$1:$AA$20,$AC140,FALSE))</f>
        <v>2000</v>
      </c>
      <c r="O140" s="163">
        <f>+IF(VLOOKUP(O$1,Lecturas!$N$1:$AA$20,$AC140,FALSE)=0,"",VLOOKUP(O$1,Lecturas!$N$1:$AA$20,$AC140,FALSE))</f>
        <v>3000</v>
      </c>
      <c r="P140" s="156" t="str">
        <f>+IF(VLOOKUP(P$1,Lecturas!$N$1:$AA$20,$AC140,FALSE)=0,"",VLOOKUP(P$1,Lecturas!$N$1:$AA$20,$AC140,FALSE))</f>
        <v/>
      </c>
      <c r="Q140" s="156" t="str">
        <f>+IF(VLOOKUP(Q$1,Lecturas!$N$1:$AA$20,$AC140,FALSE)=0,"",VLOOKUP(Q$1,Lecturas!$N$1:$AA$20,$AC140,FALSE))</f>
        <v/>
      </c>
      <c r="R140" s="156" t="str">
        <f>+IF(VLOOKUP(R$1,Lecturas!$N$1:$AA$20,$AC140,FALSE)=0,"",VLOOKUP(R$1,Lecturas!$N$1:$AA$20,$AC140,FALSE))</f>
        <v/>
      </c>
      <c r="S140" s="163" t="str">
        <f>+IF(VLOOKUP(S$1,Lecturas!$N$1:$AA$20,$AC140,FALSE)=0,"",VLOOKUP(S$1,Lecturas!$N$1:$AA$20,$AC140,FALSE))</f>
        <v/>
      </c>
      <c r="T140" s="163" t="str">
        <f>+IF(VLOOKUP(T$1,Lecturas!$N$1:$AA$20,$AC140,FALSE)=0,"",VLOOKUP(T$1,Lecturas!$N$1:$AA$20,$AC140,FALSE))</f>
        <v/>
      </c>
      <c r="U140" s="163" t="str">
        <f>+IF(VLOOKUP(U$1,Lecturas!$N$1:$AA$20,$AC140,FALSE)=0,"",VLOOKUP(U$1,Lecturas!$N$1:$AA$20,$AC140,FALSE))</f>
        <v/>
      </c>
      <c r="V140" s="156" t="str">
        <f>+IF(VLOOKUP(V$1,Lecturas!$N$1:$AA$20,$AC140,FALSE)=0,"",VLOOKUP(V$1,Lecturas!$N$1:$AA$20,$AC140,FALSE))</f>
        <v/>
      </c>
      <c r="W140" s="156" t="str">
        <f>+IF(VLOOKUP(W$1,Lecturas!$N$1:$AA$20,$AC140,FALSE)=0,"",VLOOKUP(W$1,Lecturas!$N$1:$AA$20,$AC140,FALSE))</f>
        <v/>
      </c>
      <c r="X140" s="156" t="str">
        <f>+IF(VLOOKUP(X$1,Lecturas!$N$1:$AA$20,$AC140,FALSE)=0,"",VLOOKUP(X$1,Lecturas!$N$1:$AA$20,$AC140,FALSE))</f>
        <v/>
      </c>
      <c r="Y140" s="163">
        <f>+IF(VLOOKUP(Y$1,Lecturas!$N$1:$AA$20,$AC140,FALSE)=0,"",VLOOKUP(Y$1,Lecturas!$N$1:$AA$20,$AC140,FALSE))</f>
        <v>6500</v>
      </c>
      <c r="Z140" s="48"/>
      <c r="AA140" s="48"/>
      <c r="AB140" s="48"/>
      <c r="AC140" s="148">
        <f>+'CARGA DE DATOS'!AF141</f>
        <v>9</v>
      </c>
    </row>
    <row r="141" spans="1:29" x14ac:dyDescent="0.25">
      <c r="A141" s="148">
        <f>+'CARGA DE DATOS'!A142</f>
        <v>140</v>
      </c>
      <c r="B141" s="48" t="str">
        <f>+IF(RESULTADOS!H141="","",RESULTADOS!H141)</f>
        <v/>
      </c>
      <c r="C141" s="48" t="str">
        <f>+IF(RESULTADOS!D141="","",RESULTADOS!D141)</f>
        <v/>
      </c>
      <c r="D141" s="160" t="str">
        <f>+IF('CARGA DE DATOS'!K142="Cooperativa","COOP",IF(Salida!AT142="true","PROSU","GD"))</f>
        <v>GD</v>
      </c>
      <c r="E141" s="160" t="s">
        <v>9147</v>
      </c>
      <c r="F141" s="160" t="str">
        <f>+IF(OR(D141="COOP",'CARGA DE DATOS'!K142="GUMA"),"15.02.2022",IF('CARGA DE DATOS'!K142="GUME","05.02.2022","10.02.2022"))</f>
        <v>05.02.2022</v>
      </c>
      <c r="G141" s="163">
        <f>+IF(VLOOKUP(G$1,Lecturas!$N$1:$AA$20,$AC141,FALSE)=0,"",VLOOKUP(G$1,Lecturas!$N$1:$AA$20,$AC141,FALSE))</f>
        <v>150</v>
      </c>
      <c r="H141" s="163">
        <f>+IF(VLOOKUP(H$1,Lecturas!$N$1:$AA$20,$AC141,FALSE)=0,"",VLOOKUP(H$1,Lecturas!$N$1:$AA$20,$AC141,FALSE))</f>
        <v>150</v>
      </c>
      <c r="I141" s="163">
        <f>+IF(VLOOKUP(I$1,Lecturas!$N$1:$AA$20,$AC141,FALSE)=0,"",VLOOKUP(I$1,Lecturas!$N$1:$AA$20,$AC141,FALSE))</f>
        <v>150</v>
      </c>
      <c r="J141" s="156" t="str">
        <f>+IF(VLOOKUP(J$1,Lecturas!$N$1:$AA$20,$AC141,FALSE)=0,"",VLOOKUP(J$1,Lecturas!$N$1:$AA$20,$AC141,FALSE))</f>
        <v/>
      </c>
      <c r="K141" s="156" t="str">
        <f>+IF(VLOOKUP(K$1,Lecturas!$N$1:$AA$20,$AC141,FALSE)=0,"",VLOOKUP(K$1,Lecturas!$N$1:$AA$20,$AC141,FALSE))</f>
        <v/>
      </c>
      <c r="L141" s="156" t="str">
        <f>+IF(VLOOKUP(L$1,Lecturas!$N$1:$AA$20,$AC141,FALSE)=0,"",VLOOKUP(L$1,Lecturas!$N$1:$AA$20,$AC141,FALSE))</f>
        <v/>
      </c>
      <c r="M141" s="163">
        <f>+IF(VLOOKUP(M$1,Lecturas!$N$1:$AA$20,$AC141,FALSE)=0,"",VLOOKUP(M$1,Lecturas!$N$1:$AA$20,$AC141,FALSE))</f>
        <v>2500</v>
      </c>
      <c r="N141" s="163">
        <f>+IF(VLOOKUP(N$1,Lecturas!$N$1:$AA$20,$AC141,FALSE)=0,"",VLOOKUP(N$1,Lecturas!$N$1:$AA$20,$AC141,FALSE))</f>
        <v>2000</v>
      </c>
      <c r="O141" s="163">
        <f>+IF(VLOOKUP(O$1,Lecturas!$N$1:$AA$20,$AC141,FALSE)=0,"",VLOOKUP(O$1,Lecturas!$N$1:$AA$20,$AC141,FALSE))</f>
        <v>3000</v>
      </c>
      <c r="P141" s="156" t="str">
        <f>+IF(VLOOKUP(P$1,Lecturas!$N$1:$AA$20,$AC141,FALSE)=0,"",VLOOKUP(P$1,Lecturas!$N$1:$AA$20,$AC141,FALSE))</f>
        <v/>
      </c>
      <c r="Q141" s="156" t="str">
        <f>+IF(VLOOKUP(Q$1,Lecturas!$N$1:$AA$20,$AC141,FALSE)=0,"",VLOOKUP(Q$1,Lecturas!$N$1:$AA$20,$AC141,FALSE))</f>
        <v/>
      </c>
      <c r="R141" s="156" t="str">
        <f>+IF(VLOOKUP(R$1,Lecturas!$N$1:$AA$20,$AC141,FALSE)=0,"",VLOOKUP(R$1,Lecturas!$N$1:$AA$20,$AC141,FALSE))</f>
        <v/>
      </c>
      <c r="S141" s="163" t="str">
        <f>+IF(VLOOKUP(S$1,Lecturas!$N$1:$AA$20,$AC141,FALSE)=0,"",VLOOKUP(S$1,Lecturas!$N$1:$AA$20,$AC141,FALSE))</f>
        <v/>
      </c>
      <c r="T141" s="163" t="str">
        <f>+IF(VLOOKUP(T$1,Lecturas!$N$1:$AA$20,$AC141,FALSE)=0,"",VLOOKUP(T$1,Lecturas!$N$1:$AA$20,$AC141,FALSE))</f>
        <v/>
      </c>
      <c r="U141" s="163" t="str">
        <f>+IF(VLOOKUP(U$1,Lecturas!$N$1:$AA$20,$AC141,FALSE)=0,"",VLOOKUP(U$1,Lecturas!$N$1:$AA$20,$AC141,FALSE))</f>
        <v/>
      </c>
      <c r="V141" s="156" t="str">
        <f>+IF(VLOOKUP(V$1,Lecturas!$N$1:$AA$20,$AC141,FALSE)=0,"",VLOOKUP(V$1,Lecturas!$N$1:$AA$20,$AC141,FALSE))</f>
        <v/>
      </c>
      <c r="W141" s="156" t="str">
        <f>+IF(VLOOKUP(W$1,Lecturas!$N$1:$AA$20,$AC141,FALSE)=0,"",VLOOKUP(W$1,Lecturas!$N$1:$AA$20,$AC141,FALSE))</f>
        <v/>
      </c>
      <c r="X141" s="156" t="str">
        <f>+IF(VLOOKUP(X$1,Lecturas!$N$1:$AA$20,$AC141,FALSE)=0,"",VLOOKUP(X$1,Lecturas!$N$1:$AA$20,$AC141,FALSE))</f>
        <v/>
      </c>
      <c r="Y141" s="163">
        <f>+IF(VLOOKUP(Y$1,Lecturas!$N$1:$AA$20,$AC141,FALSE)=0,"",VLOOKUP(Y$1,Lecturas!$N$1:$AA$20,$AC141,FALSE))</f>
        <v>5000</v>
      </c>
      <c r="Z141" s="48"/>
      <c r="AA141" s="48"/>
      <c r="AB141" s="48"/>
      <c r="AC141" s="148">
        <f>+'CARGA DE DATOS'!AF142</f>
        <v>2</v>
      </c>
    </row>
    <row r="142" spans="1:29" x14ac:dyDescent="0.25">
      <c r="A142" s="148">
        <f>+'CARGA DE DATOS'!A143</f>
        <v>141</v>
      </c>
      <c r="B142" s="48" t="str">
        <f>+IF(RESULTADOS!H142="","",RESULTADOS!H142)</f>
        <v/>
      </c>
      <c r="C142" s="48" t="str">
        <f>+IF(RESULTADOS!D142="","",RESULTADOS!D142)</f>
        <v/>
      </c>
      <c r="D142" s="160" t="str">
        <f>+IF('CARGA DE DATOS'!K143="Cooperativa","COOP",IF(Salida!AT143="true","PROSU","GD"))</f>
        <v>GD</v>
      </c>
      <c r="E142" s="160" t="s">
        <v>9147</v>
      </c>
      <c r="F142" s="160" t="str">
        <f>+IF(OR(D142="COOP",'CARGA DE DATOS'!K143="GUMA"),"15.02.2022",IF('CARGA DE DATOS'!K143="GUME","05.02.2022","10.02.2022"))</f>
        <v>05.02.2022</v>
      </c>
      <c r="G142" s="163">
        <f>+IF(VLOOKUP(G$1,Lecturas!$N$1:$AA$20,$AC142,FALSE)=0,"",VLOOKUP(G$1,Lecturas!$N$1:$AA$20,$AC142,FALSE))</f>
        <v>150</v>
      </c>
      <c r="H142" s="163">
        <f>+IF(VLOOKUP(H$1,Lecturas!$N$1:$AA$20,$AC142,FALSE)=0,"",VLOOKUP(H$1,Lecturas!$N$1:$AA$20,$AC142,FALSE))</f>
        <v>300</v>
      </c>
      <c r="I142" s="163">
        <f>+IF(VLOOKUP(I$1,Lecturas!$N$1:$AA$20,$AC142,FALSE)=0,"",VLOOKUP(I$1,Lecturas!$N$1:$AA$20,$AC142,FALSE))</f>
        <v>350</v>
      </c>
      <c r="J142" s="156" t="str">
        <f>+IF(VLOOKUP(J$1,Lecturas!$N$1:$AA$20,$AC142,FALSE)=0,"",VLOOKUP(J$1,Lecturas!$N$1:$AA$20,$AC142,FALSE))</f>
        <v/>
      </c>
      <c r="K142" s="156" t="str">
        <f>+IF(VLOOKUP(K$1,Lecturas!$N$1:$AA$20,$AC142,FALSE)=0,"",VLOOKUP(K$1,Lecturas!$N$1:$AA$20,$AC142,FALSE))</f>
        <v/>
      </c>
      <c r="L142" s="156" t="str">
        <f>+IF(VLOOKUP(L$1,Lecturas!$N$1:$AA$20,$AC142,FALSE)=0,"",VLOOKUP(L$1,Lecturas!$N$1:$AA$20,$AC142,FALSE))</f>
        <v/>
      </c>
      <c r="M142" s="163">
        <f>+IF(VLOOKUP(M$1,Lecturas!$N$1:$AA$20,$AC142,FALSE)=0,"",VLOOKUP(M$1,Lecturas!$N$1:$AA$20,$AC142,FALSE))</f>
        <v>2500</v>
      </c>
      <c r="N142" s="163">
        <f>+IF(VLOOKUP(N$1,Lecturas!$N$1:$AA$20,$AC142,FALSE)=0,"",VLOOKUP(N$1,Lecturas!$N$1:$AA$20,$AC142,FALSE))</f>
        <v>2000</v>
      </c>
      <c r="O142" s="163">
        <f>+IF(VLOOKUP(O$1,Lecturas!$N$1:$AA$20,$AC142,FALSE)=0,"",VLOOKUP(O$1,Lecturas!$N$1:$AA$20,$AC142,FALSE))</f>
        <v>3000</v>
      </c>
      <c r="P142" s="156" t="str">
        <f>+IF(VLOOKUP(P$1,Lecturas!$N$1:$AA$20,$AC142,FALSE)=0,"",VLOOKUP(P$1,Lecturas!$N$1:$AA$20,$AC142,FALSE))</f>
        <v/>
      </c>
      <c r="Q142" s="156" t="str">
        <f>+IF(VLOOKUP(Q$1,Lecturas!$N$1:$AA$20,$AC142,FALSE)=0,"",VLOOKUP(Q$1,Lecturas!$N$1:$AA$20,$AC142,FALSE))</f>
        <v/>
      </c>
      <c r="R142" s="156" t="str">
        <f>+IF(VLOOKUP(R$1,Lecturas!$N$1:$AA$20,$AC142,FALSE)=0,"",VLOOKUP(R$1,Lecturas!$N$1:$AA$20,$AC142,FALSE))</f>
        <v/>
      </c>
      <c r="S142" s="163" t="str">
        <f>+IF(VLOOKUP(S$1,Lecturas!$N$1:$AA$20,$AC142,FALSE)=0,"",VLOOKUP(S$1,Lecturas!$N$1:$AA$20,$AC142,FALSE))</f>
        <v/>
      </c>
      <c r="T142" s="163" t="str">
        <f>+IF(VLOOKUP(T$1,Lecturas!$N$1:$AA$20,$AC142,FALSE)=0,"",VLOOKUP(T$1,Lecturas!$N$1:$AA$20,$AC142,FALSE))</f>
        <v/>
      </c>
      <c r="U142" s="163" t="str">
        <f>+IF(VLOOKUP(U$1,Lecturas!$N$1:$AA$20,$AC142,FALSE)=0,"",VLOOKUP(U$1,Lecturas!$N$1:$AA$20,$AC142,FALSE))</f>
        <v/>
      </c>
      <c r="V142" s="156" t="str">
        <f>+IF(VLOOKUP(V$1,Lecturas!$N$1:$AA$20,$AC142,FALSE)=0,"",VLOOKUP(V$1,Lecturas!$N$1:$AA$20,$AC142,FALSE))</f>
        <v/>
      </c>
      <c r="W142" s="156" t="str">
        <f>+IF(VLOOKUP(W$1,Lecturas!$N$1:$AA$20,$AC142,FALSE)=0,"",VLOOKUP(W$1,Lecturas!$N$1:$AA$20,$AC142,FALSE))</f>
        <v/>
      </c>
      <c r="X142" s="156" t="str">
        <f>+IF(VLOOKUP(X$1,Lecturas!$N$1:$AA$20,$AC142,FALSE)=0,"",VLOOKUP(X$1,Lecturas!$N$1:$AA$20,$AC142,FALSE))</f>
        <v/>
      </c>
      <c r="Y142" s="163">
        <f>+IF(VLOOKUP(Y$1,Lecturas!$N$1:$AA$20,$AC142,FALSE)=0,"",VLOOKUP(Y$1,Lecturas!$N$1:$AA$20,$AC142,FALSE))</f>
        <v>2460</v>
      </c>
      <c r="Z142" s="48"/>
      <c r="AA142" s="48"/>
      <c r="AB142" s="48"/>
      <c r="AC142" s="148">
        <f>+'CARGA DE DATOS'!AF143</f>
        <v>5</v>
      </c>
    </row>
    <row r="143" spans="1:29" x14ac:dyDescent="0.25">
      <c r="A143" s="148">
        <f>+'CARGA DE DATOS'!A144</f>
        <v>142</v>
      </c>
      <c r="B143" s="48" t="str">
        <f>+IF(RESULTADOS!H143="","",RESULTADOS!H143)</f>
        <v/>
      </c>
      <c r="C143" s="48" t="str">
        <f>+IF(RESULTADOS!D143="","",RESULTADOS!D143)</f>
        <v/>
      </c>
      <c r="D143" s="160" t="str">
        <f>+IF('CARGA DE DATOS'!K144="Cooperativa","COOP",IF(Salida!AT144="true","PROSU","GD"))</f>
        <v>GD</v>
      </c>
      <c r="E143" s="160" t="s">
        <v>9147</v>
      </c>
      <c r="F143" s="160" t="str">
        <f>+IF(OR(D143="COOP",'CARGA DE DATOS'!K144="GUMA"),"15.02.2022",IF('CARGA DE DATOS'!K144="GUME","05.02.2022","10.02.2022"))</f>
        <v>05.02.2022</v>
      </c>
      <c r="G143" s="163">
        <f>+IF(VLOOKUP(G$1,Lecturas!$N$1:$AA$20,$AC143,FALSE)=0,"",VLOOKUP(G$1,Lecturas!$N$1:$AA$20,$AC143,FALSE))</f>
        <v>150</v>
      </c>
      <c r="H143" s="163">
        <f>+IF(VLOOKUP(H$1,Lecturas!$N$1:$AA$20,$AC143,FALSE)=0,"",VLOOKUP(H$1,Lecturas!$N$1:$AA$20,$AC143,FALSE))</f>
        <v>150</v>
      </c>
      <c r="I143" s="163">
        <f>+IF(VLOOKUP(I$1,Lecturas!$N$1:$AA$20,$AC143,FALSE)=0,"",VLOOKUP(I$1,Lecturas!$N$1:$AA$20,$AC143,FALSE))</f>
        <v>150</v>
      </c>
      <c r="J143" s="156" t="str">
        <f>+IF(VLOOKUP(J$1,Lecturas!$N$1:$AA$20,$AC143,FALSE)=0,"",VLOOKUP(J$1,Lecturas!$N$1:$AA$20,$AC143,FALSE))</f>
        <v/>
      </c>
      <c r="K143" s="156" t="str">
        <f>+IF(VLOOKUP(K$1,Lecturas!$N$1:$AA$20,$AC143,FALSE)=0,"",VLOOKUP(K$1,Lecturas!$N$1:$AA$20,$AC143,FALSE))</f>
        <v/>
      </c>
      <c r="L143" s="156" t="str">
        <f>+IF(VLOOKUP(L$1,Lecturas!$N$1:$AA$20,$AC143,FALSE)=0,"",VLOOKUP(L$1,Lecturas!$N$1:$AA$20,$AC143,FALSE))</f>
        <v/>
      </c>
      <c r="M143" s="163">
        <f>+IF(VLOOKUP(M$1,Lecturas!$N$1:$AA$20,$AC143,FALSE)=0,"",VLOOKUP(M$1,Lecturas!$N$1:$AA$20,$AC143,FALSE))</f>
        <v>2500</v>
      </c>
      <c r="N143" s="163">
        <f>+IF(VLOOKUP(N$1,Lecturas!$N$1:$AA$20,$AC143,FALSE)=0,"",VLOOKUP(N$1,Lecturas!$N$1:$AA$20,$AC143,FALSE))</f>
        <v>2000</v>
      </c>
      <c r="O143" s="163">
        <f>+IF(VLOOKUP(O$1,Lecturas!$N$1:$AA$20,$AC143,FALSE)=0,"",VLOOKUP(O$1,Lecturas!$N$1:$AA$20,$AC143,FALSE))</f>
        <v>3000</v>
      </c>
      <c r="P143" s="156" t="str">
        <f>+IF(VLOOKUP(P$1,Lecturas!$N$1:$AA$20,$AC143,FALSE)=0,"",VLOOKUP(P$1,Lecturas!$N$1:$AA$20,$AC143,FALSE))</f>
        <v/>
      </c>
      <c r="Q143" s="156" t="str">
        <f>+IF(VLOOKUP(Q$1,Lecturas!$N$1:$AA$20,$AC143,FALSE)=0,"",VLOOKUP(Q$1,Lecturas!$N$1:$AA$20,$AC143,FALSE))</f>
        <v/>
      </c>
      <c r="R143" s="156" t="str">
        <f>+IF(VLOOKUP(R$1,Lecturas!$N$1:$AA$20,$AC143,FALSE)=0,"",VLOOKUP(R$1,Lecturas!$N$1:$AA$20,$AC143,FALSE))</f>
        <v/>
      </c>
      <c r="S143" s="163" t="str">
        <f>+IF(VLOOKUP(S$1,Lecturas!$N$1:$AA$20,$AC143,FALSE)=0,"",VLOOKUP(S$1,Lecturas!$N$1:$AA$20,$AC143,FALSE))</f>
        <v/>
      </c>
      <c r="T143" s="163" t="str">
        <f>+IF(VLOOKUP(T$1,Lecturas!$N$1:$AA$20,$AC143,FALSE)=0,"",VLOOKUP(T$1,Lecturas!$N$1:$AA$20,$AC143,FALSE))</f>
        <v/>
      </c>
      <c r="U143" s="163" t="str">
        <f>+IF(VLOOKUP(U$1,Lecturas!$N$1:$AA$20,$AC143,FALSE)=0,"",VLOOKUP(U$1,Lecturas!$N$1:$AA$20,$AC143,FALSE))</f>
        <v/>
      </c>
      <c r="V143" s="156" t="str">
        <f>+IF(VLOOKUP(V$1,Lecturas!$N$1:$AA$20,$AC143,FALSE)=0,"",VLOOKUP(V$1,Lecturas!$N$1:$AA$20,$AC143,FALSE))</f>
        <v/>
      </c>
      <c r="W143" s="156" t="str">
        <f>+IF(VLOOKUP(W$1,Lecturas!$N$1:$AA$20,$AC143,FALSE)=0,"",VLOOKUP(W$1,Lecturas!$N$1:$AA$20,$AC143,FALSE))</f>
        <v/>
      </c>
      <c r="X143" s="156" t="str">
        <f>+IF(VLOOKUP(X$1,Lecturas!$N$1:$AA$20,$AC143,FALSE)=0,"",VLOOKUP(X$1,Lecturas!$N$1:$AA$20,$AC143,FALSE))</f>
        <v/>
      </c>
      <c r="Y143" s="163">
        <f>+IF(VLOOKUP(Y$1,Lecturas!$N$1:$AA$20,$AC143,FALSE)=0,"",VLOOKUP(Y$1,Lecturas!$N$1:$AA$20,$AC143,FALSE))</f>
        <v>5000</v>
      </c>
      <c r="Z143" s="48"/>
      <c r="AA143" s="48"/>
      <c r="AB143" s="48"/>
      <c r="AC143" s="148">
        <f>+'CARGA DE DATOS'!AF144</f>
        <v>2</v>
      </c>
    </row>
    <row r="144" spans="1:29" x14ac:dyDescent="0.25">
      <c r="A144" s="148">
        <f>+'CARGA DE DATOS'!A145</f>
        <v>143</v>
      </c>
      <c r="B144" s="48" t="str">
        <f>+IF(RESULTADOS!H144="","",RESULTADOS!H144)</f>
        <v/>
      </c>
      <c r="C144" s="48" t="str">
        <f>+IF(RESULTADOS!D144="","",RESULTADOS!D144)</f>
        <v/>
      </c>
      <c r="D144" s="160" t="str">
        <f>+IF('CARGA DE DATOS'!K145="Cooperativa","COOP",IF(Salida!AT145="true","PROSU","GD"))</f>
        <v>GD</v>
      </c>
      <c r="E144" s="160" t="s">
        <v>9147</v>
      </c>
      <c r="F144" s="160" t="str">
        <f>+IF(OR(D144="COOP",'CARGA DE DATOS'!K145="GUMA"),"15.02.2022",IF('CARGA DE DATOS'!K145="GUME","05.02.2022","10.02.2022"))</f>
        <v>05.02.2022</v>
      </c>
      <c r="G144" s="163">
        <f>+IF(VLOOKUP(G$1,Lecturas!$N$1:$AA$20,$AC144,FALSE)=0,"",VLOOKUP(G$1,Lecturas!$N$1:$AA$20,$AC144,FALSE))</f>
        <v>150</v>
      </c>
      <c r="H144" s="163">
        <f>+IF(VLOOKUP(H$1,Lecturas!$N$1:$AA$20,$AC144,FALSE)=0,"",VLOOKUP(H$1,Lecturas!$N$1:$AA$20,$AC144,FALSE))</f>
        <v>150</v>
      </c>
      <c r="I144" s="163">
        <f>+IF(VLOOKUP(I$1,Lecturas!$N$1:$AA$20,$AC144,FALSE)=0,"",VLOOKUP(I$1,Lecturas!$N$1:$AA$20,$AC144,FALSE))</f>
        <v>150</v>
      </c>
      <c r="J144" s="156" t="str">
        <f>+IF(VLOOKUP(J$1,Lecturas!$N$1:$AA$20,$AC144,FALSE)=0,"",VLOOKUP(J$1,Lecturas!$N$1:$AA$20,$AC144,FALSE))</f>
        <v/>
      </c>
      <c r="K144" s="156" t="str">
        <f>+IF(VLOOKUP(K$1,Lecturas!$N$1:$AA$20,$AC144,FALSE)=0,"",VLOOKUP(K$1,Lecturas!$N$1:$AA$20,$AC144,FALSE))</f>
        <v/>
      </c>
      <c r="L144" s="156" t="str">
        <f>+IF(VLOOKUP(L$1,Lecturas!$N$1:$AA$20,$AC144,FALSE)=0,"",VLOOKUP(L$1,Lecturas!$N$1:$AA$20,$AC144,FALSE))</f>
        <v/>
      </c>
      <c r="M144" s="163">
        <f>+IF(VLOOKUP(M$1,Lecturas!$N$1:$AA$20,$AC144,FALSE)=0,"",VLOOKUP(M$1,Lecturas!$N$1:$AA$20,$AC144,FALSE))</f>
        <v>2500</v>
      </c>
      <c r="N144" s="163">
        <f>+IF(VLOOKUP(N$1,Lecturas!$N$1:$AA$20,$AC144,FALSE)=0,"",VLOOKUP(N$1,Lecturas!$N$1:$AA$20,$AC144,FALSE))</f>
        <v>2000</v>
      </c>
      <c r="O144" s="163">
        <f>+IF(VLOOKUP(O$1,Lecturas!$N$1:$AA$20,$AC144,FALSE)=0,"",VLOOKUP(O$1,Lecturas!$N$1:$AA$20,$AC144,FALSE))</f>
        <v>3000</v>
      </c>
      <c r="P144" s="156" t="str">
        <f>+IF(VLOOKUP(P$1,Lecturas!$N$1:$AA$20,$AC144,FALSE)=0,"",VLOOKUP(P$1,Lecturas!$N$1:$AA$20,$AC144,FALSE))</f>
        <v/>
      </c>
      <c r="Q144" s="156" t="str">
        <f>+IF(VLOOKUP(Q$1,Lecturas!$N$1:$AA$20,$AC144,FALSE)=0,"",VLOOKUP(Q$1,Lecturas!$N$1:$AA$20,$AC144,FALSE))</f>
        <v/>
      </c>
      <c r="R144" s="156" t="str">
        <f>+IF(VLOOKUP(R$1,Lecturas!$N$1:$AA$20,$AC144,FALSE)=0,"",VLOOKUP(R$1,Lecturas!$N$1:$AA$20,$AC144,FALSE))</f>
        <v/>
      </c>
      <c r="S144" s="163" t="str">
        <f>+IF(VLOOKUP(S$1,Lecturas!$N$1:$AA$20,$AC144,FALSE)=0,"",VLOOKUP(S$1,Lecturas!$N$1:$AA$20,$AC144,FALSE))</f>
        <v/>
      </c>
      <c r="T144" s="163" t="str">
        <f>+IF(VLOOKUP(T$1,Lecturas!$N$1:$AA$20,$AC144,FALSE)=0,"",VLOOKUP(T$1,Lecturas!$N$1:$AA$20,$AC144,FALSE))</f>
        <v/>
      </c>
      <c r="U144" s="163" t="str">
        <f>+IF(VLOOKUP(U$1,Lecturas!$N$1:$AA$20,$AC144,FALSE)=0,"",VLOOKUP(U$1,Lecturas!$N$1:$AA$20,$AC144,FALSE))</f>
        <v/>
      </c>
      <c r="V144" s="156" t="str">
        <f>+IF(VLOOKUP(V$1,Lecturas!$N$1:$AA$20,$AC144,FALSE)=0,"",VLOOKUP(V$1,Lecturas!$N$1:$AA$20,$AC144,FALSE))</f>
        <v/>
      </c>
      <c r="W144" s="156" t="str">
        <f>+IF(VLOOKUP(W$1,Lecturas!$N$1:$AA$20,$AC144,FALSE)=0,"",VLOOKUP(W$1,Lecturas!$N$1:$AA$20,$AC144,FALSE))</f>
        <v/>
      </c>
      <c r="X144" s="156" t="str">
        <f>+IF(VLOOKUP(X$1,Lecturas!$N$1:$AA$20,$AC144,FALSE)=0,"",VLOOKUP(X$1,Lecturas!$N$1:$AA$20,$AC144,FALSE))</f>
        <v/>
      </c>
      <c r="Y144" s="163">
        <f>+IF(VLOOKUP(Y$1,Lecturas!$N$1:$AA$20,$AC144,FALSE)=0,"",VLOOKUP(Y$1,Lecturas!$N$1:$AA$20,$AC144,FALSE))</f>
        <v>5000</v>
      </c>
      <c r="Z144" s="48"/>
      <c r="AA144" s="48"/>
      <c r="AB144" s="48"/>
      <c r="AC144" s="148">
        <f>+'CARGA DE DATOS'!AF145</f>
        <v>2</v>
      </c>
    </row>
    <row r="145" spans="1:29" x14ac:dyDescent="0.25">
      <c r="A145" s="148">
        <f>+'CARGA DE DATOS'!A146</f>
        <v>144</v>
      </c>
      <c r="B145" s="48" t="str">
        <f>+IF(RESULTADOS!H145="","",RESULTADOS!H145)</f>
        <v/>
      </c>
      <c r="C145" s="48" t="str">
        <f>+IF(RESULTADOS!D145="","",RESULTADOS!D145)</f>
        <v/>
      </c>
      <c r="D145" s="160" t="str">
        <f>+IF('CARGA DE DATOS'!K146="Cooperativa","COOP",IF(Salida!AT146="true","PROSU","GD"))</f>
        <v>GD</v>
      </c>
      <c r="E145" s="160" t="s">
        <v>9147</v>
      </c>
      <c r="F145" s="160" t="str">
        <f>+IF(OR(D145="COOP",'CARGA DE DATOS'!K146="GUMA"),"15.02.2022",IF('CARGA DE DATOS'!K146="GUME","05.02.2022","10.02.2022"))</f>
        <v>05.02.2022</v>
      </c>
      <c r="G145" s="163">
        <f>+IF(VLOOKUP(G$1,Lecturas!$N$1:$AA$20,$AC145,FALSE)=0,"",VLOOKUP(G$1,Lecturas!$N$1:$AA$20,$AC145,FALSE))</f>
        <v>150</v>
      </c>
      <c r="H145" s="163">
        <f>+IF(VLOOKUP(H$1,Lecturas!$N$1:$AA$20,$AC145,FALSE)=0,"",VLOOKUP(H$1,Lecturas!$N$1:$AA$20,$AC145,FALSE))</f>
        <v>300</v>
      </c>
      <c r="I145" s="163">
        <f>+IF(VLOOKUP(I$1,Lecturas!$N$1:$AA$20,$AC145,FALSE)=0,"",VLOOKUP(I$1,Lecturas!$N$1:$AA$20,$AC145,FALSE))</f>
        <v>350</v>
      </c>
      <c r="J145" s="156" t="str">
        <f>+IF(VLOOKUP(J$1,Lecturas!$N$1:$AA$20,$AC145,FALSE)=0,"",VLOOKUP(J$1,Lecturas!$N$1:$AA$20,$AC145,FALSE))</f>
        <v/>
      </c>
      <c r="K145" s="156" t="str">
        <f>+IF(VLOOKUP(K$1,Lecturas!$N$1:$AA$20,$AC145,FALSE)=0,"",VLOOKUP(K$1,Lecturas!$N$1:$AA$20,$AC145,FALSE))</f>
        <v/>
      </c>
      <c r="L145" s="156" t="str">
        <f>+IF(VLOOKUP(L$1,Lecturas!$N$1:$AA$20,$AC145,FALSE)=0,"",VLOOKUP(L$1,Lecturas!$N$1:$AA$20,$AC145,FALSE))</f>
        <v/>
      </c>
      <c r="M145" s="163">
        <f>+IF(VLOOKUP(M$1,Lecturas!$N$1:$AA$20,$AC145,FALSE)=0,"",VLOOKUP(M$1,Lecturas!$N$1:$AA$20,$AC145,FALSE))</f>
        <v>2500</v>
      </c>
      <c r="N145" s="163">
        <f>+IF(VLOOKUP(N$1,Lecturas!$N$1:$AA$20,$AC145,FALSE)=0,"",VLOOKUP(N$1,Lecturas!$N$1:$AA$20,$AC145,FALSE))</f>
        <v>2000</v>
      </c>
      <c r="O145" s="163">
        <f>+IF(VLOOKUP(O$1,Lecturas!$N$1:$AA$20,$AC145,FALSE)=0,"",VLOOKUP(O$1,Lecturas!$N$1:$AA$20,$AC145,FALSE))</f>
        <v>3000</v>
      </c>
      <c r="P145" s="156" t="str">
        <f>+IF(VLOOKUP(P$1,Lecturas!$N$1:$AA$20,$AC145,FALSE)=0,"",VLOOKUP(P$1,Lecturas!$N$1:$AA$20,$AC145,FALSE))</f>
        <v/>
      </c>
      <c r="Q145" s="156" t="str">
        <f>+IF(VLOOKUP(Q$1,Lecturas!$N$1:$AA$20,$AC145,FALSE)=0,"",VLOOKUP(Q$1,Lecturas!$N$1:$AA$20,$AC145,FALSE))</f>
        <v/>
      </c>
      <c r="R145" s="156" t="str">
        <f>+IF(VLOOKUP(R$1,Lecturas!$N$1:$AA$20,$AC145,FALSE)=0,"",VLOOKUP(R$1,Lecturas!$N$1:$AA$20,$AC145,FALSE))</f>
        <v/>
      </c>
      <c r="S145" s="163" t="str">
        <f>+IF(VLOOKUP(S$1,Lecturas!$N$1:$AA$20,$AC145,FALSE)=0,"",VLOOKUP(S$1,Lecturas!$N$1:$AA$20,$AC145,FALSE))</f>
        <v/>
      </c>
      <c r="T145" s="163" t="str">
        <f>+IF(VLOOKUP(T$1,Lecturas!$N$1:$AA$20,$AC145,FALSE)=0,"",VLOOKUP(T$1,Lecturas!$N$1:$AA$20,$AC145,FALSE))</f>
        <v/>
      </c>
      <c r="U145" s="163" t="str">
        <f>+IF(VLOOKUP(U$1,Lecturas!$N$1:$AA$20,$AC145,FALSE)=0,"",VLOOKUP(U$1,Lecturas!$N$1:$AA$20,$AC145,FALSE))</f>
        <v/>
      </c>
      <c r="V145" s="156" t="str">
        <f>+IF(VLOOKUP(V$1,Lecturas!$N$1:$AA$20,$AC145,FALSE)=0,"",VLOOKUP(V$1,Lecturas!$N$1:$AA$20,$AC145,FALSE))</f>
        <v/>
      </c>
      <c r="W145" s="156" t="str">
        <f>+IF(VLOOKUP(W$1,Lecturas!$N$1:$AA$20,$AC145,FALSE)=0,"",VLOOKUP(W$1,Lecturas!$N$1:$AA$20,$AC145,FALSE))</f>
        <v/>
      </c>
      <c r="X145" s="156" t="str">
        <f>+IF(VLOOKUP(X$1,Lecturas!$N$1:$AA$20,$AC145,FALSE)=0,"",VLOOKUP(X$1,Lecturas!$N$1:$AA$20,$AC145,FALSE))</f>
        <v/>
      </c>
      <c r="Y145" s="163">
        <f>+IF(VLOOKUP(Y$1,Lecturas!$N$1:$AA$20,$AC145,FALSE)=0,"",VLOOKUP(Y$1,Lecturas!$N$1:$AA$20,$AC145,FALSE))</f>
        <v>2460</v>
      </c>
      <c r="Z145" s="48"/>
      <c r="AA145" s="48"/>
      <c r="AB145" s="48"/>
      <c r="AC145" s="148">
        <f>+'CARGA DE DATOS'!AF146</f>
        <v>5</v>
      </c>
    </row>
    <row r="146" spans="1:29" x14ac:dyDescent="0.25">
      <c r="A146" s="148">
        <f>+'CARGA DE DATOS'!A147</f>
        <v>145</v>
      </c>
      <c r="B146" s="48" t="str">
        <f>+IF(RESULTADOS!H146="","",RESULTADOS!H146)</f>
        <v/>
      </c>
      <c r="C146" s="48" t="str">
        <f>+IF(RESULTADOS!D146="","",RESULTADOS!D146)</f>
        <v/>
      </c>
      <c r="D146" s="160" t="str">
        <f>+IF('CARGA DE DATOS'!K147="Cooperativa","COOP",IF(Salida!AT147="true","PROSU","GD"))</f>
        <v>COOP</v>
      </c>
      <c r="E146" s="160" t="s">
        <v>9147</v>
      </c>
      <c r="F146" s="160" t="str">
        <f>+IF(OR(D146="COOP",'CARGA DE DATOS'!K147="GUMA"),"15.02.2022",IF('CARGA DE DATOS'!K147="GUME","05.02.2022","10.02.2022"))</f>
        <v>15.02.2022</v>
      </c>
      <c r="G146" s="163">
        <f>+IF(VLOOKUP(G$1,Lecturas!$N$1:$AA$20,$AC146,FALSE)=0,"",VLOOKUP(G$1,Lecturas!$N$1:$AA$20,$AC146,FALSE))</f>
        <v>100</v>
      </c>
      <c r="H146" s="163">
        <f>+IF(VLOOKUP(H$1,Lecturas!$N$1:$AA$20,$AC146,FALSE)=0,"",VLOOKUP(H$1,Lecturas!$N$1:$AA$20,$AC146,FALSE))</f>
        <v>150</v>
      </c>
      <c r="I146" s="163" t="str">
        <f>+IF(VLOOKUP(I$1,Lecturas!$N$1:$AA$20,$AC146,FALSE)=0,"",VLOOKUP(I$1,Lecturas!$N$1:$AA$20,$AC146,FALSE))</f>
        <v/>
      </c>
      <c r="J146" s="156" t="str">
        <f>+IF(VLOOKUP(J$1,Lecturas!$N$1:$AA$20,$AC146,FALSE)=0,"",VLOOKUP(J$1,Lecturas!$N$1:$AA$20,$AC146,FALSE))</f>
        <v/>
      </c>
      <c r="K146" s="156" t="str">
        <f>+IF(VLOOKUP(K$1,Lecturas!$N$1:$AA$20,$AC146,FALSE)=0,"",VLOOKUP(K$1,Lecturas!$N$1:$AA$20,$AC146,FALSE))</f>
        <v/>
      </c>
      <c r="L146" s="156" t="str">
        <f>+IF(VLOOKUP(L$1,Lecturas!$N$1:$AA$20,$AC146,FALSE)=0,"",VLOOKUP(L$1,Lecturas!$N$1:$AA$20,$AC146,FALSE))</f>
        <v/>
      </c>
      <c r="M146" s="163">
        <f>+IF(VLOOKUP(M$1,Lecturas!$N$1:$AA$20,$AC146,FALSE)=0,"",VLOOKUP(M$1,Lecturas!$N$1:$AA$20,$AC146,FALSE))</f>
        <v>151</v>
      </c>
      <c r="N146" s="163">
        <f>+IF(VLOOKUP(N$1,Lecturas!$N$1:$AA$20,$AC146,FALSE)=0,"",VLOOKUP(N$1,Lecturas!$N$1:$AA$20,$AC146,FALSE))</f>
        <v>150</v>
      </c>
      <c r="O146" s="163">
        <f>+IF(VLOOKUP(O$1,Lecturas!$N$1:$AA$20,$AC146,FALSE)=0,"",VLOOKUP(O$1,Lecturas!$N$1:$AA$20,$AC146,FALSE))</f>
        <v>152</v>
      </c>
      <c r="P146" s="156">
        <f>+IF(VLOOKUP(P$1,Lecturas!$N$1:$AA$20,$AC146,FALSE)=0,"",VLOOKUP(P$1,Lecturas!$N$1:$AA$20,$AC146,FALSE))</f>
        <v>154</v>
      </c>
      <c r="Q146" s="156">
        <f>+IF(VLOOKUP(Q$1,Lecturas!$N$1:$AA$20,$AC146,FALSE)=0,"",VLOOKUP(Q$1,Lecturas!$N$1:$AA$20,$AC146,FALSE))</f>
        <v>153</v>
      </c>
      <c r="R146" s="156">
        <f>+IF(VLOOKUP(R$1,Lecturas!$N$1:$AA$20,$AC146,FALSE)=0,"",VLOOKUP(R$1,Lecturas!$N$1:$AA$20,$AC146,FALSE))</f>
        <v>155</v>
      </c>
      <c r="S146" s="163">
        <f>+IF(VLOOKUP(S$1,Lecturas!$N$1:$AA$20,$AC146,FALSE)=0,"",VLOOKUP(S$1,Lecturas!$N$1:$AA$20,$AC146,FALSE))</f>
        <v>157</v>
      </c>
      <c r="T146" s="163">
        <f>+IF(VLOOKUP(T$1,Lecturas!$N$1:$AA$20,$AC146,FALSE)=0,"",VLOOKUP(T$1,Lecturas!$N$1:$AA$20,$AC146,FALSE))</f>
        <v>156</v>
      </c>
      <c r="U146" s="163">
        <f>+IF(VLOOKUP(U$1,Lecturas!$N$1:$AA$20,$AC146,FALSE)=0,"",VLOOKUP(U$1,Lecturas!$N$1:$AA$20,$AC146,FALSE))</f>
        <v>158</v>
      </c>
      <c r="V146" s="156">
        <f>+IF(VLOOKUP(V$1,Lecturas!$N$1:$AA$20,$AC146,FALSE)=0,"",VLOOKUP(V$1,Lecturas!$N$1:$AA$20,$AC146,FALSE))</f>
        <v>160</v>
      </c>
      <c r="W146" s="156">
        <f>+IF(VLOOKUP(W$1,Lecturas!$N$1:$AA$20,$AC146,FALSE)=0,"",VLOOKUP(W$1,Lecturas!$N$1:$AA$20,$AC146,FALSE))</f>
        <v>159</v>
      </c>
      <c r="X146" s="156">
        <f>+IF(VLOOKUP(X$1,Lecturas!$N$1:$AA$20,$AC146,FALSE)=0,"",VLOOKUP(X$1,Lecturas!$N$1:$AA$20,$AC146,FALSE))</f>
        <v>161</v>
      </c>
      <c r="Y146" s="163">
        <f>+IF(VLOOKUP(Y$1,Lecturas!$N$1:$AA$20,$AC146,FALSE)=0,"",VLOOKUP(Y$1,Lecturas!$N$1:$AA$20,$AC146,FALSE))</f>
        <v>2500</v>
      </c>
      <c r="Z146" s="48"/>
      <c r="AA146" s="48"/>
      <c r="AB146" s="48"/>
      <c r="AC146" s="148">
        <f>+'CARGA DE DATOS'!AF147</f>
        <v>12</v>
      </c>
    </row>
    <row r="147" spans="1:29" x14ac:dyDescent="0.25">
      <c r="A147" s="148">
        <f>+'CARGA DE DATOS'!A148</f>
        <v>146</v>
      </c>
      <c r="B147" s="48" t="str">
        <f>+IF(RESULTADOS!H147="","",RESULTADOS!H147)</f>
        <v/>
      </c>
      <c r="C147" s="48" t="str">
        <f>+IF(RESULTADOS!D147="","",RESULTADOS!D147)</f>
        <v/>
      </c>
      <c r="D147" s="160" t="str">
        <f>+IF('CARGA DE DATOS'!K148="Cooperativa","COOP",IF(Salida!AT148="true","PROSU","GD"))</f>
        <v>COOP</v>
      </c>
      <c r="E147" s="160" t="s">
        <v>9147</v>
      </c>
      <c r="F147" s="160" t="str">
        <f>+IF(OR(D147="COOP",'CARGA DE DATOS'!K148="GUMA"),"15.02.2022",IF('CARGA DE DATOS'!K148="GUME","05.02.2022","10.02.2022"))</f>
        <v>15.02.2022</v>
      </c>
      <c r="G147" s="163">
        <f>+IF(VLOOKUP(G$1,Lecturas!$N$1:$AA$20,$AC147,FALSE)=0,"",VLOOKUP(G$1,Lecturas!$N$1:$AA$20,$AC147,FALSE))</f>
        <v>20</v>
      </c>
      <c r="H147" s="163">
        <f>+IF(VLOOKUP(H$1,Lecturas!$N$1:$AA$20,$AC147,FALSE)=0,"",VLOOKUP(H$1,Lecturas!$N$1:$AA$20,$AC147,FALSE))</f>
        <v>20</v>
      </c>
      <c r="I147" s="163" t="str">
        <f>+IF(VLOOKUP(I$1,Lecturas!$N$1:$AA$20,$AC147,FALSE)=0,"",VLOOKUP(I$1,Lecturas!$N$1:$AA$20,$AC147,FALSE))</f>
        <v/>
      </c>
      <c r="J147" s="156" t="str">
        <f>+IF(VLOOKUP(J$1,Lecturas!$N$1:$AA$20,$AC147,FALSE)=0,"",VLOOKUP(J$1,Lecturas!$N$1:$AA$20,$AC147,FALSE))</f>
        <v/>
      </c>
      <c r="K147" s="156" t="str">
        <f>+IF(VLOOKUP(K$1,Lecturas!$N$1:$AA$20,$AC147,FALSE)=0,"",VLOOKUP(K$1,Lecturas!$N$1:$AA$20,$AC147,FALSE))</f>
        <v/>
      </c>
      <c r="L147" s="156" t="str">
        <f>+IF(VLOOKUP(L$1,Lecturas!$N$1:$AA$20,$AC147,FALSE)=0,"",VLOOKUP(L$1,Lecturas!$N$1:$AA$20,$AC147,FALSE))</f>
        <v/>
      </c>
      <c r="M147" s="163">
        <f>+IF(VLOOKUP(M$1,Lecturas!$N$1:$AA$20,$AC147,FALSE)=0,"",VLOOKUP(M$1,Lecturas!$N$1:$AA$20,$AC147,FALSE))</f>
        <v>151</v>
      </c>
      <c r="N147" s="163">
        <f>+IF(VLOOKUP(N$1,Lecturas!$N$1:$AA$20,$AC147,FALSE)=0,"",VLOOKUP(N$1,Lecturas!$N$1:$AA$20,$AC147,FALSE))</f>
        <v>150</v>
      </c>
      <c r="O147" s="163">
        <f>+IF(VLOOKUP(O$1,Lecturas!$N$1:$AA$20,$AC147,FALSE)=0,"",VLOOKUP(O$1,Lecturas!$N$1:$AA$20,$AC147,FALSE))</f>
        <v>152</v>
      </c>
      <c r="P147" s="156">
        <f>+IF(VLOOKUP(P$1,Lecturas!$N$1:$AA$20,$AC147,FALSE)=0,"",VLOOKUP(P$1,Lecturas!$N$1:$AA$20,$AC147,FALSE))</f>
        <v>154</v>
      </c>
      <c r="Q147" s="156">
        <f>+IF(VLOOKUP(Q$1,Lecturas!$N$1:$AA$20,$AC147,FALSE)=0,"",VLOOKUP(Q$1,Lecturas!$N$1:$AA$20,$AC147,FALSE))</f>
        <v>153</v>
      </c>
      <c r="R147" s="156">
        <f>+IF(VLOOKUP(R$1,Lecturas!$N$1:$AA$20,$AC147,FALSE)=0,"",VLOOKUP(R$1,Lecturas!$N$1:$AA$20,$AC147,FALSE))</f>
        <v>155</v>
      </c>
      <c r="S147" s="163">
        <f>+IF(VLOOKUP(S$1,Lecturas!$N$1:$AA$20,$AC147,FALSE)=0,"",VLOOKUP(S$1,Lecturas!$N$1:$AA$20,$AC147,FALSE))</f>
        <v>157</v>
      </c>
      <c r="T147" s="163">
        <f>+IF(VLOOKUP(T$1,Lecturas!$N$1:$AA$20,$AC147,FALSE)=0,"",VLOOKUP(T$1,Lecturas!$N$1:$AA$20,$AC147,FALSE))</f>
        <v>156</v>
      </c>
      <c r="U147" s="163">
        <f>+IF(VLOOKUP(U$1,Lecturas!$N$1:$AA$20,$AC147,FALSE)=0,"",VLOOKUP(U$1,Lecturas!$N$1:$AA$20,$AC147,FALSE))</f>
        <v>158</v>
      </c>
      <c r="V147" s="156">
        <f>+IF(VLOOKUP(V$1,Lecturas!$N$1:$AA$20,$AC147,FALSE)=0,"",VLOOKUP(V$1,Lecturas!$N$1:$AA$20,$AC147,FALSE))</f>
        <v>160</v>
      </c>
      <c r="W147" s="156">
        <f>+IF(VLOOKUP(W$1,Lecturas!$N$1:$AA$20,$AC147,FALSE)=0,"",VLOOKUP(W$1,Lecturas!$N$1:$AA$20,$AC147,FALSE))</f>
        <v>159</v>
      </c>
      <c r="X147" s="156">
        <f>+IF(VLOOKUP(X$1,Lecturas!$N$1:$AA$20,$AC147,FALSE)=0,"",VLOOKUP(X$1,Lecturas!$N$1:$AA$20,$AC147,FALSE))</f>
        <v>161</v>
      </c>
      <c r="Y147" s="163">
        <f>+IF(VLOOKUP(Y$1,Lecturas!$N$1:$AA$20,$AC147,FALSE)=0,"",VLOOKUP(Y$1,Lecturas!$N$1:$AA$20,$AC147,FALSE))</f>
        <v>2500</v>
      </c>
      <c r="Z147" s="48"/>
      <c r="AA147" s="48"/>
      <c r="AB147" s="48"/>
      <c r="AC147" s="148">
        <f>+'CARGA DE DATOS'!AF148</f>
        <v>14</v>
      </c>
    </row>
    <row r="148" spans="1:29" x14ac:dyDescent="0.25">
      <c r="A148" s="148">
        <f>+'CARGA DE DATOS'!A149</f>
        <v>147</v>
      </c>
      <c r="B148" s="48" t="str">
        <f>+IF(RESULTADOS!H148="","",RESULTADOS!H148)</f>
        <v/>
      </c>
      <c r="C148" s="48" t="str">
        <f>+IF(RESULTADOS!D148="","",RESULTADOS!D148)</f>
        <v/>
      </c>
      <c r="D148" s="160" t="str">
        <f>+IF('CARGA DE DATOS'!K149="Cooperativa","COOP",IF(Salida!AT149="true","PROSU","GD"))</f>
        <v>COOP</v>
      </c>
      <c r="E148" s="160" t="s">
        <v>9147</v>
      </c>
      <c r="F148" s="160" t="str">
        <f>+IF(OR(D148="COOP",'CARGA DE DATOS'!K149="GUMA"),"15.02.2022",IF('CARGA DE DATOS'!K149="GUME","05.02.2022","10.02.2022"))</f>
        <v>15.02.2022</v>
      </c>
      <c r="G148" s="163">
        <f>+IF(VLOOKUP(G$1,Lecturas!$N$1:$AA$20,$AC148,FALSE)=0,"",VLOOKUP(G$1,Lecturas!$N$1:$AA$20,$AC148,FALSE))</f>
        <v>100</v>
      </c>
      <c r="H148" s="163">
        <f>+IF(VLOOKUP(H$1,Lecturas!$N$1:$AA$20,$AC148,FALSE)=0,"",VLOOKUP(H$1,Lecturas!$N$1:$AA$20,$AC148,FALSE))</f>
        <v>150</v>
      </c>
      <c r="I148" s="163" t="str">
        <f>+IF(VLOOKUP(I$1,Lecturas!$N$1:$AA$20,$AC148,FALSE)=0,"",VLOOKUP(I$1,Lecturas!$N$1:$AA$20,$AC148,FALSE))</f>
        <v/>
      </c>
      <c r="J148" s="156" t="str">
        <f>+IF(VLOOKUP(J$1,Lecturas!$N$1:$AA$20,$AC148,FALSE)=0,"",VLOOKUP(J$1,Lecturas!$N$1:$AA$20,$AC148,FALSE))</f>
        <v/>
      </c>
      <c r="K148" s="156" t="str">
        <f>+IF(VLOOKUP(K$1,Lecturas!$N$1:$AA$20,$AC148,FALSE)=0,"",VLOOKUP(K$1,Lecturas!$N$1:$AA$20,$AC148,FALSE))</f>
        <v/>
      </c>
      <c r="L148" s="156" t="str">
        <f>+IF(VLOOKUP(L$1,Lecturas!$N$1:$AA$20,$AC148,FALSE)=0,"",VLOOKUP(L$1,Lecturas!$N$1:$AA$20,$AC148,FALSE))</f>
        <v/>
      </c>
      <c r="M148" s="163">
        <f>+IF(VLOOKUP(M$1,Lecturas!$N$1:$AA$20,$AC148,FALSE)=0,"",VLOOKUP(M$1,Lecturas!$N$1:$AA$20,$AC148,FALSE))</f>
        <v>151</v>
      </c>
      <c r="N148" s="163">
        <f>+IF(VLOOKUP(N$1,Lecturas!$N$1:$AA$20,$AC148,FALSE)=0,"",VLOOKUP(N$1,Lecturas!$N$1:$AA$20,$AC148,FALSE))</f>
        <v>150</v>
      </c>
      <c r="O148" s="163">
        <f>+IF(VLOOKUP(O$1,Lecturas!$N$1:$AA$20,$AC148,FALSE)=0,"",VLOOKUP(O$1,Lecturas!$N$1:$AA$20,$AC148,FALSE))</f>
        <v>152</v>
      </c>
      <c r="P148" s="156">
        <f>+IF(VLOOKUP(P$1,Lecturas!$N$1:$AA$20,$AC148,FALSE)=0,"",VLOOKUP(P$1,Lecturas!$N$1:$AA$20,$AC148,FALSE))</f>
        <v>154</v>
      </c>
      <c r="Q148" s="156">
        <f>+IF(VLOOKUP(Q$1,Lecturas!$N$1:$AA$20,$AC148,FALSE)=0,"",VLOOKUP(Q$1,Lecturas!$N$1:$AA$20,$AC148,FALSE))</f>
        <v>153</v>
      </c>
      <c r="R148" s="156">
        <f>+IF(VLOOKUP(R$1,Lecturas!$N$1:$AA$20,$AC148,FALSE)=0,"",VLOOKUP(R$1,Lecturas!$N$1:$AA$20,$AC148,FALSE))</f>
        <v>155</v>
      </c>
      <c r="S148" s="163">
        <f>+IF(VLOOKUP(S$1,Lecturas!$N$1:$AA$20,$AC148,FALSE)=0,"",VLOOKUP(S$1,Lecturas!$N$1:$AA$20,$AC148,FALSE))</f>
        <v>157</v>
      </c>
      <c r="T148" s="163">
        <f>+IF(VLOOKUP(T$1,Lecturas!$N$1:$AA$20,$AC148,FALSE)=0,"",VLOOKUP(T$1,Lecturas!$N$1:$AA$20,$AC148,FALSE))</f>
        <v>156</v>
      </c>
      <c r="U148" s="163">
        <f>+IF(VLOOKUP(U$1,Lecturas!$N$1:$AA$20,$AC148,FALSE)=0,"",VLOOKUP(U$1,Lecturas!$N$1:$AA$20,$AC148,FALSE))</f>
        <v>158</v>
      </c>
      <c r="V148" s="156">
        <f>+IF(VLOOKUP(V$1,Lecturas!$N$1:$AA$20,$AC148,FALSE)=0,"",VLOOKUP(V$1,Lecturas!$N$1:$AA$20,$AC148,FALSE))</f>
        <v>160</v>
      </c>
      <c r="W148" s="156">
        <f>+IF(VLOOKUP(W$1,Lecturas!$N$1:$AA$20,$AC148,FALSE)=0,"",VLOOKUP(W$1,Lecturas!$N$1:$AA$20,$AC148,FALSE))</f>
        <v>159</v>
      </c>
      <c r="X148" s="156">
        <f>+IF(VLOOKUP(X$1,Lecturas!$N$1:$AA$20,$AC148,FALSE)=0,"",VLOOKUP(X$1,Lecturas!$N$1:$AA$20,$AC148,FALSE))</f>
        <v>161</v>
      </c>
      <c r="Y148" s="163">
        <f>+IF(VLOOKUP(Y$1,Lecturas!$N$1:$AA$20,$AC148,FALSE)=0,"",VLOOKUP(Y$1,Lecturas!$N$1:$AA$20,$AC148,FALSE))</f>
        <v>2500</v>
      </c>
      <c r="Z148" s="48"/>
      <c r="AA148" s="48"/>
      <c r="AB148" s="48"/>
      <c r="AC148" s="148">
        <f>+'CARGA DE DATOS'!AF149</f>
        <v>12</v>
      </c>
    </row>
    <row r="149" spans="1:29" x14ac:dyDescent="0.25">
      <c r="A149" s="148">
        <f>+'CARGA DE DATOS'!A150</f>
        <v>148</v>
      </c>
      <c r="B149" s="48" t="str">
        <f>+IF(RESULTADOS!H149="","",RESULTADOS!H149)</f>
        <v/>
      </c>
      <c r="C149" s="48" t="str">
        <f>+IF(RESULTADOS!D149="","",RESULTADOS!D149)</f>
        <v/>
      </c>
      <c r="D149" s="160" t="str">
        <f>+IF('CARGA DE DATOS'!K150="Cooperativa","COOP",IF(Salida!AT150="true","PROSU","GD"))</f>
        <v>COOP</v>
      </c>
      <c r="E149" s="160" t="s">
        <v>9147</v>
      </c>
      <c r="F149" s="160" t="str">
        <f>+IF(OR(D149="COOP",'CARGA DE DATOS'!K150="GUMA"),"15.02.2022",IF('CARGA DE DATOS'!K150="GUME","05.02.2022","10.02.2022"))</f>
        <v>15.02.2022</v>
      </c>
      <c r="G149" s="163">
        <f>+IF(VLOOKUP(G$1,Lecturas!$N$1:$AA$20,$AC149,FALSE)=0,"",VLOOKUP(G$1,Lecturas!$N$1:$AA$20,$AC149,FALSE))</f>
        <v>20</v>
      </c>
      <c r="H149" s="163">
        <f>+IF(VLOOKUP(H$1,Lecturas!$N$1:$AA$20,$AC149,FALSE)=0,"",VLOOKUP(H$1,Lecturas!$N$1:$AA$20,$AC149,FALSE))</f>
        <v>20</v>
      </c>
      <c r="I149" s="163" t="str">
        <f>+IF(VLOOKUP(I$1,Lecturas!$N$1:$AA$20,$AC149,FALSE)=0,"",VLOOKUP(I$1,Lecturas!$N$1:$AA$20,$AC149,FALSE))</f>
        <v/>
      </c>
      <c r="J149" s="156" t="str">
        <f>+IF(VLOOKUP(J$1,Lecturas!$N$1:$AA$20,$AC149,FALSE)=0,"",VLOOKUP(J$1,Lecturas!$N$1:$AA$20,$AC149,FALSE))</f>
        <v/>
      </c>
      <c r="K149" s="156" t="str">
        <f>+IF(VLOOKUP(K$1,Lecturas!$N$1:$AA$20,$AC149,FALSE)=0,"",VLOOKUP(K$1,Lecturas!$N$1:$AA$20,$AC149,FALSE))</f>
        <v/>
      </c>
      <c r="L149" s="156" t="str">
        <f>+IF(VLOOKUP(L$1,Lecturas!$N$1:$AA$20,$AC149,FALSE)=0,"",VLOOKUP(L$1,Lecturas!$N$1:$AA$20,$AC149,FALSE))</f>
        <v/>
      </c>
      <c r="M149" s="163">
        <f>+IF(VLOOKUP(M$1,Lecturas!$N$1:$AA$20,$AC149,FALSE)=0,"",VLOOKUP(M$1,Lecturas!$N$1:$AA$20,$AC149,FALSE))</f>
        <v>151</v>
      </c>
      <c r="N149" s="163">
        <f>+IF(VLOOKUP(N$1,Lecturas!$N$1:$AA$20,$AC149,FALSE)=0,"",VLOOKUP(N$1,Lecturas!$N$1:$AA$20,$AC149,FALSE))</f>
        <v>150</v>
      </c>
      <c r="O149" s="163">
        <f>+IF(VLOOKUP(O$1,Lecturas!$N$1:$AA$20,$AC149,FALSE)=0,"",VLOOKUP(O$1,Lecturas!$N$1:$AA$20,$AC149,FALSE))</f>
        <v>152</v>
      </c>
      <c r="P149" s="156">
        <f>+IF(VLOOKUP(P$1,Lecturas!$N$1:$AA$20,$AC149,FALSE)=0,"",VLOOKUP(P$1,Lecturas!$N$1:$AA$20,$AC149,FALSE))</f>
        <v>154</v>
      </c>
      <c r="Q149" s="156">
        <f>+IF(VLOOKUP(Q$1,Lecturas!$N$1:$AA$20,$AC149,FALSE)=0,"",VLOOKUP(Q$1,Lecturas!$N$1:$AA$20,$AC149,FALSE))</f>
        <v>153</v>
      </c>
      <c r="R149" s="156">
        <f>+IF(VLOOKUP(R$1,Lecturas!$N$1:$AA$20,$AC149,FALSE)=0,"",VLOOKUP(R$1,Lecturas!$N$1:$AA$20,$AC149,FALSE))</f>
        <v>155</v>
      </c>
      <c r="S149" s="163">
        <f>+IF(VLOOKUP(S$1,Lecturas!$N$1:$AA$20,$AC149,FALSE)=0,"",VLOOKUP(S$1,Lecturas!$N$1:$AA$20,$AC149,FALSE))</f>
        <v>157</v>
      </c>
      <c r="T149" s="163">
        <f>+IF(VLOOKUP(T$1,Lecturas!$N$1:$AA$20,$AC149,FALSE)=0,"",VLOOKUP(T$1,Lecturas!$N$1:$AA$20,$AC149,FALSE))</f>
        <v>156</v>
      </c>
      <c r="U149" s="163">
        <f>+IF(VLOOKUP(U$1,Lecturas!$N$1:$AA$20,$AC149,FALSE)=0,"",VLOOKUP(U$1,Lecturas!$N$1:$AA$20,$AC149,FALSE))</f>
        <v>158</v>
      </c>
      <c r="V149" s="156">
        <f>+IF(VLOOKUP(V$1,Lecturas!$N$1:$AA$20,$AC149,FALSE)=0,"",VLOOKUP(V$1,Lecturas!$N$1:$AA$20,$AC149,FALSE))</f>
        <v>160</v>
      </c>
      <c r="W149" s="156">
        <f>+IF(VLOOKUP(W$1,Lecturas!$N$1:$AA$20,$AC149,FALSE)=0,"",VLOOKUP(W$1,Lecturas!$N$1:$AA$20,$AC149,FALSE))</f>
        <v>159</v>
      </c>
      <c r="X149" s="156">
        <f>+IF(VLOOKUP(X$1,Lecturas!$N$1:$AA$20,$AC149,FALSE)=0,"",VLOOKUP(X$1,Lecturas!$N$1:$AA$20,$AC149,FALSE))</f>
        <v>161</v>
      </c>
      <c r="Y149" s="163">
        <f>+IF(VLOOKUP(Y$1,Lecturas!$N$1:$AA$20,$AC149,FALSE)=0,"",VLOOKUP(Y$1,Lecturas!$N$1:$AA$20,$AC149,FALSE))</f>
        <v>2500</v>
      </c>
      <c r="Z149" s="48"/>
      <c r="AA149" s="48"/>
      <c r="AB149" s="48"/>
      <c r="AC149" s="148">
        <f>+'CARGA DE DATOS'!AF150</f>
        <v>13</v>
      </c>
    </row>
    <row r="150" spans="1:29" x14ac:dyDescent="0.25">
      <c r="A150" s="148">
        <f>+'CARGA DE DATOS'!A151</f>
        <v>149</v>
      </c>
      <c r="B150" s="48" t="str">
        <f>+IF(RESULTADOS!H150="","",RESULTADOS!H150)</f>
        <v/>
      </c>
      <c r="C150" s="48" t="str">
        <f>+IF(RESULTADOS!D150="","",RESULTADOS!D150)</f>
        <v/>
      </c>
      <c r="D150" s="160" t="str">
        <f>+IF('CARGA DE DATOS'!K151="Cooperativa","COOP",IF(Salida!AT151="true","PROSU","GD"))</f>
        <v>COOP</v>
      </c>
      <c r="E150" s="160" t="s">
        <v>9147</v>
      </c>
      <c r="F150" s="160" t="str">
        <f>+IF(OR(D150="COOP",'CARGA DE DATOS'!K151="GUMA"),"15.02.2022",IF('CARGA DE DATOS'!K151="GUME","05.02.2022","10.02.2022"))</f>
        <v>15.02.2022</v>
      </c>
      <c r="G150" s="163">
        <f>+IF(VLOOKUP(G$1,Lecturas!$N$1:$AA$20,$AC150,FALSE)=0,"",VLOOKUP(G$1,Lecturas!$N$1:$AA$20,$AC150,FALSE))</f>
        <v>100</v>
      </c>
      <c r="H150" s="163">
        <f>+IF(VLOOKUP(H$1,Lecturas!$N$1:$AA$20,$AC150,FALSE)=0,"",VLOOKUP(H$1,Lecturas!$N$1:$AA$20,$AC150,FALSE))</f>
        <v>150</v>
      </c>
      <c r="I150" s="163" t="str">
        <f>+IF(VLOOKUP(I$1,Lecturas!$N$1:$AA$20,$AC150,FALSE)=0,"",VLOOKUP(I$1,Lecturas!$N$1:$AA$20,$AC150,FALSE))</f>
        <v/>
      </c>
      <c r="J150" s="156" t="str">
        <f>+IF(VLOOKUP(J$1,Lecturas!$N$1:$AA$20,$AC150,FALSE)=0,"",VLOOKUP(J$1,Lecturas!$N$1:$AA$20,$AC150,FALSE))</f>
        <v/>
      </c>
      <c r="K150" s="156" t="str">
        <f>+IF(VLOOKUP(K$1,Lecturas!$N$1:$AA$20,$AC150,FALSE)=0,"",VLOOKUP(K$1,Lecturas!$N$1:$AA$20,$AC150,FALSE))</f>
        <v/>
      </c>
      <c r="L150" s="156" t="str">
        <f>+IF(VLOOKUP(L$1,Lecturas!$N$1:$AA$20,$AC150,FALSE)=0,"",VLOOKUP(L$1,Lecturas!$N$1:$AA$20,$AC150,FALSE))</f>
        <v/>
      </c>
      <c r="M150" s="163">
        <f>+IF(VLOOKUP(M$1,Lecturas!$N$1:$AA$20,$AC150,FALSE)=0,"",VLOOKUP(M$1,Lecturas!$N$1:$AA$20,$AC150,FALSE))</f>
        <v>151</v>
      </c>
      <c r="N150" s="163">
        <f>+IF(VLOOKUP(N$1,Lecturas!$N$1:$AA$20,$AC150,FALSE)=0,"",VLOOKUP(N$1,Lecturas!$N$1:$AA$20,$AC150,FALSE))</f>
        <v>150</v>
      </c>
      <c r="O150" s="163">
        <f>+IF(VLOOKUP(O$1,Lecturas!$N$1:$AA$20,$AC150,FALSE)=0,"",VLOOKUP(O$1,Lecturas!$N$1:$AA$20,$AC150,FALSE))</f>
        <v>152</v>
      </c>
      <c r="P150" s="156">
        <f>+IF(VLOOKUP(P$1,Lecturas!$N$1:$AA$20,$AC150,FALSE)=0,"",VLOOKUP(P$1,Lecturas!$N$1:$AA$20,$AC150,FALSE))</f>
        <v>154</v>
      </c>
      <c r="Q150" s="156">
        <f>+IF(VLOOKUP(Q$1,Lecturas!$N$1:$AA$20,$AC150,FALSE)=0,"",VLOOKUP(Q$1,Lecturas!$N$1:$AA$20,$AC150,FALSE))</f>
        <v>153</v>
      </c>
      <c r="R150" s="156">
        <f>+IF(VLOOKUP(R$1,Lecturas!$N$1:$AA$20,$AC150,FALSE)=0,"",VLOOKUP(R$1,Lecturas!$N$1:$AA$20,$AC150,FALSE))</f>
        <v>155</v>
      </c>
      <c r="S150" s="163">
        <f>+IF(VLOOKUP(S$1,Lecturas!$N$1:$AA$20,$AC150,FALSE)=0,"",VLOOKUP(S$1,Lecturas!$N$1:$AA$20,$AC150,FALSE))</f>
        <v>157</v>
      </c>
      <c r="T150" s="163">
        <f>+IF(VLOOKUP(T$1,Lecturas!$N$1:$AA$20,$AC150,FALSE)=0,"",VLOOKUP(T$1,Lecturas!$N$1:$AA$20,$AC150,FALSE))</f>
        <v>156</v>
      </c>
      <c r="U150" s="163">
        <f>+IF(VLOOKUP(U$1,Lecturas!$N$1:$AA$20,$AC150,FALSE)=0,"",VLOOKUP(U$1,Lecturas!$N$1:$AA$20,$AC150,FALSE))</f>
        <v>158</v>
      </c>
      <c r="V150" s="156">
        <f>+IF(VLOOKUP(V$1,Lecturas!$N$1:$AA$20,$AC150,FALSE)=0,"",VLOOKUP(V$1,Lecturas!$N$1:$AA$20,$AC150,FALSE))</f>
        <v>160</v>
      </c>
      <c r="W150" s="156">
        <f>+IF(VLOOKUP(W$1,Lecturas!$N$1:$AA$20,$AC150,FALSE)=0,"",VLOOKUP(W$1,Lecturas!$N$1:$AA$20,$AC150,FALSE))</f>
        <v>159</v>
      </c>
      <c r="X150" s="156">
        <f>+IF(VLOOKUP(X$1,Lecturas!$N$1:$AA$20,$AC150,FALSE)=0,"",VLOOKUP(X$1,Lecturas!$N$1:$AA$20,$AC150,FALSE))</f>
        <v>161</v>
      </c>
      <c r="Y150" s="163">
        <f>+IF(VLOOKUP(Y$1,Lecturas!$N$1:$AA$20,$AC150,FALSE)=0,"",VLOOKUP(Y$1,Lecturas!$N$1:$AA$20,$AC150,FALSE))</f>
        <v>2500</v>
      </c>
      <c r="Z150" s="48"/>
      <c r="AA150" s="48"/>
      <c r="AB150" s="48"/>
      <c r="AC150" s="148">
        <f>+'CARGA DE DATOS'!AF151</f>
        <v>12</v>
      </c>
    </row>
    <row r="151" spans="1:29" x14ac:dyDescent="0.25">
      <c r="A151" s="148">
        <f>+'CARGA DE DATOS'!A152</f>
        <v>150</v>
      </c>
      <c r="B151" s="48" t="str">
        <f>+IF(RESULTADOS!H151="","",RESULTADOS!H151)</f>
        <v/>
      </c>
      <c r="C151" s="48" t="str">
        <f>+IF(RESULTADOS!D151="","",RESULTADOS!D151)</f>
        <v/>
      </c>
      <c r="D151" s="160" t="str">
        <f>+IF('CARGA DE DATOS'!K152="Cooperativa","COOP",IF(Salida!AT152="true","PROSU","GD"))</f>
        <v>COOP</v>
      </c>
      <c r="E151" s="160" t="s">
        <v>9147</v>
      </c>
      <c r="F151" s="160" t="str">
        <f>+IF(OR(D151="COOP",'CARGA DE DATOS'!K152="GUMA"),"15.02.2022",IF('CARGA DE DATOS'!K152="GUME","05.02.2022","10.02.2022"))</f>
        <v>15.02.2022</v>
      </c>
      <c r="G151" s="163">
        <f>+IF(VLOOKUP(G$1,Lecturas!$N$1:$AA$20,$AC151,FALSE)=0,"",VLOOKUP(G$1,Lecturas!$N$1:$AA$20,$AC151,FALSE))</f>
        <v>20</v>
      </c>
      <c r="H151" s="163">
        <f>+IF(VLOOKUP(H$1,Lecturas!$N$1:$AA$20,$AC151,FALSE)=0,"",VLOOKUP(H$1,Lecturas!$N$1:$AA$20,$AC151,FALSE))</f>
        <v>20</v>
      </c>
      <c r="I151" s="163" t="str">
        <f>+IF(VLOOKUP(I$1,Lecturas!$N$1:$AA$20,$AC151,FALSE)=0,"",VLOOKUP(I$1,Lecturas!$N$1:$AA$20,$AC151,FALSE))</f>
        <v/>
      </c>
      <c r="J151" s="156" t="str">
        <f>+IF(VLOOKUP(J$1,Lecturas!$N$1:$AA$20,$AC151,FALSE)=0,"",VLOOKUP(J$1,Lecturas!$N$1:$AA$20,$AC151,FALSE))</f>
        <v/>
      </c>
      <c r="K151" s="156" t="str">
        <f>+IF(VLOOKUP(K$1,Lecturas!$N$1:$AA$20,$AC151,FALSE)=0,"",VLOOKUP(K$1,Lecturas!$N$1:$AA$20,$AC151,FALSE))</f>
        <v/>
      </c>
      <c r="L151" s="156" t="str">
        <f>+IF(VLOOKUP(L$1,Lecturas!$N$1:$AA$20,$AC151,FALSE)=0,"",VLOOKUP(L$1,Lecturas!$N$1:$AA$20,$AC151,FALSE))</f>
        <v/>
      </c>
      <c r="M151" s="163">
        <f>+IF(VLOOKUP(M$1,Lecturas!$N$1:$AA$20,$AC151,FALSE)=0,"",VLOOKUP(M$1,Lecturas!$N$1:$AA$20,$AC151,FALSE))</f>
        <v>151</v>
      </c>
      <c r="N151" s="163">
        <f>+IF(VLOOKUP(N$1,Lecturas!$N$1:$AA$20,$AC151,FALSE)=0,"",VLOOKUP(N$1,Lecturas!$N$1:$AA$20,$AC151,FALSE))</f>
        <v>150</v>
      </c>
      <c r="O151" s="163">
        <f>+IF(VLOOKUP(O$1,Lecturas!$N$1:$AA$20,$AC151,FALSE)=0,"",VLOOKUP(O$1,Lecturas!$N$1:$AA$20,$AC151,FALSE))</f>
        <v>152</v>
      </c>
      <c r="P151" s="156">
        <f>+IF(VLOOKUP(P$1,Lecturas!$N$1:$AA$20,$AC151,FALSE)=0,"",VLOOKUP(P$1,Lecturas!$N$1:$AA$20,$AC151,FALSE))</f>
        <v>154</v>
      </c>
      <c r="Q151" s="156">
        <f>+IF(VLOOKUP(Q$1,Lecturas!$N$1:$AA$20,$AC151,FALSE)=0,"",VLOOKUP(Q$1,Lecturas!$N$1:$AA$20,$AC151,FALSE))</f>
        <v>153</v>
      </c>
      <c r="R151" s="156">
        <f>+IF(VLOOKUP(R$1,Lecturas!$N$1:$AA$20,$AC151,FALSE)=0,"",VLOOKUP(R$1,Lecturas!$N$1:$AA$20,$AC151,FALSE))</f>
        <v>155</v>
      </c>
      <c r="S151" s="163">
        <f>+IF(VLOOKUP(S$1,Lecturas!$N$1:$AA$20,$AC151,FALSE)=0,"",VLOOKUP(S$1,Lecturas!$N$1:$AA$20,$AC151,FALSE))</f>
        <v>157</v>
      </c>
      <c r="T151" s="163">
        <f>+IF(VLOOKUP(T$1,Lecturas!$N$1:$AA$20,$AC151,FALSE)=0,"",VLOOKUP(T$1,Lecturas!$N$1:$AA$20,$AC151,FALSE))</f>
        <v>156</v>
      </c>
      <c r="U151" s="163">
        <f>+IF(VLOOKUP(U$1,Lecturas!$N$1:$AA$20,$AC151,FALSE)=0,"",VLOOKUP(U$1,Lecturas!$N$1:$AA$20,$AC151,FALSE))</f>
        <v>158</v>
      </c>
      <c r="V151" s="156">
        <f>+IF(VLOOKUP(V$1,Lecturas!$N$1:$AA$20,$AC151,FALSE)=0,"",VLOOKUP(V$1,Lecturas!$N$1:$AA$20,$AC151,FALSE))</f>
        <v>160</v>
      </c>
      <c r="W151" s="156">
        <f>+IF(VLOOKUP(W$1,Lecturas!$N$1:$AA$20,$AC151,FALSE)=0,"",VLOOKUP(W$1,Lecturas!$N$1:$AA$20,$AC151,FALSE))</f>
        <v>159</v>
      </c>
      <c r="X151" s="156">
        <f>+IF(VLOOKUP(X$1,Lecturas!$N$1:$AA$20,$AC151,FALSE)=0,"",VLOOKUP(X$1,Lecturas!$N$1:$AA$20,$AC151,FALSE))</f>
        <v>161</v>
      </c>
      <c r="Y151" s="163">
        <f>+IF(VLOOKUP(Y$1,Lecturas!$N$1:$AA$20,$AC151,FALSE)=0,"",VLOOKUP(Y$1,Lecturas!$N$1:$AA$20,$AC151,FALSE))</f>
        <v>2500</v>
      </c>
      <c r="Z151" s="48"/>
      <c r="AA151" s="48"/>
      <c r="AB151" s="48"/>
      <c r="AC151" s="148">
        <f>+'CARGA DE DATOS'!AF152</f>
        <v>14</v>
      </c>
    </row>
    <row r="152" spans="1:29" x14ac:dyDescent="0.25">
      <c r="A152" s="148">
        <f>+'CARGA DE DATOS'!A153</f>
        <v>151</v>
      </c>
      <c r="B152" s="48" t="str">
        <f>+IF(RESULTADOS!H152="","",RESULTADOS!H152)</f>
        <v/>
      </c>
      <c r="C152" s="48" t="str">
        <f>+IF(RESULTADOS!D152="","",RESULTADOS!D152)</f>
        <v/>
      </c>
      <c r="D152" s="160" t="str">
        <f>+IF('CARGA DE DATOS'!K153="Cooperativa","COOP",IF(Salida!AT153="true","PROSU","GD"))</f>
        <v>COOP</v>
      </c>
      <c r="E152" s="160" t="s">
        <v>9147</v>
      </c>
      <c r="F152" s="160" t="str">
        <f>+IF(OR(D152="COOP",'CARGA DE DATOS'!K153="GUMA"),"15.02.2022",IF('CARGA DE DATOS'!K153="GUME","05.02.2022","10.02.2022"))</f>
        <v>15.02.2022</v>
      </c>
      <c r="G152" s="163">
        <f>+IF(VLOOKUP(G$1,Lecturas!$N$1:$AA$20,$AC152,FALSE)=0,"",VLOOKUP(G$1,Lecturas!$N$1:$AA$20,$AC152,FALSE))</f>
        <v>100</v>
      </c>
      <c r="H152" s="163">
        <f>+IF(VLOOKUP(H$1,Lecturas!$N$1:$AA$20,$AC152,FALSE)=0,"",VLOOKUP(H$1,Lecturas!$N$1:$AA$20,$AC152,FALSE))</f>
        <v>150</v>
      </c>
      <c r="I152" s="163" t="str">
        <f>+IF(VLOOKUP(I$1,Lecturas!$N$1:$AA$20,$AC152,FALSE)=0,"",VLOOKUP(I$1,Lecturas!$N$1:$AA$20,$AC152,FALSE))</f>
        <v/>
      </c>
      <c r="J152" s="156" t="str">
        <f>+IF(VLOOKUP(J$1,Lecturas!$N$1:$AA$20,$AC152,FALSE)=0,"",VLOOKUP(J$1,Lecturas!$N$1:$AA$20,$AC152,FALSE))</f>
        <v/>
      </c>
      <c r="K152" s="156" t="str">
        <f>+IF(VLOOKUP(K$1,Lecturas!$N$1:$AA$20,$AC152,FALSE)=0,"",VLOOKUP(K$1,Lecturas!$N$1:$AA$20,$AC152,FALSE))</f>
        <v/>
      </c>
      <c r="L152" s="156" t="str">
        <f>+IF(VLOOKUP(L$1,Lecturas!$N$1:$AA$20,$AC152,FALSE)=0,"",VLOOKUP(L$1,Lecturas!$N$1:$AA$20,$AC152,FALSE))</f>
        <v/>
      </c>
      <c r="M152" s="163">
        <f>+IF(VLOOKUP(M$1,Lecturas!$N$1:$AA$20,$AC152,FALSE)=0,"",VLOOKUP(M$1,Lecturas!$N$1:$AA$20,$AC152,FALSE))</f>
        <v>151</v>
      </c>
      <c r="N152" s="163">
        <f>+IF(VLOOKUP(N$1,Lecturas!$N$1:$AA$20,$AC152,FALSE)=0,"",VLOOKUP(N$1,Lecturas!$N$1:$AA$20,$AC152,FALSE))</f>
        <v>150</v>
      </c>
      <c r="O152" s="163">
        <f>+IF(VLOOKUP(O$1,Lecturas!$N$1:$AA$20,$AC152,FALSE)=0,"",VLOOKUP(O$1,Lecturas!$N$1:$AA$20,$AC152,FALSE))</f>
        <v>152</v>
      </c>
      <c r="P152" s="156">
        <f>+IF(VLOOKUP(P$1,Lecturas!$N$1:$AA$20,$AC152,FALSE)=0,"",VLOOKUP(P$1,Lecturas!$N$1:$AA$20,$AC152,FALSE))</f>
        <v>154</v>
      </c>
      <c r="Q152" s="156">
        <f>+IF(VLOOKUP(Q$1,Lecturas!$N$1:$AA$20,$AC152,FALSE)=0,"",VLOOKUP(Q$1,Lecturas!$N$1:$AA$20,$AC152,FALSE))</f>
        <v>153</v>
      </c>
      <c r="R152" s="156">
        <f>+IF(VLOOKUP(R$1,Lecturas!$N$1:$AA$20,$AC152,FALSE)=0,"",VLOOKUP(R$1,Lecturas!$N$1:$AA$20,$AC152,FALSE))</f>
        <v>155</v>
      </c>
      <c r="S152" s="163">
        <f>+IF(VLOOKUP(S$1,Lecturas!$N$1:$AA$20,$AC152,FALSE)=0,"",VLOOKUP(S$1,Lecturas!$N$1:$AA$20,$AC152,FALSE))</f>
        <v>157</v>
      </c>
      <c r="T152" s="163">
        <f>+IF(VLOOKUP(T$1,Lecturas!$N$1:$AA$20,$AC152,FALSE)=0,"",VLOOKUP(T$1,Lecturas!$N$1:$AA$20,$AC152,FALSE))</f>
        <v>156</v>
      </c>
      <c r="U152" s="163">
        <f>+IF(VLOOKUP(U$1,Lecturas!$N$1:$AA$20,$AC152,FALSE)=0,"",VLOOKUP(U$1,Lecturas!$N$1:$AA$20,$AC152,FALSE))</f>
        <v>158</v>
      </c>
      <c r="V152" s="156">
        <f>+IF(VLOOKUP(V$1,Lecturas!$N$1:$AA$20,$AC152,FALSE)=0,"",VLOOKUP(V$1,Lecturas!$N$1:$AA$20,$AC152,FALSE))</f>
        <v>160</v>
      </c>
      <c r="W152" s="156">
        <f>+IF(VLOOKUP(W$1,Lecturas!$N$1:$AA$20,$AC152,FALSE)=0,"",VLOOKUP(W$1,Lecturas!$N$1:$AA$20,$AC152,FALSE))</f>
        <v>159</v>
      </c>
      <c r="X152" s="156">
        <f>+IF(VLOOKUP(X$1,Lecturas!$N$1:$AA$20,$AC152,FALSE)=0,"",VLOOKUP(X$1,Lecturas!$N$1:$AA$20,$AC152,FALSE))</f>
        <v>161</v>
      </c>
      <c r="Y152" s="163">
        <f>+IF(VLOOKUP(Y$1,Lecturas!$N$1:$AA$20,$AC152,FALSE)=0,"",VLOOKUP(Y$1,Lecturas!$N$1:$AA$20,$AC152,FALSE))</f>
        <v>2500</v>
      </c>
      <c r="Z152" s="48"/>
      <c r="AA152" s="48"/>
      <c r="AB152" s="48"/>
      <c r="AC152" s="148">
        <f>+'CARGA DE DATOS'!AF153</f>
        <v>12</v>
      </c>
    </row>
    <row r="153" spans="1:29" x14ac:dyDescent="0.25">
      <c r="A153" s="148">
        <f>+'CARGA DE DATOS'!A154</f>
        <v>152</v>
      </c>
      <c r="B153" s="48" t="str">
        <f>+IF(RESULTADOS!H153="","",RESULTADOS!H153)</f>
        <v/>
      </c>
      <c r="C153" s="48" t="str">
        <f>+IF(RESULTADOS!D153="","",RESULTADOS!D153)</f>
        <v/>
      </c>
      <c r="D153" s="160" t="str">
        <f>+IF('CARGA DE DATOS'!K154="Cooperativa","COOP",IF(Salida!AT154="true","PROSU","GD"))</f>
        <v>COOP</v>
      </c>
      <c r="E153" s="160" t="s">
        <v>9147</v>
      </c>
      <c r="F153" s="160" t="str">
        <f>+IF(OR(D153="COOP",'CARGA DE DATOS'!K154="GUMA"),"15.02.2022",IF('CARGA DE DATOS'!K154="GUME","05.02.2022","10.02.2022"))</f>
        <v>15.02.2022</v>
      </c>
      <c r="G153" s="163">
        <f>+IF(VLOOKUP(G$1,Lecturas!$N$1:$AA$20,$AC153,FALSE)=0,"",VLOOKUP(G$1,Lecturas!$N$1:$AA$20,$AC153,FALSE))</f>
        <v>20</v>
      </c>
      <c r="H153" s="163">
        <f>+IF(VLOOKUP(H$1,Lecturas!$N$1:$AA$20,$AC153,FALSE)=0,"",VLOOKUP(H$1,Lecturas!$N$1:$AA$20,$AC153,FALSE))</f>
        <v>20</v>
      </c>
      <c r="I153" s="163" t="str">
        <f>+IF(VLOOKUP(I$1,Lecturas!$N$1:$AA$20,$AC153,FALSE)=0,"",VLOOKUP(I$1,Lecturas!$N$1:$AA$20,$AC153,FALSE))</f>
        <v/>
      </c>
      <c r="J153" s="156" t="str">
        <f>+IF(VLOOKUP(J$1,Lecturas!$N$1:$AA$20,$AC153,FALSE)=0,"",VLOOKUP(J$1,Lecturas!$N$1:$AA$20,$AC153,FALSE))</f>
        <v/>
      </c>
      <c r="K153" s="156" t="str">
        <f>+IF(VLOOKUP(K$1,Lecturas!$N$1:$AA$20,$AC153,FALSE)=0,"",VLOOKUP(K$1,Lecturas!$N$1:$AA$20,$AC153,FALSE))</f>
        <v/>
      </c>
      <c r="L153" s="156" t="str">
        <f>+IF(VLOOKUP(L$1,Lecturas!$N$1:$AA$20,$AC153,FALSE)=0,"",VLOOKUP(L$1,Lecturas!$N$1:$AA$20,$AC153,FALSE))</f>
        <v/>
      </c>
      <c r="M153" s="163">
        <f>+IF(VLOOKUP(M$1,Lecturas!$N$1:$AA$20,$AC153,FALSE)=0,"",VLOOKUP(M$1,Lecturas!$N$1:$AA$20,$AC153,FALSE))</f>
        <v>151</v>
      </c>
      <c r="N153" s="163">
        <f>+IF(VLOOKUP(N$1,Lecturas!$N$1:$AA$20,$AC153,FALSE)=0,"",VLOOKUP(N$1,Lecturas!$N$1:$AA$20,$AC153,FALSE))</f>
        <v>150</v>
      </c>
      <c r="O153" s="163">
        <f>+IF(VLOOKUP(O$1,Lecturas!$N$1:$AA$20,$AC153,FALSE)=0,"",VLOOKUP(O$1,Lecturas!$N$1:$AA$20,$AC153,FALSE))</f>
        <v>152</v>
      </c>
      <c r="P153" s="156">
        <f>+IF(VLOOKUP(P$1,Lecturas!$N$1:$AA$20,$AC153,FALSE)=0,"",VLOOKUP(P$1,Lecturas!$N$1:$AA$20,$AC153,FALSE))</f>
        <v>154</v>
      </c>
      <c r="Q153" s="156">
        <f>+IF(VLOOKUP(Q$1,Lecturas!$N$1:$AA$20,$AC153,FALSE)=0,"",VLOOKUP(Q$1,Lecturas!$N$1:$AA$20,$AC153,FALSE))</f>
        <v>153</v>
      </c>
      <c r="R153" s="156">
        <f>+IF(VLOOKUP(R$1,Lecturas!$N$1:$AA$20,$AC153,FALSE)=0,"",VLOOKUP(R$1,Lecturas!$N$1:$AA$20,$AC153,FALSE))</f>
        <v>155</v>
      </c>
      <c r="S153" s="163">
        <f>+IF(VLOOKUP(S$1,Lecturas!$N$1:$AA$20,$AC153,FALSE)=0,"",VLOOKUP(S$1,Lecturas!$N$1:$AA$20,$AC153,FALSE))</f>
        <v>157</v>
      </c>
      <c r="T153" s="163">
        <f>+IF(VLOOKUP(T$1,Lecturas!$N$1:$AA$20,$AC153,FALSE)=0,"",VLOOKUP(T$1,Lecturas!$N$1:$AA$20,$AC153,FALSE))</f>
        <v>156</v>
      </c>
      <c r="U153" s="163">
        <f>+IF(VLOOKUP(U$1,Lecturas!$N$1:$AA$20,$AC153,FALSE)=0,"",VLOOKUP(U$1,Lecturas!$N$1:$AA$20,$AC153,FALSE))</f>
        <v>158</v>
      </c>
      <c r="V153" s="156">
        <f>+IF(VLOOKUP(V$1,Lecturas!$N$1:$AA$20,$AC153,FALSE)=0,"",VLOOKUP(V$1,Lecturas!$N$1:$AA$20,$AC153,FALSE))</f>
        <v>160</v>
      </c>
      <c r="W153" s="156">
        <f>+IF(VLOOKUP(W$1,Lecturas!$N$1:$AA$20,$AC153,FALSE)=0,"",VLOOKUP(W$1,Lecturas!$N$1:$AA$20,$AC153,FALSE))</f>
        <v>159</v>
      </c>
      <c r="X153" s="156">
        <f>+IF(VLOOKUP(X$1,Lecturas!$N$1:$AA$20,$AC153,FALSE)=0,"",VLOOKUP(X$1,Lecturas!$N$1:$AA$20,$AC153,FALSE))</f>
        <v>161</v>
      </c>
      <c r="Y153" s="163">
        <f>+IF(VLOOKUP(Y$1,Lecturas!$N$1:$AA$20,$AC153,FALSE)=0,"",VLOOKUP(Y$1,Lecturas!$N$1:$AA$20,$AC153,FALSE))</f>
        <v>2500</v>
      </c>
      <c r="Z153" s="48"/>
      <c r="AA153" s="48"/>
      <c r="AB153" s="48"/>
      <c r="AC153" s="148">
        <f>+'CARGA DE DATOS'!AF154</f>
        <v>13</v>
      </c>
    </row>
    <row r="154" spans="1:29" x14ac:dyDescent="0.25">
      <c r="A154" s="148">
        <f>+'CARGA DE DATOS'!A155</f>
        <v>153</v>
      </c>
      <c r="B154" s="48" t="str">
        <f>+IF(RESULTADOS!H154="","",RESULTADOS!H154)</f>
        <v/>
      </c>
      <c r="C154" s="48" t="str">
        <f>+IF(RESULTADOS!D154="","",RESULTADOS!D154)</f>
        <v/>
      </c>
      <c r="D154" s="160" t="str">
        <f>+IF('CARGA DE DATOS'!K155="Cooperativa","COOP",IF(Salida!AT155="true","PROSU","GD"))</f>
        <v>COOP</v>
      </c>
      <c r="E154" s="160" t="s">
        <v>9147</v>
      </c>
      <c r="F154" s="160" t="str">
        <f>+IF(OR(D154="COOP",'CARGA DE DATOS'!K155="GUMA"),"15.02.2022",IF('CARGA DE DATOS'!K155="GUME","05.02.2022","10.02.2022"))</f>
        <v>15.02.2022</v>
      </c>
      <c r="G154" s="163">
        <f>+IF(VLOOKUP(G$1,Lecturas!$N$1:$AA$20,$AC154,FALSE)=0,"",VLOOKUP(G$1,Lecturas!$N$1:$AA$20,$AC154,FALSE))</f>
        <v>100</v>
      </c>
      <c r="H154" s="163">
        <f>+IF(VLOOKUP(H$1,Lecturas!$N$1:$AA$20,$AC154,FALSE)=0,"",VLOOKUP(H$1,Lecturas!$N$1:$AA$20,$AC154,FALSE))</f>
        <v>150</v>
      </c>
      <c r="I154" s="163" t="str">
        <f>+IF(VLOOKUP(I$1,Lecturas!$N$1:$AA$20,$AC154,FALSE)=0,"",VLOOKUP(I$1,Lecturas!$N$1:$AA$20,$AC154,FALSE))</f>
        <v/>
      </c>
      <c r="J154" s="156" t="str">
        <f>+IF(VLOOKUP(J$1,Lecturas!$N$1:$AA$20,$AC154,FALSE)=0,"",VLOOKUP(J$1,Lecturas!$N$1:$AA$20,$AC154,FALSE))</f>
        <v/>
      </c>
      <c r="K154" s="156" t="str">
        <f>+IF(VLOOKUP(K$1,Lecturas!$N$1:$AA$20,$AC154,FALSE)=0,"",VLOOKUP(K$1,Lecturas!$N$1:$AA$20,$AC154,FALSE))</f>
        <v/>
      </c>
      <c r="L154" s="156" t="str">
        <f>+IF(VLOOKUP(L$1,Lecturas!$N$1:$AA$20,$AC154,FALSE)=0,"",VLOOKUP(L$1,Lecturas!$N$1:$AA$20,$AC154,FALSE))</f>
        <v/>
      </c>
      <c r="M154" s="163">
        <f>+IF(VLOOKUP(M$1,Lecturas!$N$1:$AA$20,$AC154,FALSE)=0,"",VLOOKUP(M$1,Lecturas!$N$1:$AA$20,$AC154,FALSE))</f>
        <v>151</v>
      </c>
      <c r="N154" s="163">
        <f>+IF(VLOOKUP(N$1,Lecturas!$N$1:$AA$20,$AC154,FALSE)=0,"",VLOOKUP(N$1,Lecturas!$N$1:$AA$20,$AC154,FALSE))</f>
        <v>150</v>
      </c>
      <c r="O154" s="163">
        <f>+IF(VLOOKUP(O$1,Lecturas!$N$1:$AA$20,$AC154,FALSE)=0,"",VLOOKUP(O$1,Lecturas!$N$1:$AA$20,$AC154,FALSE))</f>
        <v>152</v>
      </c>
      <c r="P154" s="156">
        <f>+IF(VLOOKUP(P$1,Lecturas!$N$1:$AA$20,$AC154,FALSE)=0,"",VLOOKUP(P$1,Lecturas!$N$1:$AA$20,$AC154,FALSE))</f>
        <v>154</v>
      </c>
      <c r="Q154" s="156">
        <f>+IF(VLOOKUP(Q$1,Lecturas!$N$1:$AA$20,$AC154,FALSE)=0,"",VLOOKUP(Q$1,Lecturas!$N$1:$AA$20,$AC154,FALSE))</f>
        <v>153</v>
      </c>
      <c r="R154" s="156">
        <f>+IF(VLOOKUP(R$1,Lecturas!$N$1:$AA$20,$AC154,FALSE)=0,"",VLOOKUP(R$1,Lecturas!$N$1:$AA$20,$AC154,FALSE))</f>
        <v>155</v>
      </c>
      <c r="S154" s="163">
        <f>+IF(VLOOKUP(S$1,Lecturas!$N$1:$AA$20,$AC154,FALSE)=0,"",VLOOKUP(S$1,Lecturas!$N$1:$AA$20,$AC154,FALSE))</f>
        <v>157</v>
      </c>
      <c r="T154" s="163">
        <f>+IF(VLOOKUP(T$1,Lecturas!$N$1:$AA$20,$AC154,FALSE)=0,"",VLOOKUP(T$1,Lecturas!$N$1:$AA$20,$AC154,FALSE))</f>
        <v>156</v>
      </c>
      <c r="U154" s="163">
        <f>+IF(VLOOKUP(U$1,Lecturas!$N$1:$AA$20,$AC154,FALSE)=0,"",VLOOKUP(U$1,Lecturas!$N$1:$AA$20,$AC154,FALSE))</f>
        <v>158</v>
      </c>
      <c r="V154" s="156">
        <f>+IF(VLOOKUP(V$1,Lecturas!$N$1:$AA$20,$AC154,FALSE)=0,"",VLOOKUP(V$1,Lecturas!$N$1:$AA$20,$AC154,FALSE))</f>
        <v>160</v>
      </c>
      <c r="W154" s="156">
        <f>+IF(VLOOKUP(W$1,Lecturas!$N$1:$AA$20,$AC154,FALSE)=0,"",VLOOKUP(W$1,Lecturas!$N$1:$AA$20,$AC154,FALSE))</f>
        <v>159</v>
      </c>
      <c r="X154" s="156">
        <f>+IF(VLOOKUP(X$1,Lecturas!$N$1:$AA$20,$AC154,FALSE)=0,"",VLOOKUP(X$1,Lecturas!$N$1:$AA$20,$AC154,FALSE))</f>
        <v>161</v>
      </c>
      <c r="Y154" s="163">
        <f>+IF(VLOOKUP(Y$1,Lecturas!$N$1:$AA$20,$AC154,FALSE)=0,"",VLOOKUP(Y$1,Lecturas!$N$1:$AA$20,$AC154,FALSE))</f>
        <v>2500</v>
      </c>
      <c r="Z154" s="48"/>
      <c r="AA154" s="48"/>
      <c r="AB154" s="48"/>
      <c r="AC154" s="148">
        <f>+'CARGA DE DATOS'!AF155</f>
        <v>12</v>
      </c>
    </row>
    <row r="155" spans="1:29" x14ac:dyDescent="0.25">
      <c r="A155" s="148">
        <f>+'CARGA DE DATOS'!A156</f>
        <v>154</v>
      </c>
      <c r="B155" s="48" t="str">
        <f>+IF(RESULTADOS!H155="","",RESULTADOS!H155)</f>
        <v/>
      </c>
      <c r="C155" s="48" t="str">
        <f>+IF(RESULTADOS!D155="","",RESULTADOS!D155)</f>
        <v/>
      </c>
      <c r="D155" s="160" t="str">
        <f>+IF('CARGA DE DATOS'!K156="Cooperativa","COOP",IF(Salida!AT156="true","PROSU","GD"))</f>
        <v>COOP</v>
      </c>
      <c r="E155" s="160" t="s">
        <v>9147</v>
      </c>
      <c r="F155" s="160" t="str">
        <f>+IF(OR(D155="COOP",'CARGA DE DATOS'!K156="GUMA"),"15.02.2022",IF('CARGA DE DATOS'!K156="GUME","05.02.2022","10.02.2022"))</f>
        <v>15.02.2022</v>
      </c>
      <c r="G155" s="163">
        <f>+IF(VLOOKUP(G$1,Lecturas!$N$1:$AA$20,$AC155,FALSE)=0,"",VLOOKUP(G$1,Lecturas!$N$1:$AA$20,$AC155,FALSE))</f>
        <v>20</v>
      </c>
      <c r="H155" s="163">
        <f>+IF(VLOOKUP(H$1,Lecturas!$N$1:$AA$20,$AC155,FALSE)=0,"",VLOOKUP(H$1,Lecturas!$N$1:$AA$20,$AC155,FALSE))</f>
        <v>20</v>
      </c>
      <c r="I155" s="163" t="str">
        <f>+IF(VLOOKUP(I$1,Lecturas!$N$1:$AA$20,$AC155,FALSE)=0,"",VLOOKUP(I$1,Lecturas!$N$1:$AA$20,$AC155,FALSE))</f>
        <v/>
      </c>
      <c r="J155" s="156" t="str">
        <f>+IF(VLOOKUP(J$1,Lecturas!$N$1:$AA$20,$AC155,FALSE)=0,"",VLOOKUP(J$1,Lecturas!$N$1:$AA$20,$AC155,FALSE))</f>
        <v/>
      </c>
      <c r="K155" s="156" t="str">
        <f>+IF(VLOOKUP(K$1,Lecturas!$N$1:$AA$20,$AC155,FALSE)=0,"",VLOOKUP(K$1,Lecturas!$N$1:$AA$20,$AC155,FALSE))</f>
        <v/>
      </c>
      <c r="L155" s="156" t="str">
        <f>+IF(VLOOKUP(L$1,Lecturas!$N$1:$AA$20,$AC155,FALSE)=0,"",VLOOKUP(L$1,Lecturas!$N$1:$AA$20,$AC155,FALSE))</f>
        <v/>
      </c>
      <c r="M155" s="163">
        <f>+IF(VLOOKUP(M$1,Lecturas!$N$1:$AA$20,$AC155,FALSE)=0,"",VLOOKUP(M$1,Lecturas!$N$1:$AA$20,$AC155,FALSE))</f>
        <v>151</v>
      </c>
      <c r="N155" s="163">
        <f>+IF(VLOOKUP(N$1,Lecturas!$N$1:$AA$20,$AC155,FALSE)=0,"",VLOOKUP(N$1,Lecturas!$N$1:$AA$20,$AC155,FALSE))</f>
        <v>150</v>
      </c>
      <c r="O155" s="163">
        <f>+IF(VLOOKUP(O$1,Lecturas!$N$1:$AA$20,$AC155,FALSE)=0,"",VLOOKUP(O$1,Lecturas!$N$1:$AA$20,$AC155,FALSE))</f>
        <v>152</v>
      </c>
      <c r="P155" s="156">
        <f>+IF(VLOOKUP(P$1,Lecturas!$N$1:$AA$20,$AC155,FALSE)=0,"",VLOOKUP(P$1,Lecturas!$N$1:$AA$20,$AC155,FALSE))</f>
        <v>154</v>
      </c>
      <c r="Q155" s="156">
        <f>+IF(VLOOKUP(Q$1,Lecturas!$N$1:$AA$20,$AC155,FALSE)=0,"",VLOOKUP(Q$1,Lecturas!$N$1:$AA$20,$AC155,FALSE))</f>
        <v>153</v>
      </c>
      <c r="R155" s="156">
        <f>+IF(VLOOKUP(R$1,Lecturas!$N$1:$AA$20,$AC155,FALSE)=0,"",VLOOKUP(R$1,Lecturas!$N$1:$AA$20,$AC155,FALSE))</f>
        <v>155</v>
      </c>
      <c r="S155" s="163">
        <f>+IF(VLOOKUP(S$1,Lecturas!$N$1:$AA$20,$AC155,FALSE)=0,"",VLOOKUP(S$1,Lecturas!$N$1:$AA$20,$AC155,FALSE))</f>
        <v>157</v>
      </c>
      <c r="T155" s="163">
        <f>+IF(VLOOKUP(T$1,Lecturas!$N$1:$AA$20,$AC155,FALSE)=0,"",VLOOKUP(T$1,Lecturas!$N$1:$AA$20,$AC155,FALSE))</f>
        <v>156</v>
      </c>
      <c r="U155" s="163">
        <f>+IF(VLOOKUP(U$1,Lecturas!$N$1:$AA$20,$AC155,FALSE)=0,"",VLOOKUP(U$1,Lecturas!$N$1:$AA$20,$AC155,FALSE))</f>
        <v>158</v>
      </c>
      <c r="V155" s="156">
        <f>+IF(VLOOKUP(V$1,Lecturas!$N$1:$AA$20,$AC155,FALSE)=0,"",VLOOKUP(V$1,Lecturas!$N$1:$AA$20,$AC155,FALSE))</f>
        <v>160</v>
      </c>
      <c r="W155" s="156">
        <f>+IF(VLOOKUP(W$1,Lecturas!$N$1:$AA$20,$AC155,FALSE)=0,"",VLOOKUP(W$1,Lecturas!$N$1:$AA$20,$AC155,FALSE))</f>
        <v>159</v>
      </c>
      <c r="X155" s="156">
        <f>+IF(VLOOKUP(X$1,Lecturas!$N$1:$AA$20,$AC155,FALSE)=0,"",VLOOKUP(X$1,Lecturas!$N$1:$AA$20,$AC155,FALSE))</f>
        <v>161</v>
      </c>
      <c r="Y155" s="163">
        <f>+IF(VLOOKUP(Y$1,Lecturas!$N$1:$AA$20,$AC155,FALSE)=0,"",VLOOKUP(Y$1,Lecturas!$N$1:$AA$20,$AC155,FALSE))</f>
        <v>2500</v>
      </c>
      <c r="Z155" s="48"/>
      <c r="AA155" s="48"/>
      <c r="AB155" s="48"/>
      <c r="AC155" s="148">
        <f>+'CARGA DE DATOS'!AF156</f>
        <v>14</v>
      </c>
    </row>
    <row r="156" spans="1:29" x14ac:dyDescent="0.25">
      <c r="A156" s="148">
        <f>+'CARGA DE DATOS'!A157</f>
        <v>155</v>
      </c>
      <c r="B156" s="48" t="str">
        <f>+IF(RESULTADOS!H156="","",RESULTADOS!H156)</f>
        <v/>
      </c>
      <c r="C156" s="48" t="str">
        <f>+IF(RESULTADOS!D156="","",RESULTADOS!D156)</f>
        <v/>
      </c>
      <c r="D156" s="160" t="str">
        <f>+IF('CARGA DE DATOS'!K157="Cooperativa","COOP",IF(Salida!AT157="true","PROSU","GD"))</f>
        <v>COOP</v>
      </c>
      <c r="E156" s="160" t="s">
        <v>9147</v>
      </c>
      <c r="F156" s="160" t="str">
        <f>+IF(OR(D156="COOP",'CARGA DE DATOS'!K157="GUMA"),"15.02.2022",IF('CARGA DE DATOS'!K157="GUME","05.02.2022","10.02.2022"))</f>
        <v>15.02.2022</v>
      </c>
      <c r="G156" s="163">
        <f>+IF(VLOOKUP(G$1,Lecturas!$N$1:$AA$20,$AC156,FALSE)=0,"",VLOOKUP(G$1,Lecturas!$N$1:$AA$20,$AC156,FALSE))</f>
        <v>100</v>
      </c>
      <c r="H156" s="163">
        <f>+IF(VLOOKUP(H$1,Lecturas!$N$1:$AA$20,$AC156,FALSE)=0,"",VLOOKUP(H$1,Lecturas!$N$1:$AA$20,$AC156,FALSE))</f>
        <v>150</v>
      </c>
      <c r="I156" s="163" t="str">
        <f>+IF(VLOOKUP(I$1,Lecturas!$N$1:$AA$20,$AC156,FALSE)=0,"",VLOOKUP(I$1,Lecturas!$N$1:$AA$20,$AC156,FALSE))</f>
        <v/>
      </c>
      <c r="J156" s="156" t="str">
        <f>+IF(VLOOKUP(J$1,Lecturas!$N$1:$AA$20,$AC156,FALSE)=0,"",VLOOKUP(J$1,Lecturas!$N$1:$AA$20,$AC156,FALSE))</f>
        <v/>
      </c>
      <c r="K156" s="156" t="str">
        <f>+IF(VLOOKUP(K$1,Lecturas!$N$1:$AA$20,$AC156,FALSE)=0,"",VLOOKUP(K$1,Lecturas!$N$1:$AA$20,$AC156,FALSE))</f>
        <v/>
      </c>
      <c r="L156" s="156" t="str">
        <f>+IF(VLOOKUP(L$1,Lecturas!$N$1:$AA$20,$AC156,FALSE)=0,"",VLOOKUP(L$1,Lecturas!$N$1:$AA$20,$AC156,FALSE))</f>
        <v/>
      </c>
      <c r="M156" s="163">
        <f>+IF(VLOOKUP(M$1,Lecturas!$N$1:$AA$20,$AC156,FALSE)=0,"",VLOOKUP(M$1,Lecturas!$N$1:$AA$20,$AC156,FALSE))</f>
        <v>151</v>
      </c>
      <c r="N156" s="163">
        <f>+IF(VLOOKUP(N$1,Lecturas!$N$1:$AA$20,$AC156,FALSE)=0,"",VLOOKUP(N$1,Lecturas!$N$1:$AA$20,$AC156,FALSE))</f>
        <v>150</v>
      </c>
      <c r="O156" s="163">
        <f>+IF(VLOOKUP(O$1,Lecturas!$N$1:$AA$20,$AC156,FALSE)=0,"",VLOOKUP(O$1,Lecturas!$N$1:$AA$20,$AC156,FALSE))</f>
        <v>152</v>
      </c>
      <c r="P156" s="156">
        <f>+IF(VLOOKUP(P$1,Lecturas!$N$1:$AA$20,$AC156,FALSE)=0,"",VLOOKUP(P$1,Lecturas!$N$1:$AA$20,$AC156,FALSE))</f>
        <v>154</v>
      </c>
      <c r="Q156" s="156">
        <f>+IF(VLOOKUP(Q$1,Lecturas!$N$1:$AA$20,$AC156,FALSE)=0,"",VLOOKUP(Q$1,Lecturas!$N$1:$AA$20,$AC156,FALSE))</f>
        <v>153</v>
      </c>
      <c r="R156" s="156">
        <f>+IF(VLOOKUP(R$1,Lecturas!$N$1:$AA$20,$AC156,FALSE)=0,"",VLOOKUP(R$1,Lecturas!$N$1:$AA$20,$AC156,FALSE))</f>
        <v>155</v>
      </c>
      <c r="S156" s="163">
        <f>+IF(VLOOKUP(S$1,Lecturas!$N$1:$AA$20,$AC156,FALSE)=0,"",VLOOKUP(S$1,Lecturas!$N$1:$AA$20,$AC156,FALSE))</f>
        <v>157</v>
      </c>
      <c r="T156" s="163">
        <f>+IF(VLOOKUP(T$1,Lecturas!$N$1:$AA$20,$AC156,FALSE)=0,"",VLOOKUP(T$1,Lecturas!$N$1:$AA$20,$AC156,FALSE))</f>
        <v>156</v>
      </c>
      <c r="U156" s="163">
        <f>+IF(VLOOKUP(U$1,Lecturas!$N$1:$AA$20,$AC156,FALSE)=0,"",VLOOKUP(U$1,Lecturas!$N$1:$AA$20,$AC156,FALSE))</f>
        <v>158</v>
      </c>
      <c r="V156" s="156">
        <f>+IF(VLOOKUP(V$1,Lecturas!$N$1:$AA$20,$AC156,FALSE)=0,"",VLOOKUP(V$1,Lecturas!$N$1:$AA$20,$AC156,FALSE))</f>
        <v>160</v>
      </c>
      <c r="W156" s="156">
        <f>+IF(VLOOKUP(W$1,Lecturas!$N$1:$AA$20,$AC156,FALSE)=0,"",VLOOKUP(W$1,Lecturas!$N$1:$AA$20,$AC156,FALSE))</f>
        <v>159</v>
      </c>
      <c r="X156" s="156">
        <f>+IF(VLOOKUP(X$1,Lecturas!$N$1:$AA$20,$AC156,FALSE)=0,"",VLOOKUP(X$1,Lecturas!$N$1:$AA$20,$AC156,FALSE))</f>
        <v>161</v>
      </c>
      <c r="Y156" s="163">
        <f>+IF(VLOOKUP(Y$1,Lecturas!$N$1:$AA$20,$AC156,FALSE)=0,"",VLOOKUP(Y$1,Lecturas!$N$1:$AA$20,$AC156,FALSE))</f>
        <v>2500</v>
      </c>
      <c r="Z156" s="48"/>
      <c r="AA156" s="48"/>
      <c r="AB156" s="48"/>
      <c r="AC156" s="148">
        <f>+'CARGA DE DATOS'!AF157</f>
        <v>12</v>
      </c>
    </row>
    <row r="157" spans="1:29" x14ac:dyDescent="0.25">
      <c r="A157" s="148">
        <f>+'CARGA DE DATOS'!A158</f>
        <v>156</v>
      </c>
      <c r="B157" s="48" t="str">
        <f>+IF(RESULTADOS!H157="","",RESULTADOS!H157)</f>
        <v/>
      </c>
      <c r="C157" s="48" t="str">
        <f>+IF(RESULTADOS!D157="","",RESULTADOS!D157)</f>
        <v/>
      </c>
      <c r="D157" s="160" t="str">
        <f>+IF('CARGA DE DATOS'!K158="Cooperativa","COOP",IF(Salida!AT158="true","PROSU","GD"))</f>
        <v>COOP</v>
      </c>
      <c r="E157" s="160" t="s">
        <v>9147</v>
      </c>
      <c r="F157" s="160" t="str">
        <f>+IF(OR(D157="COOP",'CARGA DE DATOS'!K158="GUMA"),"15.02.2022",IF('CARGA DE DATOS'!K158="GUME","05.02.2022","10.02.2022"))</f>
        <v>15.02.2022</v>
      </c>
      <c r="G157" s="163">
        <f>+IF(VLOOKUP(G$1,Lecturas!$N$1:$AA$20,$AC157,FALSE)=0,"",VLOOKUP(G$1,Lecturas!$N$1:$AA$20,$AC157,FALSE))</f>
        <v>20</v>
      </c>
      <c r="H157" s="163">
        <f>+IF(VLOOKUP(H$1,Lecturas!$N$1:$AA$20,$AC157,FALSE)=0,"",VLOOKUP(H$1,Lecturas!$N$1:$AA$20,$AC157,FALSE))</f>
        <v>20</v>
      </c>
      <c r="I157" s="163" t="str">
        <f>+IF(VLOOKUP(I$1,Lecturas!$N$1:$AA$20,$AC157,FALSE)=0,"",VLOOKUP(I$1,Lecturas!$N$1:$AA$20,$AC157,FALSE))</f>
        <v/>
      </c>
      <c r="J157" s="156" t="str">
        <f>+IF(VLOOKUP(J$1,Lecturas!$N$1:$AA$20,$AC157,FALSE)=0,"",VLOOKUP(J$1,Lecturas!$N$1:$AA$20,$AC157,FALSE))</f>
        <v/>
      </c>
      <c r="K157" s="156" t="str">
        <f>+IF(VLOOKUP(K$1,Lecturas!$N$1:$AA$20,$AC157,FALSE)=0,"",VLOOKUP(K$1,Lecturas!$N$1:$AA$20,$AC157,FALSE))</f>
        <v/>
      </c>
      <c r="L157" s="156" t="str">
        <f>+IF(VLOOKUP(L$1,Lecturas!$N$1:$AA$20,$AC157,FALSE)=0,"",VLOOKUP(L$1,Lecturas!$N$1:$AA$20,$AC157,FALSE))</f>
        <v/>
      </c>
      <c r="M157" s="163">
        <f>+IF(VLOOKUP(M$1,Lecturas!$N$1:$AA$20,$AC157,FALSE)=0,"",VLOOKUP(M$1,Lecturas!$N$1:$AA$20,$AC157,FALSE))</f>
        <v>151</v>
      </c>
      <c r="N157" s="163">
        <f>+IF(VLOOKUP(N$1,Lecturas!$N$1:$AA$20,$AC157,FALSE)=0,"",VLOOKUP(N$1,Lecturas!$N$1:$AA$20,$AC157,FALSE))</f>
        <v>150</v>
      </c>
      <c r="O157" s="163">
        <f>+IF(VLOOKUP(O$1,Lecturas!$N$1:$AA$20,$AC157,FALSE)=0,"",VLOOKUP(O$1,Lecturas!$N$1:$AA$20,$AC157,FALSE))</f>
        <v>152</v>
      </c>
      <c r="P157" s="156">
        <f>+IF(VLOOKUP(P$1,Lecturas!$N$1:$AA$20,$AC157,FALSE)=0,"",VLOOKUP(P$1,Lecturas!$N$1:$AA$20,$AC157,FALSE))</f>
        <v>154</v>
      </c>
      <c r="Q157" s="156">
        <f>+IF(VLOOKUP(Q$1,Lecturas!$N$1:$AA$20,$AC157,FALSE)=0,"",VLOOKUP(Q$1,Lecturas!$N$1:$AA$20,$AC157,FALSE))</f>
        <v>153</v>
      </c>
      <c r="R157" s="156">
        <f>+IF(VLOOKUP(R$1,Lecturas!$N$1:$AA$20,$AC157,FALSE)=0,"",VLOOKUP(R$1,Lecturas!$N$1:$AA$20,$AC157,FALSE))</f>
        <v>155</v>
      </c>
      <c r="S157" s="163">
        <f>+IF(VLOOKUP(S$1,Lecturas!$N$1:$AA$20,$AC157,FALSE)=0,"",VLOOKUP(S$1,Lecturas!$N$1:$AA$20,$AC157,FALSE))</f>
        <v>157</v>
      </c>
      <c r="T157" s="163">
        <f>+IF(VLOOKUP(T$1,Lecturas!$N$1:$AA$20,$AC157,FALSE)=0,"",VLOOKUP(T$1,Lecturas!$N$1:$AA$20,$AC157,FALSE))</f>
        <v>156</v>
      </c>
      <c r="U157" s="163">
        <f>+IF(VLOOKUP(U$1,Lecturas!$N$1:$AA$20,$AC157,FALSE)=0,"",VLOOKUP(U$1,Lecturas!$N$1:$AA$20,$AC157,FALSE))</f>
        <v>158</v>
      </c>
      <c r="V157" s="156">
        <f>+IF(VLOOKUP(V$1,Lecturas!$N$1:$AA$20,$AC157,FALSE)=0,"",VLOOKUP(V$1,Lecturas!$N$1:$AA$20,$AC157,FALSE))</f>
        <v>160</v>
      </c>
      <c r="W157" s="156">
        <f>+IF(VLOOKUP(W$1,Lecturas!$N$1:$AA$20,$AC157,FALSE)=0,"",VLOOKUP(W$1,Lecturas!$N$1:$AA$20,$AC157,FALSE))</f>
        <v>159</v>
      </c>
      <c r="X157" s="156">
        <f>+IF(VLOOKUP(X$1,Lecturas!$N$1:$AA$20,$AC157,FALSE)=0,"",VLOOKUP(X$1,Lecturas!$N$1:$AA$20,$AC157,FALSE))</f>
        <v>161</v>
      </c>
      <c r="Y157" s="163">
        <f>+IF(VLOOKUP(Y$1,Lecturas!$N$1:$AA$20,$AC157,FALSE)=0,"",VLOOKUP(Y$1,Lecturas!$N$1:$AA$20,$AC157,FALSE))</f>
        <v>2500</v>
      </c>
      <c r="Z157" s="48"/>
      <c r="AA157" s="48"/>
      <c r="AB157" s="48"/>
      <c r="AC157" s="148">
        <f>+'CARGA DE DATOS'!AF158</f>
        <v>13</v>
      </c>
    </row>
    <row r="158" spans="1:29" x14ac:dyDescent="0.25">
      <c r="A158" s="148">
        <f>+'CARGA DE DATOS'!A159</f>
        <v>157</v>
      </c>
      <c r="B158" s="48" t="str">
        <f>+IF(RESULTADOS!H158="","",RESULTADOS!H158)</f>
        <v/>
      </c>
      <c r="C158" s="48" t="str">
        <f>+IF(RESULTADOS!D158="","",RESULTADOS!D158)</f>
        <v/>
      </c>
      <c r="D158" s="160" t="str">
        <f>+IF('CARGA DE DATOS'!K159="Cooperativa","COOP",IF(Salida!AT159="true","PROSU","GD"))</f>
        <v>PROSU</v>
      </c>
      <c r="E158" s="160" t="s">
        <v>9147</v>
      </c>
      <c r="F158" s="160" t="str">
        <f>+IF(OR(D158="COOP",'CARGA DE DATOS'!K159="GUMA"),"15.02.2022",IF('CARGA DE DATOS'!K159="GUME","05.02.2022","10.02.2022"))</f>
        <v>10.02.2022</v>
      </c>
      <c r="G158" s="163">
        <f>+IF(VLOOKUP(G$1,Lecturas!$N$1:$AA$20,$AC158,FALSE)=0,"",VLOOKUP(G$1,Lecturas!$N$1:$AA$20,$AC158,FALSE))</f>
        <v>100</v>
      </c>
      <c r="H158" s="163">
        <f>+IF(VLOOKUP(H$1,Lecturas!$N$1:$AA$20,$AC158,FALSE)=0,"",VLOOKUP(H$1,Lecturas!$N$1:$AA$20,$AC158,FALSE))</f>
        <v>100</v>
      </c>
      <c r="I158" s="163">
        <f>+IF(VLOOKUP(I$1,Lecturas!$N$1:$AA$20,$AC158,FALSE)=0,"",VLOOKUP(I$1,Lecturas!$N$1:$AA$20,$AC158,FALSE))</f>
        <v>100</v>
      </c>
      <c r="J158" s="156">
        <f>+IF(VLOOKUP(J$1,Lecturas!$N$1:$AA$20,$AC158,FALSE)=0,"",VLOOKUP(J$1,Lecturas!$N$1:$AA$20,$AC158,FALSE))</f>
        <v>115</v>
      </c>
      <c r="K158" s="156">
        <f>+IF(VLOOKUP(K$1,Lecturas!$N$1:$AA$20,$AC158,FALSE)=0,"",VLOOKUP(K$1,Lecturas!$N$1:$AA$20,$AC158,FALSE))</f>
        <v>110</v>
      </c>
      <c r="L158" s="156">
        <f>+IF(VLOOKUP(L$1,Lecturas!$N$1:$AA$20,$AC158,FALSE)=0,"",VLOOKUP(L$1,Lecturas!$N$1:$AA$20,$AC158,FALSE))</f>
        <v>105</v>
      </c>
      <c r="M158" s="163">
        <f>+IF(VLOOKUP(M$1,Lecturas!$N$1:$AA$20,$AC158,FALSE)=0,"",VLOOKUP(M$1,Lecturas!$N$1:$AA$20,$AC158,FALSE))</f>
        <v>2500</v>
      </c>
      <c r="N158" s="163">
        <f>+IF(VLOOKUP(N$1,Lecturas!$N$1:$AA$20,$AC158,FALSE)=0,"",VLOOKUP(N$1,Lecturas!$N$1:$AA$20,$AC158,FALSE))</f>
        <v>2000</v>
      </c>
      <c r="O158" s="163">
        <f>+IF(VLOOKUP(O$1,Lecturas!$N$1:$AA$20,$AC158,FALSE)=0,"",VLOOKUP(O$1,Lecturas!$N$1:$AA$20,$AC158,FALSE))</f>
        <v>3000</v>
      </c>
      <c r="P158" s="156">
        <f>+IF(VLOOKUP(P$1,Lecturas!$N$1:$AA$20,$AC158,FALSE)=0,"",VLOOKUP(P$1,Lecturas!$N$1:$AA$20,$AC158,FALSE))</f>
        <v>250</v>
      </c>
      <c r="Q158" s="156">
        <f>+IF(VLOOKUP(Q$1,Lecturas!$N$1:$AA$20,$AC158,FALSE)=0,"",VLOOKUP(Q$1,Lecturas!$N$1:$AA$20,$AC158,FALSE))</f>
        <v>200</v>
      </c>
      <c r="R158" s="156">
        <f>+IF(VLOOKUP(R$1,Lecturas!$N$1:$AA$20,$AC158,FALSE)=0,"",VLOOKUP(R$1,Lecturas!$N$1:$AA$20,$AC158,FALSE))</f>
        <v>300</v>
      </c>
      <c r="S158" s="163">
        <f>+IF(VLOOKUP(S$1,Lecturas!$N$1:$AA$20,$AC158,FALSE)=0,"",VLOOKUP(S$1,Lecturas!$N$1:$AA$20,$AC158,FALSE))</f>
        <v>255</v>
      </c>
      <c r="T158" s="163">
        <f>+IF(VLOOKUP(T$1,Lecturas!$N$1:$AA$20,$AC158,FALSE)=0,"",VLOOKUP(T$1,Lecturas!$N$1:$AA$20,$AC158,FALSE))</f>
        <v>210</v>
      </c>
      <c r="U158" s="163">
        <f>+IF(VLOOKUP(U$1,Lecturas!$N$1:$AA$20,$AC158,FALSE)=0,"",VLOOKUP(U$1,Lecturas!$N$1:$AA$20,$AC158,FALSE))</f>
        <v>320</v>
      </c>
      <c r="V158" s="156" t="str">
        <f>+IF(VLOOKUP(V$1,Lecturas!$N$1:$AA$20,$AC158,FALSE)=0,"",VLOOKUP(V$1,Lecturas!$N$1:$AA$20,$AC158,FALSE))</f>
        <v/>
      </c>
      <c r="W158" s="156" t="str">
        <f>+IF(VLOOKUP(W$1,Lecturas!$N$1:$AA$20,$AC158,FALSE)=0,"",VLOOKUP(W$1,Lecturas!$N$1:$AA$20,$AC158,FALSE))</f>
        <v/>
      </c>
      <c r="X158" s="156" t="str">
        <f>+IF(VLOOKUP(X$1,Lecturas!$N$1:$AA$20,$AC158,FALSE)=0,"",VLOOKUP(X$1,Lecturas!$N$1:$AA$20,$AC158,FALSE))</f>
        <v/>
      </c>
      <c r="Y158" s="163">
        <f>+IF(VLOOKUP(Y$1,Lecturas!$N$1:$AA$20,$AC158,FALSE)=0,"",VLOOKUP(Y$1,Lecturas!$N$1:$AA$20,$AC158,FALSE))</f>
        <v>3000</v>
      </c>
      <c r="Z158" s="48"/>
      <c r="AA158" s="48"/>
      <c r="AB158" s="48"/>
      <c r="AC158" s="148">
        <f>+'CARGA DE DATOS'!AF159</f>
        <v>10</v>
      </c>
    </row>
    <row r="159" spans="1:29" x14ac:dyDescent="0.25">
      <c r="A159" s="148">
        <f>+'CARGA DE DATOS'!A160</f>
        <v>158</v>
      </c>
      <c r="B159" s="48" t="str">
        <f>+IF(RESULTADOS!H159="","",RESULTADOS!H159)</f>
        <v/>
      </c>
      <c r="C159" s="48" t="str">
        <f>+IF(RESULTADOS!D159="","",RESULTADOS!D159)</f>
        <v/>
      </c>
      <c r="D159" s="160" t="str">
        <f>+IF('CARGA DE DATOS'!K160="Cooperativa","COOP",IF(Salida!AT160="true","PROSU","GD"))</f>
        <v>PROSU</v>
      </c>
      <c r="E159" s="160" t="s">
        <v>9147</v>
      </c>
      <c r="F159" s="160" t="str">
        <f>+IF(OR(D159="COOP",'CARGA DE DATOS'!K160="GUMA"),"15.02.2022",IF('CARGA DE DATOS'!K160="GUME","05.02.2022","10.02.2022"))</f>
        <v>10.02.2022</v>
      </c>
      <c r="G159" s="163">
        <f>+IF(VLOOKUP(G$1,Lecturas!$N$1:$AA$20,$AC159,FALSE)=0,"",VLOOKUP(G$1,Lecturas!$N$1:$AA$20,$AC159,FALSE))</f>
        <v>100</v>
      </c>
      <c r="H159" s="163">
        <f>+IF(VLOOKUP(H$1,Lecturas!$N$1:$AA$20,$AC159,FALSE)=0,"",VLOOKUP(H$1,Lecturas!$N$1:$AA$20,$AC159,FALSE))</f>
        <v>100</v>
      </c>
      <c r="I159" s="163">
        <f>+IF(VLOOKUP(I$1,Lecturas!$N$1:$AA$20,$AC159,FALSE)=0,"",VLOOKUP(I$1,Lecturas!$N$1:$AA$20,$AC159,FALSE))</f>
        <v>100</v>
      </c>
      <c r="J159" s="156">
        <f>+IF(VLOOKUP(J$1,Lecturas!$N$1:$AA$20,$AC159,FALSE)=0,"",VLOOKUP(J$1,Lecturas!$N$1:$AA$20,$AC159,FALSE))</f>
        <v>115</v>
      </c>
      <c r="K159" s="156">
        <f>+IF(VLOOKUP(K$1,Lecturas!$N$1:$AA$20,$AC159,FALSE)=0,"",VLOOKUP(K$1,Lecturas!$N$1:$AA$20,$AC159,FALSE))</f>
        <v>110</v>
      </c>
      <c r="L159" s="156">
        <f>+IF(VLOOKUP(L$1,Lecturas!$N$1:$AA$20,$AC159,FALSE)=0,"",VLOOKUP(L$1,Lecturas!$N$1:$AA$20,$AC159,FALSE))</f>
        <v>105</v>
      </c>
      <c r="M159" s="163">
        <f>+IF(VLOOKUP(M$1,Lecturas!$N$1:$AA$20,$AC159,FALSE)=0,"",VLOOKUP(M$1,Lecturas!$N$1:$AA$20,$AC159,FALSE))</f>
        <v>2500</v>
      </c>
      <c r="N159" s="163">
        <f>+IF(VLOOKUP(N$1,Lecturas!$N$1:$AA$20,$AC159,FALSE)=0,"",VLOOKUP(N$1,Lecturas!$N$1:$AA$20,$AC159,FALSE))</f>
        <v>2000</v>
      </c>
      <c r="O159" s="163">
        <f>+IF(VLOOKUP(O$1,Lecturas!$N$1:$AA$20,$AC159,FALSE)=0,"",VLOOKUP(O$1,Lecturas!$N$1:$AA$20,$AC159,FALSE))</f>
        <v>3000</v>
      </c>
      <c r="P159" s="156">
        <f>+IF(VLOOKUP(P$1,Lecturas!$N$1:$AA$20,$AC159,FALSE)=0,"",VLOOKUP(P$1,Lecturas!$N$1:$AA$20,$AC159,FALSE))</f>
        <v>250</v>
      </c>
      <c r="Q159" s="156">
        <f>+IF(VLOOKUP(Q$1,Lecturas!$N$1:$AA$20,$AC159,FALSE)=0,"",VLOOKUP(Q$1,Lecturas!$N$1:$AA$20,$AC159,FALSE))</f>
        <v>200</v>
      </c>
      <c r="R159" s="156">
        <f>+IF(VLOOKUP(R$1,Lecturas!$N$1:$AA$20,$AC159,FALSE)=0,"",VLOOKUP(R$1,Lecturas!$N$1:$AA$20,$AC159,FALSE))</f>
        <v>300</v>
      </c>
      <c r="S159" s="163">
        <f>+IF(VLOOKUP(S$1,Lecturas!$N$1:$AA$20,$AC159,FALSE)=0,"",VLOOKUP(S$1,Lecturas!$N$1:$AA$20,$AC159,FALSE))</f>
        <v>255</v>
      </c>
      <c r="T159" s="163">
        <f>+IF(VLOOKUP(T$1,Lecturas!$N$1:$AA$20,$AC159,FALSE)=0,"",VLOOKUP(T$1,Lecturas!$N$1:$AA$20,$AC159,FALSE))</f>
        <v>210</v>
      </c>
      <c r="U159" s="163">
        <f>+IF(VLOOKUP(U$1,Lecturas!$N$1:$AA$20,$AC159,FALSE)=0,"",VLOOKUP(U$1,Lecturas!$N$1:$AA$20,$AC159,FALSE))</f>
        <v>320</v>
      </c>
      <c r="V159" s="156" t="str">
        <f>+IF(VLOOKUP(V$1,Lecturas!$N$1:$AA$20,$AC159,FALSE)=0,"",VLOOKUP(V$1,Lecturas!$N$1:$AA$20,$AC159,FALSE))</f>
        <v/>
      </c>
      <c r="W159" s="156" t="str">
        <f>+IF(VLOOKUP(W$1,Lecturas!$N$1:$AA$20,$AC159,FALSE)=0,"",VLOOKUP(W$1,Lecturas!$N$1:$AA$20,$AC159,FALSE))</f>
        <v/>
      </c>
      <c r="X159" s="156" t="str">
        <f>+IF(VLOOKUP(X$1,Lecturas!$N$1:$AA$20,$AC159,FALSE)=0,"",VLOOKUP(X$1,Lecturas!$N$1:$AA$20,$AC159,FALSE))</f>
        <v/>
      </c>
      <c r="Y159" s="163">
        <f>+IF(VLOOKUP(Y$1,Lecturas!$N$1:$AA$20,$AC159,FALSE)=0,"",VLOOKUP(Y$1,Lecturas!$N$1:$AA$20,$AC159,FALSE))</f>
        <v>3000</v>
      </c>
      <c r="Z159" s="48"/>
      <c r="AA159" s="48"/>
      <c r="AB159" s="48"/>
      <c r="AC159" s="148">
        <f>+'CARGA DE DATOS'!AF160</f>
        <v>10</v>
      </c>
    </row>
    <row r="160" spans="1:29" x14ac:dyDescent="0.25">
      <c r="A160" s="148">
        <f>+'CARGA DE DATOS'!A161</f>
        <v>159</v>
      </c>
      <c r="B160" s="48" t="str">
        <f>+IF(RESULTADOS!H160="","",RESULTADOS!H160)</f>
        <v/>
      </c>
      <c r="C160" s="48" t="str">
        <f>+IF(RESULTADOS!D160="","",RESULTADOS!D160)</f>
        <v/>
      </c>
      <c r="D160" s="160" t="str">
        <f>+IF('CARGA DE DATOS'!K161="Cooperativa","COOP",IF(Salida!AT161="true","PROSU","GD"))</f>
        <v>PROSU</v>
      </c>
      <c r="E160" s="160" t="s">
        <v>9147</v>
      </c>
      <c r="F160" s="160" t="str">
        <f>+IF(OR(D160="COOP",'CARGA DE DATOS'!K161="GUMA"),"15.02.2022",IF('CARGA DE DATOS'!K161="GUME","05.02.2022","10.02.2022"))</f>
        <v>10.02.2022</v>
      </c>
      <c r="G160" s="163">
        <f>+IF(VLOOKUP(G$1,Lecturas!$N$1:$AA$20,$AC160,FALSE)=0,"",VLOOKUP(G$1,Lecturas!$N$1:$AA$20,$AC160,FALSE))</f>
        <v>100</v>
      </c>
      <c r="H160" s="163">
        <f>+IF(VLOOKUP(H$1,Lecturas!$N$1:$AA$20,$AC160,FALSE)=0,"",VLOOKUP(H$1,Lecturas!$N$1:$AA$20,$AC160,FALSE))</f>
        <v>100</v>
      </c>
      <c r="I160" s="163">
        <f>+IF(VLOOKUP(I$1,Lecturas!$N$1:$AA$20,$AC160,FALSE)=0,"",VLOOKUP(I$1,Lecturas!$N$1:$AA$20,$AC160,FALSE))</f>
        <v>100</v>
      </c>
      <c r="J160" s="156">
        <f>+IF(VLOOKUP(J$1,Lecturas!$N$1:$AA$20,$AC160,FALSE)=0,"",VLOOKUP(J$1,Lecturas!$N$1:$AA$20,$AC160,FALSE))</f>
        <v>115</v>
      </c>
      <c r="K160" s="156">
        <f>+IF(VLOOKUP(K$1,Lecturas!$N$1:$AA$20,$AC160,FALSE)=0,"",VLOOKUP(K$1,Lecturas!$N$1:$AA$20,$AC160,FALSE))</f>
        <v>110</v>
      </c>
      <c r="L160" s="156">
        <f>+IF(VLOOKUP(L$1,Lecturas!$N$1:$AA$20,$AC160,FALSE)=0,"",VLOOKUP(L$1,Lecturas!$N$1:$AA$20,$AC160,FALSE))</f>
        <v>105</v>
      </c>
      <c r="M160" s="163">
        <f>+IF(VLOOKUP(M$1,Lecturas!$N$1:$AA$20,$AC160,FALSE)=0,"",VLOOKUP(M$1,Lecturas!$N$1:$AA$20,$AC160,FALSE))</f>
        <v>2500</v>
      </c>
      <c r="N160" s="163">
        <f>+IF(VLOOKUP(N$1,Lecturas!$N$1:$AA$20,$AC160,FALSE)=0,"",VLOOKUP(N$1,Lecturas!$N$1:$AA$20,$AC160,FALSE))</f>
        <v>2000</v>
      </c>
      <c r="O160" s="163">
        <f>+IF(VLOOKUP(O$1,Lecturas!$N$1:$AA$20,$AC160,FALSE)=0,"",VLOOKUP(O$1,Lecturas!$N$1:$AA$20,$AC160,FALSE))</f>
        <v>3000</v>
      </c>
      <c r="P160" s="156">
        <f>+IF(VLOOKUP(P$1,Lecturas!$N$1:$AA$20,$AC160,FALSE)=0,"",VLOOKUP(P$1,Lecturas!$N$1:$AA$20,$AC160,FALSE))</f>
        <v>250</v>
      </c>
      <c r="Q160" s="156">
        <f>+IF(VLOOKUP(Q$1,Lecturas!$N$1:$AA$20,$AC160,FALSE)=0,"",VLOOKUP(Q$1,Lecturas!$N$1:$AA$20,$AC160,FALSE))</f>
        <v>200</v>
      </c>
      <c r="R160" s="156">
        <f>+IF(VLOOKUP(R$1,Lecturas!$N$1:$AA$20,$AC160,FALSE)=0,"",VLOOKUP(R$1,Lecturas!$N$1:$AA$20,$AC160,FALSE))</f>
        <v>300</v>
      </c>
      <c r="S160" s="163">
        <f>+IF(VLOOKUP(S$1,Lecturas!$N$1:$AA$20,$AC160,FALSE)=0,"",VLOOKUP(S$1,Lecturas!$N$1:$AA$20,$AC160,FALSE))</f>
        <v>255</v>
      </c>
      <c r="T160" s="163">
        <f>+IF(VLOOKUP(T$1,Lecturas!$N$1:$AA$20,$AC160,FALSE)=0,"",VLOOKUP(T$1,Lecturas!$N$1:$AA$20,$AC160,FALSE))</f>
        <v>210</v>
      </c>
      <c r="U160" s="163">
        <f>+IF(VLOOKUP(U$1,Lecturas!$N$1:$AA$20,$AC160,FALSE)=0,"",VLOOKUP(U$1,Lecturas!$N$1:$AA$20,$AC160,FALSE))</f>
        <v>320</v>
      </c>
      <c r="V160" s="156" t="str">
        <f>+IF(VLOOKUP(V$1,Lecturas!$N$1:$AA$20,$AC160,FALSE)=0,"",VLOOKUP(V$1,Lecturas!$N$1:$AA$20,$AC160,FALSE))</f>
        <v/>
      </c>
      <c r="W160" s="156" t="str">
        <f>+IF(VLOOKUP(W$1,Lecturas!$N$1:$AA$20,$AC160,FALSE)=0,"",VLOOKUP(W$1,Lecturas!$N$1:$AA$20,$AC160,FALSE))</f>
        <v/>
      </c>
      <c r="X160" s="156" t="str">
        <f>+IF(VLOOKUP(X$1,Lecturas!$N$1:$AA$20,$AC160,FALSE)=0,"",VLOOKUP(X$1,Lecturas!$N$1:$AA$20,$AC160,FALSE))</f>
        <v/>
      </c>
      <c r="Y160" s="163">
        <f>+IF(VLOOKUP(Y$1,Lecturas!$N$1:$AA$20,$AC160,FALSE)=0,"",VLOOKUP(Y$1,Lecturas!$N$1:$AA$20,$AC160,FALSE))</f>
        <v>3000</v>
      </c>
      <c r="Z160" s="48"/>
      <c r="AA160" s="48"/>
      <c r="AB160" s="48"/>
      <c r="AC160" s="148">
        <f>+'CARGA DE DATOS'!AF161</f>
        <v>10</v>
      </c>
    </row>
    <row r="161" spans="1:29" x14ac:dyDescent="0.25">
      <c r="A161" s="148">
        <f>+'CARGA DE DATOS'!A162</f>
        <v>160</v>
      </c>
      <c r="B161" s="48" t="str">
        <f>+IF(RESULTADOS!H161="","",RESULTADOS!H161)</f>
        <v/>
      </c>
      <c r="C161" s="48" t="str">
        <f>+IF(RESULTADOS!D161="","",RESULTADOS!D161)</f>
        <v/>
      </c>
      <c r="D161" s="160" t="str">
        <f>+IF('CARGA DE DATOS'!K162="Cooperativa","COOP",IF(Salida!AT162="true","PROSU","GD"))</f>
        <v>PROSU</v>
      </c>
      <c r="E161" s="160" t="s">
        <v>9147</v>
      </c>
      <c r="F161" s="160" t="str">
        <f>+IF(OR(D161="COOP",'CARGA DE DATOS'!K162="GUMA"),"15.02.2022",IF('CARGA DE DATOS'!K162="GUME","05.02.2022","10.02.2022"))</f>
        <v>10.02.2022</v>
      </c>
      <c r="G161" s="163">
        <f>+IF(VLOOKUP(G$1,Lecturas!$N$1:$AA$20,$AC161,FALSE)=0,"",VLOOKUP(G$1,Lecturas!$N$1:$AA$20,$AC161,FALSE))</f>
        <v>100</v>
      </c>
      <c r="H161" s="163">
        <f>+IF(VLOOKUP(H$1,Lecturas!$N$1:$AA$20,$AC161,FALSE)=0,"",VLOOKUP(H$1,Lecturas!$N$1:$AA$20,$AC161,FALSE))</f>
        <v>100</v>
      </c>
      <c r="I161" s="163">
        <f>+IF(VLOOKUP(I$1,Lecturas!$N$1:$AA$20,$AC161,FALSE)=0,"",VLOOKUP(I$1,Lecturas!$N$1:$AA$20,$AC161,FALSE))</f>
        <v>100</v>
      </c>
      <c r="J161" s="156">
        <f>+IF(VLOOKUP(J$1,Lecturas!$N$1:$AA$20,$AC161,FALSE)=0,"",VLOOKUP(J$1,Lecturas!$N$1:$AA$20,$AC161,FALSE))</f>
        <v>115</v>
      </c>
      <c r="K161" s="156">
        <f>+IF(VLOOKUP(K$1,Lecturas!$N$1:$AA$20,$AC161,FALSE)=0,"",VLOOKUP(K$1,Lecturas!$N$1:$AA$20,$AC161,FALSE))</f>
        <v>110</v>
      </c>
      <c r="L161" s="156">
        <f>+IF(VLOOKUP(L$1,Lecturas!$N$1:$AA$20,$AC161,FALSE)=0,"",VLOOKUP(L$1,Lecturas!$N$1:$AA$20,$AC161,FALSE))</f>
        <v>105</v>
      </c>
      <c r="M161" s="163">
        <f>+IF(VLOOKUP(M$1,Lecturas!$N$1:$AA$20,$AC161,FALSE)=0,"",VLOOKUP(M$1,Lecturas!$N$1:$AA$20,$AC161,FALSE))</f>
        <v>2500</v>
      </c>
      <c r="N161" s="163">
        <f>+IF(VLOOKUP(N$1,Lecturas!$N$1:$AA$20,$AC161,FALSE)=0,"",VLOOKUP(N$1,Lecturas!$N$1:$AA$20,$AC161,FALSE))</f>
        <v>2000</v>
      </c>
      <c r="O161" s="163">
        <f>+IF(VLOOKUP(O$1,Lecturas!$N$1:$AA$20,$AC161,FALSE)=0,"",VLOOKUP(O$1,Lecturas!$N$1:$AA$20,$AC161,FALSE))</f>
        <v>3000</v>
      </c>
      <c r="P161" s="156">
        <f>+IF(VLOOKUP(P$1,Lecturas!$N$1:$AA$20,$AC161,FALSE)=0,"",VLOOKUP(P$1,Lecturas!$N$1:$AA$20,$AC161,FALSE))</f>
        <v>250</v>
      </c>
      <c r="Q161" s="156">
        <f>+IF(VLOOKUP(Q$1,Lecturas!$N$1:$AA$20,$AC161,FALSE)=0,"",VLOOKUP(Q$1,Lecturas!$N$1:$AA$20,$AC161,FALSE))</f>
        <v>200</v>
      </c>
      <c r="R161" s="156">
        <f>+IF(VLOOKUP(R$1,Lecturas!$N$1:$AA$20,$AC161,FALSE)=0,"",VLOOKUP(R$1,Lecturas!$N$1:$AA$20,$AC161,FALSE))</f>
        <v>300</v>
      </c>
      <c r="S161" s="163">
        <f>+IF(VLOOKUP(S$1,Lecturas!$N$1:$AA$20,$AC161,FALSE)=0,"",VLOOKUP(S$1,Lecturas!$N$1:$AA$20,$AC161,FALSE))</f>
        <v>255</v>
      </c>
      <c r="T161" s="163">
        <f>+IF(VLOOKUP(T$1,Lecturas!$N$1:$AA$20,$AC161,FALSE)=0,"",VLOOKUP(T$1,Lecturas!$N$1:$AA$20,$AC161,FALSE))</f>
        <v>210</v>
      </c>
      <c r="U161" s="163">
        <f>+IF(VLOOKUP(U$1,Lecturas!$N$1:$AA$20,$AC161,FALSE)=0,"",VLOOKUP(U$1,Lecturas!$N$1:$AA$20,$AC161,FALSE))</f>
        <v>320</v>
      </c>
      <c r="V161" s="156" t="str">
        <f>+IF(VLOOKUP(V$1,Lecturas!$N$1:$AA$20,$AC161,FALSE)=0,"",VLOOKUP(V$1,Lecturas!$N$1:$AA$20,$AC161,FALSE))</f>
        <v/>
      </c>
      <c r="W161" s="156" t="str">
        <f>+IF(VLOOKUP(W$1,Lecturas!$N$1:$AA$20,$AC161,FALSE)=0,"",VLOOKUP(W$1,Lecturas!$N$1:$AA$20,$AC161,FALSE))</f>
        <v/>
      </c>
      <c r="X161" s="156" t="str">
        <f>+IF(VLOOKUP(X$1,Lecturas!$N$1:$AA$20,$AC161,FALSE)=0,"",VLOOKUP(X$1,Lecturas!$N$1:$AA$20,$AC161,FALSE))</f>
        <v/>
      </c>
      <c r="Y161" s="163">
        <f>+IF(VLOOKUP(Y$1,Lecturas!$N$1:$AA$20,$AC161,FALSE)=0,"",VLOOKUP(Y$1,Lecturas!$N$1:$AA$20,$AC161,FALSE))</f>
        <v>3000</v>
      </c>
      <c r="Z161" s="48"/>
      <c r="AA161" s="48"/>
      <c r="AB161" s="48"/>
      <c r="AC161" s="148">
        <f>+'CARGA DE DATOS'!AF162</f>
        <v>10</v>
      </c>
    </row>
    <row r="162" spans="1:29" x14ac:dyDescent="0.25">
      <c r="A162" s="148">
        <f>+'CARGA DE DATOS'!A163</f>
        <v>161</v>
      </c>
      <c r="B162" s="48" t="str">
        <f>+IF(RESULTADOS!H162="","",RESULTADOS!H162)</f>
        <v/>
      </c>
      <c r="C162" s="48" t="str">
        <f>+IF(RESULTADOS!D162="","",RESULTADOS!D162)</f>
        <v/>
      </c>
      <c r="D162" s="160" t="str">
        <f>+IF('CARGA DE DATOS'!K163="Cooperativa","COOP",IF(Salida!AT163="true","PROSU","GD"))</f>
        <v>PROSU</v>
      </c>
      <c r="E162" s="160" t="s">
        <v>9147</v>
      </c>
      <c r="F162" s="160" t="str">
        <f>+IF(OR(D162="COOP",'CARGA DE DATOS'!K163="GUMA"),"15.02.2022",IF('CARGA DE DATOS'!K163="GUME","05.02.2022","10.02.2022"))</f>
        <v>10.02.2022</v>
      </c>
      <c r="G162" s="163">
        <f>+IF(VLOOKUP(G$1,Lecturas!$N$1:$AA$20,$AC162,FALSE)=0,"",VLOOKUP(G$1,Lecturas!$N$1:$AA$20,$AC162,FALSE))</f>
        <v>100</v>
      </c>
      <c r="H162" s="163">
        <f>+IF(VLOOKUP(H$1,Lecturas!$N$1:$AA$20,$AC162,FALSE)=0,"",VLOOKUP(H$1,Lecturas!$N$1:$AA$20,$AC162,FALSE))</f>
        <v>100</v>
      </c>
      <c r="I162" s="163">
        <f>+IF(VLOOKUP(I$1,Lecturas!$N$1:$AA$20,$AC162,FALSE)=0,"",VLOOKUP(I$1,Lecturas!$N$1:$AA$20,$AC162,FALSE))</f>
        <v>100</v>
      </c>
      <c r="J162" s="156">
        <f>+IF(VLOOKUP(J$1,Lecturas!$N$1:$AA$20,$AC162,FALSE)=0,"",VLOOKUP(J$1,Lecturas!$N$1:$AA$20,$AC162,FALSE))</f>
        <v>115</v>
      </c>
      <c r="K162" s="156">
        <f>+IF(VLOOKUP(K$1,Lecturas!$N$1:$AA$20,$AC162,FALSE)=0,"",VLOOKUP(K$1,Lecturas!$N$1:$AA$20,$AC162,FALSE))</f>
        <v>110</v>
      </c>
      <c r="L162" s="156">
        <f>+IF(VLOOKUP(L$1,Lecturas!$N$1:$AA$20,$AC162,FALSE)=0,"",VLOOKUP(L$1,Lecturas!$N$1:$AA$20,$AC162,FALSE))</f>
        <v>105</v>
      </c>
      <c r="M162" s="163">
        <f>+IF(VLOOKUP(M$1,Lecturas!$N$1:$AA$20,$AC162,FALSE)=0,"",VLOOKUP(M$1,Lecturas!$N$1:$AA$20,$AC162,FALSE))</f>
        <v>2500</v>
      </c>
      <c r="N162" s="163">
        <f>+IF(VLOOKUP(N$1,Lecturas!$N$1:$AA$20,$AC162,FALSE)=0,"",VLOOKUP(N$1,Lecturas!$N$1:$AA$20,$AC162,FALSE))</f>
        <v>2000</v>
      </c>
      <c r="O162" s="163">
        <f>+IF(VLOOKUP(O$1,Lecturas!$N$1:$AA$20,$AC162,FALSE)=0,"",VLOOKUP(O$1,Lecturas!$N$1:$AA$20,$AC162,FALSE))</f>
        <v>3000</v>
      </c>
      <c r="P162" s="156">
        <f>+IF(VLOOKUP(P$1,Lecturas!$N$1:$AA$20,$AC162,FALSE)=0,"",VLOOKUP(P$1,Lecturas!$N$1:$AA$20,$AC162,FALSE))</f>
        <v>250</v>
      </c>
      <c r="Q162" s="156">
        <f>+IF(VLOOKUP(Q$1,Lecturas!$N$1:$AA$20,$AC162,FALSE)=0,"",VLOOKUP(Q$1,Lecturas!$N$1:$AA$20,$AC162,FALSE))</f>
        <v>200</v>
      </c>
      <c r="R162" s="156">
        <f>+IF(VLOOKUP(R$1,Lecturas!$N$1:$AA$20,$AC162,FALSE)=0,"",VLOOKUP(R$1,Lecturas!$N$1:$AA$20,$AC162,FALSE))</f>
        <v>300</v>
      </c>
      <c r="S162" s="163">
        <f>+IF(VLOOKUP(S$1,Lecturas!$N$1:$AA$20,$AC162,FALSE)=0,"",VLOOKUP(S$1,Lecturas!$N$1:$AA$20,$AC162,FALSE))</f>
        <v>255</v>
      </c>
      <c r="T162" s="163">
        <f>+IF(VLOOKUP(T$1,Lecturas!$N$1:$AA$20,$AC162,FALSE)=0,"",VLOOKUP(T$1,Lecturas!$N$1:$AA$20,$AC162,FALSE))</f>
        <v>210</v>
      </c>
      <c r="U162" s="163">
        <f>+IF(VLOOKUP(U$1,Lecturas!$N$1:$AA$20,$AC162,FALSE)=0,"",VLOOKUP(U$1,Lecturas!$N$1:$AA$20,$AC162,FALSE))</f>
        <v>320</v>
      </c>
      <c r="V162" s="156" t="str">
        <f>+IF(VLOOKUP(V$1,Lecturas!$N$1:$AA$20,$AC162,FALSE)=0,"",VLOOKUP(V$1,Lecturas!$N$1:$AA$20,$AC162,FALSE))</f>
        <v/>
      </c>
      <c r="W162" s="156" t="str">
        <f>+IF(VLOOKUP(W$1,Lecturas!$N$1:$AA$20,$AC162,FALSE)=0,"",VLOOKUP(W$1,Lecturas!$N$1:$AA$20,$AC162,FALSE))</f>
        <v/>
      </c>
      <c r="X162" s="156" t="str">
        <f>+IF(VLOOKUP(X$1,Lecturas!$N$1:$AA$20,$AC162,FALSE)=0,"",VLOOKUP(X$1,Lecturas!$N$1:$AA$20,$AC162,FALSE))</f>
        <v/>
      </c>
      <c r="Y162" s="163">
        <f>+IF(VLOOKUP(Y$1,Lecturas!$N$1:$AA$20,$AC162,FALSE)=0,"",VLOOKUP(Y$1,Lecturas!$N$1:$AA$20,$AC162,FALSE))</f>
        <v>3000</v>
      </c>
      <c r="Z162" s="48"/>
      <c r="AA162" s="48"/>
      <c r="AB162" s="48"/>
      <c r="AC162" s="148">
        <f>+'CARGA DE DATOS'!AF163</f>
        <v>11</v>
      </c>
    </row>
    <row r="163" spans="1:29" x14ac:dyDescent="0.25">
      <c r="A163" s="148">
        <f>+'CARGA DE DATOS'!A164</f>
        <v>162</v>
      </c>
      <c r="B163" s="48" t="str">
        <f>+IF(RESULTADOS!H163="","",RESULTADOS!H163)</f>
        <v/>
      </c>
      <c r="C163" s="48" t="str">
        <f>+IF(RESULTADOS!D163="","",RESULTADOS!D163)</f>
        <v/>
      </c>
      <c r="D163" s="160" t="str">
        <f>+IF('CARGA DE DATOS'!K164="Cooperativa","COOP",IF(Salida!AT164="true","PROSU","GD"))</f>
        <v>PROSU</v>
      </c>
      <c r="E163" s="160" t="s">
        <v>9147</v>
      </c>
      <c r="F163" s="160" t="str">
        <f>+IF(OR(D163="COOP",'CARGA DE DATOS'!K164="GUMA"),"15.02.2022",IF('CARGA DE DATOS'!K164="GUME","05.02.2022","10.02.2022"))</f>
        <v>10.02.2022</v>
      </c>
      <c r="G163" s="163">
        <f>+IF(VLOOKUP(G$1,Lecturas!$N$1:$AA$20,$AC163,FALSE)=0,"",VLOOKUP(G$1,Lecturas!$N$1:$AA$20,$AC163,FALSE))</f>
        <v>100</v>
      </c>
      <c r="H163" s="163">
        <f>+IF(VLOOKUP(H$1,Lecturas!$N$1:$AA$20,$AC163,FALSE)=0,"",VLOOKUP(H$1,Lecturas!$N$1:$AA$20,$AC163,FALSE))</f>
        <v>100</v>
      </c>
      <c r="I163" s="163">
        <f>+IF(VLOOKUP(I$1,Lecturas!$N$1:$AA$20,$AC163,FALSE)=0,"",VLOOKUP(I$1,Lecturas!$N$1:$AA$20,$AC163,FALSE))</f>
        <v>100</v>
      </c>
      <c r="J163" s="156">
        <f>+IF(VLOOKUP(J$1,Lecturas!$N$1:$AA$20,$AC163,FALSE)=0,"",VLOOKUP(J$1,Lecturas!$N$1:$AA$20,$AC163,FALSE))</f>
        <v>115</v>
      </c>
      <c r="K163" s="156">
        <f>+IF(VLOOKUP(K$1,Lecturas!$N$1:$AA$20,$AC163,FALSE)=0,"",VLOOKUP(K$1,Lecturas!$N$1:$AA$20,$AC163,FALSE))</f>
        <v>110</v>
      </c>
      <c r="L163" s="156">
        <f>+IF(VLOOKUP(L$1,Lecturas!$N$1:$AA$20,$AC163,FALSE)=0,"",VLOOKUP(L$1,Lecturas!$N$1:$AA$20,$AC163,FALSE))</f>
        <v>105</v>
      </c>
      <c r="M163" s="163">
        <f>+IF(VLOOKUP(M$1,Lecturas!$N$1:$AA$20,$AC163,FALSE)=0,"",VLOOKUP(M$1,Lecturas!$N$1:$AA$20,$AC163,FALSE))</f>
        <v>2500</v>
      </c>
      <c r="N163" s="163">
        <f>+IF(VLOOKUP(N$1,Lecturas!$N$1:$AA$20,$AC163,FALSE)=0,"",VLOOKUP(N$1,Lecturas!$N$1:$AA$20,$AC163,FALSE))</f>
        <v>2000</v>
      </c>
      <c r="O163" s="163">
        <f>+IF(VLOOKUP(O$1,Lecturas!$N$1:$AA$20,$AC163,FALSE)=0,"",VLOOKUP(O$1,Lecturas!$N$1:$AA$20,$AC163,FALSE))</f>
        <v>3000</v>
      </c>
      <c r="P163" s="156">
        <f>+IF(VLOOKUP(P$1,Lecturas!$N$1:$AA$20,$AC163,FALSE)=0,"",VLOOKUP(P$1,Lecturas!$N$1:$AA$20,$AC163,FALSE))</f>
        <v>250</v>
      </c>
      <c r="Q163" s="156">
        <f>+IF(VLOOKUP(Q$1,Lecturas!$N$1:$AA$20,$AC163,FALSE)=0,"",VLOOKUP(Q$1,Lecturas!$N$1:$AA$20,$AC163,FALSE))</f>
        <v>200</v>
      </c>
      <c r="R163" s="156">
        <f>+IF(VLOOKUP(R$1,Lecturas!$N$1:$AA$20,$AC163,FALSE)=0,"",VLOOKUP(R$1,Lecturas!$N$1:$AA$20,$AC163,FALSE))</f>
        <v>300</v>
      </c>
      <c r="S163" s="163">
        <f>+IF(VLOOKUP(S$1,Lecturas!$N$1:$AA$20,$AC163,FALSE)=0,"",VLOOKUP(S$1,Lecturas!$N$1:$AA$20,$AC163,FALSE))</f>
        <v>255</v>
      </c>
      <c r="T163" s="163">
        <f>+IF(VLOOKUP(T$1,Lecturas!$N$1:$AA$20,$AC163,FALSE)=0,"",VLOOKUP(T$1,Lecturas!$N$1:$AA$20,$AC163,FALSE))</f>
        <v>210</v>
      </c>
      <c r="U163" s="163">
        <f>+IF(VLOOKUP(U$1,Lecturas!$N$1:$AA$20,$AC163,FALSE)=0,"",VLOOKUP(U$1,Lecturas!$N$1:$AA$20,$AC163,FALSE))</f>
        <v>320</v>
      </c>
      <c r="V163" s="156" t="str">
        <f>+IF(VLOOKUP(V$1,Lecturas!$N$1:$AA$20,$AC163,FALSE)=0,"",VLOOKUP(V$1,Lecturas!$N$1:$AA$20,$AC163,FALSE))</f>
        <v/>
      </c>
      <c r="W163" s="156" t="str">
        <f>+IF(VLOOKUP(W$1,Lecturas!$N$1:$AA$20,$AC163,FALSE)=0,"",VLOOKUP(W$1,Lecturas!$N$1:$AA$20,$AC163,FALSE))</f>
        <v/>
      </c>
      <c r="X163" s="156" t="str">
        <f>+IF(VLOOKUP(X$1,Lecturas!$N$1:$AA$20,$AC163,FALSE)=0,"",VLOOKUP(X$1,Lecturas!$N$1:$AA$20,$AC163,FALSE))</f>
        <v/>
      </c>
      <c r="Y163" s="163">
        <f>+IF(VLOOKUP(Y$1,Lecturas!$N$1:$AA$20,$AC163,FALSE)=0,"",VLOOKUP(Y$1,Lecturas!$N$1:$AA$20,$AC163,FALSE))</f>
        <v>3000</v>
      </c>
      <c r="Z163" s="48"/>
      <c r="AA163" s="48"/>
      <c r="AB163" s="48"/>
      <c r="AC163" s="148">
        <f>+'CARGA DE DATOS'!AF164</f>
        <v>10</v>
      </c>
    </row>
    <row r="164" spans="1:29" x14ac:dyDescent="0.25">
      <c r="A164" s="148">
        <f>+'CARGA DE DATOS'!A165</f>
        <v>163</v>
      </c>
      <c r="B164" s="48" t="str">
        <f>+IF(RESULTADOS!H164="","",RESULTADOS!H164)</f>
        <v/>
      </c>
      <c r="C164" s="48" t="str">
        <f>+IF(RESULTADOS!D164="","",RESULTADOS!D164)</f>
        <v/>
      </c>
      <c r="D164" s="160" t="str">
        <f>+IF('CARGA DE DATOS'!K165="Cooperativa","COOP",IF(Salida!AT165="true","PROSU","GD"))</f>
        <v>PROSU</v>
      </c>
      <c r="E164" s="160" t="s">
        <v>9147</v>
      </c>
      <c r="F164" s="160" t="str">
        <f>+IF(OR(D164="COOP",'CARGA DE DATOS'!K165="GUMA"),"15.02.2022",IF('CARGA DE DATOS'!K165="GUME","05.02.2022","10.02.2022"))</f>
        <v>10.02.2022</v>
      </c>
      <c r="G164" s="163">
        <f>+IF(VLOOKUP(G$1,Lecturas!$N$1:$AA$20,$AC164,FALSE)=0,"",VLOOKUP(G$1,Lecturas!$N$1:$AA$20,$AC164,FALSE))</f>
        <v>100</v>
      </c>
      <c r="H164" s="163">
        <f>+IF(VLOOKUP(H$1,Lecturas!$N$1:$AA$20,$AC164,FALSE)=0,"",VLOOKUP(H$1,Lecturas!$N$1:$AA$20,$AC164,FALSE))</f>
        <v>100</v>
      </c>
      <c r="I164" s="163">
        <f>+IF(VLOOKUP(I$1,Lecturas!$N$1:$AA$20,$AC164,FALSE)=0,"",VLOOKUP(I$1,Lecturas!$N$1:$AA$20,$AC164,FALSE))</f>
        <v>100</v>
      </c>
      <c r="J164" s="156">
        <f>+IF(VLOOKUP(J$1,Lecturas!$N$1:$AA$20,$AC164,FALSE)=0,"",VLOOKUP(J$1,Lecturas!$N$1:$AA$20,$AC164,FALSE))</f>
        <v>115</v>
      </c>
      <c r="K164" s="156">
        <f>+IF(VLOOKUP(K$1,Lecturas!$N$1:$AA$20,$AC164,FALSE)=0,"",VLOOKUP(K$1,Lecturas!$N$1:$AA$20,$AC164,FALSE))</f>
        <v>110</v>
      </c>
      <c r="L164" s="156">
        <f>+IF(VLOOKUP(L$1,Lecturas!$N$1:$AA$20,$AC164,FALSE)=0,"",VLOOKUP(L$1,Lecturas!$N$1:$AA$20,$AC164,FALSE))</f>
        <v>105</v>
      </c>
      <c r="M164" s="163">
        <f>+IF(VLOOKUP(M$1,Lecturas!$N$1:$AA$20,$AC164,FALSE)=0,"",VLOOKUP(M$1,Lecturas!$N$1:$AA$20,$AC164,FALSE))</f>
        <v>2500</v>
      </c>
      <c r="N164" s="163">
        <f>+IF(VLOOKUP(N$1,Lecturas!$N$1:$AA$20,$AC164,FALSE)=0,"",VLOOKUP(N$1,Lecturas!$N$1:$AA$20,$AC164,FALSE))</f>
        <v>2000</v>
      </c>
      <c r="O164" s="163">
        <f>+IF(VLOOKUP(O$1,Lecturas!$N$1:$AA$20,$AC164,FALSE)=0,"",VLOOKUP(O$1,Lecturas!$N$1:$AA$20,$AC164,FALSE))</f>
        <v>3000</v>
      </c>
      <c r="P164" s="156">
        <f>+IF(VLOOKUP(P$1,Lecturas!$N$1:$AA$20,$AC164,FALSE)=0,"",VLOOKUP(P$1,Lecturas!$N$1:$AA$20,$AC164,FALSE))</f>
        <v>250</v>
      </c>
      <c r="Q164" s="156">
        <f>+IF(VLOOKUP(Q$1,Lecturas!$N$1:$AA$20,$AC164,FALSE)=0,"",VLOOKUP(Q$1,Lecturas!$N$1:$AA$20,$AC164,FALSE))</f>
        <v>200</v>
      </c>
      <c r="R164" s="156">
        <f>+IF(VLOOKUP(R$1,Lecturas!$N$1:$AA$20,$AC164,FALSE)=0,"",VLOOKUP(R$1,Lecturas!$N$1:$AA$20,$AC164,FALSE))</f>
        <v>300</v>
      </c>
      <c r="S164" s="163">
        <f>+IF(VLOOKUP(S$1,Lecturas!$N$1:$AA$20,$AC164,FALSE)=0,"",VLOOKUP(S$1,Lecturas!$N$1:$AA$20,$AC164,FALSE))</f>
        <v>255</v>
      </c>
      <c r="T164" s="163">
        <f>+IF(VLOOKUP(T$1,Lecturas!$N$1:$AA$20,$AC164,FALSE)=0,"",VLOOKUP(T$1,Lecturas!$N$1:$AA$20,$AC164,FALSE))</f>
        <v>210</v>
      </c>
      <c r="U164" s="163">
        <f>+IF(VLOOKUP(U$1,Lecturas!$N$1:$AA$20,$AC164,FALSE)=0,"",VLOOKUP(U$1,Lecturas!$N$1:$AA$20,$AC164,FALSE))</f>
        <v>320</v>
      </c>
      <c r="V164" s="156" t="str">
        <f>+IF(VLOOKUP(V$1,Lecturas!$N$1:$AA$20,$AC164,FALSE)=0,"",VLOOKUP(V$1,Lecturas!$N$1:$AA$20,$AC164,FALSE))</f>
        <v/>
      </c>
      <c r="W164" s="156" t="str">
        <f>+IF(VLOOKUP(W$1,Lecturas!$N$1:$AA$20,$AC164,FALSE)=0,"",VLOOKUP(W$1,Lecturas!$N$1:$AA$20,$AC164,FALSE))</f>
        <v/>
      </c>
      <c r="X164" s="156" t="str">
        <f>+IF(VLOOKUP(X$1,Lecturas!$N$1:$AA$20,$AC164,FALSE)=0,"",VLOOKUP(X$1,Lecturas!$N$1:$AA$20,$AC164,FALSE))</f>
        <v/>
      </c>
      <c r="Y164" s="163">
        <f>+IF(VLOOKUP(Y$1,Lecturas!$N$1:$AA$20,$AC164,FALSE)=0,"",VLOOKUP(Y$1,Lecturas!$N$1:$AA$20,$AC164,FALSE))</f>
        <v>3000</v>
      </c>
      <c r="Z164" s="48"/>
      <c r="AA164" s="48"/>
      <c r="AB164" s="48"/>
      <c r="AC164" s="148">
        <f>+'CARGA DE DATOS'!AF165</f>
        <v>10</v>
      </c>
    </row>
    <row r="165" spans="1:29" x14ac:dyDescent="0.25">
      <c r="A165" s="148">
        <f>+'CARGA DE DATOS'!A166</f>
        <v>164</v>
      </c>
      <c r="B165" s="48" t="str">
        <f>+IF(RESULTADOS!H165="","",RESULTADOS!H165)</f>
        <v/>
      </c>
      <c r="C165" s="48" t="str">
        <f>+IF(RESULTADOS!D165="","",RESULTADOS!D165)</f>
        <v/>
      </c>
      <c r="D165" s="160" t="str">
        <f>+IF('CARGA DE DATOS'!K166="Cooperativa","COOP",IF(Salida!AT166="true","PROSU","GD"))</f>
        <v>PROSU</v>
      </c>
      <c r="E165" s="160" t="s">
        <v>9147</v>
      </c>
      <c r="F165" s="160" t="str">
        <f>+IF(OR(D165="COOP",'CARGA DE DATOS'!K166="GUMA"),"15.02.2022",IF('CARGA DE DATOS'!K166="GUME","05.02.2022","10.02.2022"))</f>
        <v>10.02.2022</v>
      </c>
      <c r="G165" s="163">
        <f>+IF(VLOOKUP(G$1,Lecturas!$N$1:$AA$20,$AC165,FALSE)=0,"",VLOOKUP(G$1,Lecturas!$N$1:$AA$20,$AC165,FALSE))</f>
        <v>100</v>
      </c>
      <c r="H165" s="163">
        <f>+IF(VLOOKUP(H$1,Lecturas!$N$1:$AA$20,$AC165,FALSE)=0,"",VLOOKUP(H$1,Lecturas!$N$1:$AA$20,$AC165,FALSE))</f>
        <v>100</v>
      </c>
      <c r="I165" s="163">
        <f>+IF(VLOOKUP(I$1,Lecturas!$N$1:$AA$20,$AC165,FALSE)=0,"",VLOOKUP(I$1,Lecturas!$N$1:$AA$20,$AC165,FALSE))</f>
        <v>100</v>
      </c>
      <c r="J165" s="156">
        <f>+IF(VLOOKUP(J$1,Lecturas!$N$1:$AA$20,$AC165,FALSE)=0,"",VLOOKUP(J$1,Lecturas!$N$1:$AA$20,$AC165,FALSE))</f>
        <v>115</v>
      </c>
      <c r="K165" s="156">
        <f>+IF(VLOOKUP(K$1,Lecturas!$N$1:$AA$20,$AC165,FALSE)=0,"",VLOOKUP(K$1,Lecturas!$N$1:$AA$20,$AC165,FALSE))</f>
        <v>110</v>
      </c>
      <c r="L165" s="156">
        <f>+IF(VLOOKUP(L$1,Lecturas!$N$1:$AA$20,$AC165,FALSE)=0,"",VLOOKUP(L$1,Lecturas!$N$1:$AA$20,$AC165,FALSE))</f>
        <v>105</v>
      </c>
      <c r="M165" s="163">
        <f>+IF(VLOOKUP(M$1,Lecturas!$N$1:$AA$20,$AC165,FALSE)=0,"",VLOOKUP(M$1,Lecturas!$N$1:$AA$20,$AC165,FALSE))</f>
        <v>2500</v>
      </c>
      <c r="N165" s="163">
        <f>+IF(VLOOKUP(N$1,Lecturas!$N$1:$AA$20,$AC165,FALSE)=0,"",VLOOKUP(N$1,Lecturas!$N$1:$AA$20,$AC165,FALSE))</f>
        <v>2000</v>
      </c>
      <c r="O165" s="163">
        <f>+IF(VLOOKUP(O$1,Lecturas!$N$1:$AA$20,$AC165,FALSE)=0,"",VLOOKUP(O$1,Lecturas!$N$1:$AA$20,$AC165,FALSE))</f>
        <v>3000</v>
      </c>
      <c r="P165" s="156">
        <f>+IF(VLOOKUP(P$1,Lecturas!$N$1:$AA$20,$AC165,FALSE)=0,"",VLOOKUP(P$1,Lecturas!$N$1:$AA$20,$AC165,FALSE))</f>
        <v>250</v>
      </c>
      <c r="Q165" s="156">
        <f>+IF(VLOOKUP(Q$1,Lecturas!$N$1:$AA$20,$AC165,FALSE)=0,"",VLOOKUP(Q$1,Lecturas!$N$1:$AA$20,$AC165,FALSE))</f>
        <v>200</v>
      </c>
      <c r="R165" s="156">
        <f>+IF(VLOOKUP(R$1,Lecturas!$N$1:$AA$20,$AC165,FALSE)=0,"",VLOOKUP(R$1,Lecturas!$N$1:$AA$20,$AC165,FALSE))</f>
        <v>300</v>
      </c>
      <c r="S165" s="163">
        <f>+IF(VLOOKUP(S$1,Lecturas!$N$1:$AA$20,$AC165,FALSE)=0,"",VLOOKUP(S$1,Lecturas!$N$1:$AA$20,$AC165,FALSE))</f>
        <v>255</v>
      </c>
      <c r="T165" s="163">
        <f>+IF(VLOOKUP(T$1,Lecturas!$N$1:$AA$20,$AC165,FALSE)=0,"",VLOOKUP(T$1,Lecturas!$N$1:$AA$20,$AC165,FALSE))</f>
        <v>210</v>
      </c>
      <c r="U165" s="163">
        <f>+IF(VLOOKUP(U$1,Lecturas!$N$1:$AA$20,$AC165,FALSE)=0,"",VLOOKUP(U$1,Lecturas!$N$1:$AA$20,$AC165,FALSE))</f>
        <v>320</v>
      </c>
      <c r="V165" s="156" t="str">
        <f>+IF(VLOOKUP(V$1,Lecturas!$N$1:$AA$20,$AC165,FALSE)=0,"",VLOOKUP(V$1,Lecturas!$N$1:$AA$20,$AC165,FALSE))</f>
        <v/>
      </c>
      <c r="W165" s="156" t="str">
        <f>+IF(VLOOKUP(W$1,Lecturas!$N$1:$AA$20,$AC165,FALSE)=0,"",VLOOKUP(W$1,Lecturas!$N$1:$AA$20,$AC165,FALSE))</f>
        <v/>
      </c>
      <c r="X165" s="156" t="str">
        <f>+IF(VLOOKUP(X$1,Lecturas!$N$1:$AA$20,$AC165,FALSE)=0,"",VLOOKUP(X$1,Lecturas!$N$1:$AA$20,$AC165,FALSE))</f>
        <v/>
      </c>
      <c r="Y165" s="163">
        <f>+IF(VLOOKUP(Y$1,Lecturas!$N$1:$AA$20,$AC165,FALSE)=0,"",VLOOKUP(Y$1,Lecturas!$N$1:$AA$20,$AC165,FALSE))</f>
        <v>3000</v>
      </c>
      <c r="Z165" s="48"/>
      <c r="AA165" s="48"/>
      <c r="AB165" s="48"/>
      <c r="AC165" s="148">
        <f>+'CARGA DE DATOS'!AF166</f>
        <v>10</v>
      </c>
    </row>
    <row r="166" spans="1:29" x14ac:dyDescent="0.25">
      <c r="A166" s="148">
        <f>+'CARGA DE DATOS'!A167</f>
        <v>165</v>
      </c>
      <c r="B166" s="48" t="str">
        <f>+IF(RESULTADOS!H166="","",RESULTADOS!H166)</f>
        <v/>
      </c>
      <c r="C166" s="48" t="str">
        <f>+IF(RESULTADOS!D166="","",RESULTADOS!D166)</f>
        <v/>
      </c>
      <c r="D166" s="160" t="str">
        <f>+IF('CARGA DE DATOS'!K167="Cooperativa","COOP",IF(Salida!AT167="true","PROSU","GD"))</f>
        <v>PROSU</v>
      </c>
      <c r="E166" s="160" t="s">
        <v>9147</v>
      </c>
      <c r="F166" s="160" t="str">
        <f>+IF(OR(D166="COOP",'CARGA DE DATOS'!K167="GUMA"),"15.02.2022",IF('CARGA DE DATOS'!K167="GUME","05.02.2022","10.02.2022"))</f>
        <v>10.02.2022</v>
      </c>
      <c r="G166" s="163">
        <f>+IF(VLOOKUP(G$1,Lecturas!$N$1:$AA$20,$AC166,FALSE)=0,"",VLOOKUP(G$1,Lecturas!$N$1:$AA$20,$AC166,FALSE))</f>
        <v>100</v>
      </c>
      <c r="H166" s="163">
        <f>+IF(VLOOKUP(H$1,Lecturas!$N$1:$AA$20,$AC166,FALSE)=0,"",VLOOKUP(H$1,Lecturas!$N$1:$AA$20,$AC166,FALSE))</f>
        <v>100</v>
      </c>
      <c r="I166" s="163">
        <f>+IF(VLOOKUP(I$1,Lecturas!$N$1:$AA$20,$AC166,FALSE)=0,"",VLOOKUP(I$1,Lecturas!$N$1:$AA$20,$AC166,FALSE))</f>
        <v>100</v>
      </c>
      <c r="J166" s="156">
        <f>+IF(VLOOKUP(J$1,Lecturas!$N$1:$AA$20,$AC166,FALSE)=0,"",VLOOKUP(J$1,Lecturas!$N$1:$AA$20,$AC166,FALSE))</f>
        <v>115</v>
      </c>
      <c r="K166" s="156">
        <f>+IF(VLOOKUP(K$1,Lecturas!$N$1:$AA$20,$AC166,FALSE)=0,"",VLOOKUP(K$1,Lecturas!$N$1:$AA$20,$AC166,FALSE))</f>
        <v>110</v>
      </c>
      <c r="L166" s="156">
        <f>+IF(VLOOKUP(L$1,Lecturas!$N$1:$AA$20,$AC166,FALSE)=0,"",VLOOKUP(L$1,Lecturas!$N$1:$AA$20,$AC166,FALSE))</f>
        <v>105</v>
      </c>
      <c r="M166" s="163">
        <f>+IF(VLOOKUP(M$1,Lecturas!$N$1:$AA$20,$AC166,FALSE)=0,"",VLOOKUP(M$1,Lecturas!$N$1:$AA$20,$AC166,FALSE))</f>
        <v>2500</v>
      </c>
      <c r="N166" s="163">
        <f>+IF(VLOOKUP(N$1,Lecturas!$N$1:$AA$20,$AC166,FALSE)=0,"",VLOOKUP(N$1,Lecturas!$N$1:$AA$20,$AC166,FALSE))</f>
        <v>2000</v>
      </c>
      <c r="O166" s="163">
        <f>+IF(VLOOKUP(O$1,Lecturas!$N$1:$AA$20,$AC166,FALSE)=0,"",VLOOKUP(O$1,Lecturas!$N$1:$AA$20,$AC166,FALSE))</f>
        <v>3000</v>
      </c>
      <c r="P166" s="156">
        <f>+IF(VLOOKUP(P$1,Lecturas!$N$1:$AA$20,$AC166,FALSE)=0,"",VLOOKUP(P$1,Lecturas!$N$1:$AA$20,$AC166,FALSE))</f>
        <v>250</v>
      </c>
      <c r="Q166" s="156">
        <f>+IF(VLOOKUP(Q$1,Lecturas!$N$1:$AA$20,$AC166,FALSE)=0,"",VLOOKUP(Q$1,Lecturas!$N$1:$AA$20,$AC166,FALSE))</f>
        <v>200</v>
      </c>
      <c r="R166" s="156">
        <f>+IF(VLOOKUP(R$1,Lecturas!$N$1:$AA$20,$AC166,FALSE)=0,"",VLOOKUP(R$1,Lecturas!$N$1:$AA$20,$AC166,FALSE))</f>
        <v>300</v>
      </c>
      <c r="S166" s="163">
        <f>+IF(VLOOKUP(S$1,Lecturas!$N$1:$AA$20,$AC166,FALSE)=0,"",VLOOKUP(S$1,Lecturas!$N$1:$AA$20,$AC166,FALSE))</f>
        <v>255</v>
      </c>
      <c r="T166" s="163">
        <f>+IF(VLOOKUP(T$1,Lecturas!$N$1:$AA$20,$AC166,FALSE)=0,"",VLOOKUP(T$1,Lecturas!$N$1:$AA$20,$AC166,FALSE))</f>
        <v>210</v>
      </c>
      <c r="U166" s="163">
        <f>+IF(VLOOKUP(U$1,Lecturas!$N$1:$AA$20,$AC166,FALSE)=0,"",VLOOKUP(U$1,Lecturas!$N$1:$AA$20,$AC166,FALSE))</f>
        <v>320</v>
      </c>
      <c r="V166" s="156" t="str">
        <f>+IF(VLOOKUP(V$1,Lecturas!$N$1:$AA$20,$AC166,FALSE)=0,"",VLOOKUP(V$1,Lecturas!$N$1:$AA$20,$AC166,FALSE))</f>
        <v/>
      </c>
      <c r="W166" s="156" t="str">
        <f>+IF(VLOOKUP(W$1,Lecturas!$N$1:$AA$20,$AC166,FALSE)=0,"",VLOOKUP(W$1,Lecturas!$N$1:$AA$20,$AC166,FALSE))</f>
        <v/>
      </c>
      <c r="X166" s="156" t="str">
        <f>+IF(VLOOKUP(X$1,Lecturas!$N$1:$AA$20,$AC166,FALSE)=0,"",VLOOKUP(X$1,Lecturas!$N$1:$AA$20,$AC166,FALSE))</f>
        <v/>
      </c>
      <c r="Y166" s="163">
        <f>+IF(VLOOKUP(Y$1,Lecturas!$N$1:$AA$20,$AC166,FALSE)=0,"",VLOOKUP(Y$1,Lecturas!$N$1:$AA$20,$AC166,FALSE))</f>
        <v>3000</v>
      </c>
      <c r="Z166" s="48"/>
      <c r="AA166" s="48"/>
      <c r="AB166" s="48"/>
      <c r="AC166" s="148">
        <f>+'CARGA DE DATOS'!AF167</f>
        <v>10</v>
      </c>
    </row>
    <row r="167" spans="1:29" x14ac:dyDescent="0.25">
      <c r="A167" s="148">
        <f>+'CARGA DE DATOS'!A168</f>
        <v>166</v>
      </c>
      <c r="B167" s="48" t="str">
        <f>+IF(RESULTADOS!H167="","",RESULTADOS!H167)</f>
        <v/>
      </c>
      <c r="C167" s="48" t="str">
        <f>+IF(RESULTADOS!D167="","",RESULTADOS!D167)</f>
        <v/>
      </c>
      <c r="D167" s="160" t="str">
        <f>+IF('CARGA DE DATOS'!K168="Cooperativa","COOP",IF(Salida!AT168="true","PROSU","GD"))</f>
        <v>PROSU</v>
      </c>
      <c r="E167" s="160" t="s">
        <v>9147</v>
      </c>
      <c r="F167" s="160" t="str">
        <f>+IF(OR(D167="COOP",'CARGA DE DATOS'!K168="GUMA"),"15.02.2022",IF('CARGA DE DATOS'!K168="GUME","05.02.2022","10.02.2022"))</f>
        <v>10.02.2022</v>
      </c>
      <c r="G167" s="163">
        <f>+IF(VLOOKUP(G$1,Lecturas!$N$1:$AA$20,$AC167,FALSE)=0,"",VLOOKUP(G$1,Lecturas!$N$1:$AA$20,$AC167,FALSE))</f>
        <v>100</v>
      </c>
      <c r="H167" s="163">
        <f>+IF(VLOOKUP(H$1,Lecturas!$N$1:$AA$20,$AC167,FALSE)=0,"",VLOOKUP(H$1,Lecturas!$N$1:$AA$20,$AC167,FALSE))</f>
        <v>100</v>
      </c>
      <c r="I167" s="163">
        <f>+IF(VLOOKUP(I$1,Lecturas!$N$1:$AA$20,$AC167,FALSE)=0,"",VLOOKUP(I$1,Lecturas!$N$1:$AA$20,$AC167,FALSE))</f>
        <v>100</v>
      </c>
      <c r="J167" s="156">
        <f>+IF(VLOOKUP(J$1,Lecturas!$N$1:$AA$20,$AC167,FALSE)=0,"",VLOOKUP(J$1,Lecturas!$N$1:$AA$20,$AC167,FALSE))</f>
        <v>115</v>
      </c>
      <c r="K167" s="156">
        <f>+IF(VLOOKUP(K$1,Lecturas!$N$1:$AA$20,$AC167,FALSE)=0,"",VLOOKUP(K$1,Lecturas!$N$1:$AA$20,$AC167,FALSE))</f>
        <v>110</v>
      </c>
      <c r="L167" s="156">
        <f>+IF(VLOOKUP(L$1,Lecturas!$N$1:$AA$20,$AC167,FALSE)=0,"",VLOOKUP(L$1,Lecturas!$N$1:$AA$20,$AC167,FALSE))</f>
        <v>105</v>
      </c>
      <c r="M167" s="163">
        <f>+IF(VLOOKUP(M$1,Lecturas!$N$1:$AA$20,$AC167,FALSE)=0,"",VLOOKUP(M$1,Lecturas!$N$1:$AA$20,$AC167,FALSE))</f>
        <v>2500</v>
      </c>
      <c r="N167" s="163">
        <f>+IF(VLOOKUP(N$1,Lecturas!$N$1:$AA$20,$AC167,FALSE)=0,"",VLOOKUP(N$1,Lecturas!$N$1:$AA$20,$AC167,FALSE))</f>
        <v>2000</v>
      </c>
      <c r="O167" s="163">
        <f>+IF(VLOOKUP(O$1,Lecturas!$N$1:$AA$20,$AC167,FALSE)=0,"",VLOOKUP(O$1,Lecturas!$N$1:$AA$20,$AC167,FALSE))</f>
        <v>3000</v>
      </c>
      <c r="P167" s="156">
        <f>+IF(VLOOKUP(P$1,Lecturas!$N$1:$AA$20,$AC167,FALSE)=0,"",VLOOKUP(P$1,Lecturas!$N$1:$AA$20,$AC167,FALSE))</f>
        <v>250</v>
      </c>
      <c r="Q167" s="156">
        <f>+IF(VLOOKUP(Q$1,Lecturas!$N$1:$AA$20,$AC167,FALSE)=0,"",VLOOKUP(Q$1,Lecturas!$N$1:$AA$20,$AC167,FALSE))</f>
        <v>200</v>
      </c>
      <c r="R167" s="156">
        <f>+IF(VLOOKUP(R$1,Lecturas!$N$1:$AA$20,$AC167,FALSE)=0,"",VLOOKUP(R$1,Lecturas!$N$1:$AA$20,$AC167,FALSE))</f>
        <v>300</v>
      </c>
      <c r="S167" s="163">
        <f>+IF(VLOOKUP(S$1,Lecturas!$N$1:$AA$20,$AC167,FALSE)=0,"",VLOOKUP(S$1,Lecturas!$N$1:$AA$20,$AC167,FALSE))</f>
        <v>255</v>
      </c>
      <c r="T167" s="163">
        <f>+IF(VLOOKUP(T$1,Lecturas!$N$1:$AA$20,$AC167,FALSE)=0,"",VLOOKUP(T$1,Lecturas!$N$1:$AA$20,$AC167,FALSE))</f>
        <v>210</v>
      </c>
      <c r="U167" s="163">
        <f>+IF(VLOOKUP(U$1,Lecturas!$N$1:$AA$20,$AC167,FALSE)=0,"",VLOOKUP(U$1,Lecturas!$N$1:$AA$20,$AC167,FALSE))</f>
        <v>320</v>
      </c>
      <c r="V167" s="156" t="str">
        <f>+IF(VLOOKUP(V$1,Lecturas!$N$1:$AA$20,$AC167,FALSE)=0,"",VLOOKUP(V$1,Lecturas!$N$1:$AA$20,$AC167,FALSE))</f>
        <v/>
      </c>
      <c r="W167" s="156" t="str">
        <f>+IF(VLOOKUP(W$1,Lecturas!$N$1:$AA$20,$AC167,FALSE)=0,"",VLOOKUP(W$1,Lecturas!$N$1:$AA$20,$AC167,FALSE))</f>
        <v/>
      </c>
      <c r="X167" s="156" t="str">
        <f>+IF(VLOOKUP(X$1,Lecturas!$N$1:$AA$20,$AC167,FALSE)=0,"",VLOOKUP(X$1,Lecturas!$N$1:$AA$20,$AC167,FALSE))</f>
        <v/>
      </c>
      <c r="Y167" s="163">
        <f>+IF(VLOOKUP(Y$1,Lecturas!$N$1:$AA$20,$AC167,FALSE)=0,"",VLOOKUP(Y$1,Lecturas!$N$1:$AA$20,$AC167,FALSE))</f>
        <v>3000</v>
      </c>
      <c r="Z167" s="48"/>
      <c r="AA167" s="48"/>
      <c r="AB167" s="48"/>
      <c r="AC167" s="148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23" t="s">
        <v>1910</v>
      </c>
      <c r="B1" s="225" t="s">
        <v>405</v>
      </c>
      <c r="C1" s="223" t="s">
        <v>332</v>
      </c>
      <c r="D1" s="223" t="s">
        <v>9178</v>
      </c>
    </row>
    <row r="2" spans="1:4" x14ac:dyDescent="0.25">
      <c r="A2" s="221">
        <v>251</v>
      </c>
      <c r="B2" s="224" t="s">
        <v>266</v>
      </c>
      <c r="C2" s="226">
        <v>610000000000165</v>
      </c>
      <c r="D2" s="221" t="s">
        <v>379</v>
      </c>
    </row>
    <row r="3" spans="1:4" x14ac:dyDescent="0.25">
      <c r="A3" s="127">
        <v>252</v>
      </c>
      <c r="B3" s="176" t="s">
        <v>266</v>
      </c>
      <c r="C3" s="153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3">
        <v>610000000000167</v>
      </c>
      <c r="D4" s="127" t="s">
        <v>379</v>
      </c>
    </row>
    <row r="5" spans="1:4" x14ac:dyDescent="0.25">
      <c r="A5" s="127">
        <v>254</v>
      </c>
      <c r="B5" s="177" t="s">
        <v>266</v>
      </c>
      <c r="C5" s="153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3">
        <v>610000000000169</v>
      </c>
      <c r="D6" s="127" t="s">
        <v>379</v>
      </c>
    </row>
    <row r="7" spans="1:4" x14ac:dyDescent="0.25">
      <c r="A7" s="127">
        <v>256</v>
      </c>
      <c r="B7" s="175" t="s">
        <v>528</v>
      </c>
      <c r="C7" s="153">
        <v>610000000000170</v>
      </c>
      <c r="D7" s="127" t="s">
        <v>1812</v>
      </c>
    </row>
    <row r="8" spans="1:4" x14ac:dyDescent="0.25">
      <c r="A8" s="127">
        <v>257</v>
      </c>
      <c r="B8" s="175" t="s">
        <v>268</v>
      </c>
      <c r="C8" s="153">
        <v>610000000000171</v>
      </c>
      <c r="D8" s="127" t="s">
        <v>1746</v>
      </c>
    </row>
    <row r="9" spans="1:4" x14ac:dyDescent="0.25">
      <c r="A9" s="127">
        <v>258</v>
      </c>
      <c r="B9" s="176" t="s">
        <v>528</v>
      </c>
      <c r="C9" s="153">
        <v>610000000000172</v>
      </c>
      <c r="D9" s="127" t="s">
        <v>1812</v>
      </c>
    </row>
    <row r="10" spans="1:4" x14ac:dyDescent="0.25">
      <c r="A10" s="127">
        <v>259</v>
      </c>
      <c r="B10" s="176" t="s">
        <v>268</v>
      </c>
      <c r="C10" s="153">
        <v>610000000000173</v>
      </c>
      <c r="D10" s="127" t="s">
        <v>1746</v>
      </c>
    </row>
    <row r="11" spans="1:4" x14ac:dyDescent="0.25">
      <c r="A11" s="127">
        <v>260</v>
      </c>
      <c r="B11" s="176" t="s">
        <v>528</v>
      </c>
      <c r="C11" s="153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3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3">
        <v>610000000000176</v>
      </c>
      <c r="D13" s="127" t="s">
        <v>1878</v>
      </c>
    </row>
    <row r="14" spans="1:4" x14ac:dyDescent="0.25">
      <c r="A14" s="127">
        <v>263</v>
      </c>
      <c r="B14" s="222" t="s">
        <v>757</v>
      </c>
      <c r="C14" s="153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3">
        <v>610000000000178</v>
      </c>
      <c r="D15" s="127" t="s">
        <v>1868</v>
      </c>
    </row>
    <row r="16" spans="1:4" x14ac:dyDescent="0.25">
      <c r="A16" s="127">
        <v>265</v>
      </c>
      <c r="B16" s="177" t="s">
        <v>528</v>
      </c>
      <c r="C16" s="153">
        <v>610000000000179</v>
      </c>
      <c r="D16" s="127" t="s">
        <v>1812</v>
      </c>
    </row>
    <row r="17" spans="1:4" x14ac:dyDescent="0.25">
      <c r="A17" s="127">
        <v>266</v>
      </c>
      <c r="B17" s="177" t="s">
        <v>268</v>
      </c>
      <c r="C17" s="153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3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3">
        <v>610000000000182</v>
      </c>
      <c r="D19" s="127" t="s">
        <v>1746</v>
      </c>
    </row>
    <row r="20" spans="1:4" x14ac:dyDescent="0.25">
      <c r="A20" s="127">
        <v>269</v>
      </c>
      <c r="B20" s="201" t="s">
        <v>528</v>
      </c>
      <c r="C20" s="153">
        <v>610000000000183</v>
      </c>
      <c r="D20" s="127" t="s">
        <v>1812</v>
      </c>
    </row>
  </sheetData>
  <sortState ref="A2:B21">
    <sortCondition ref="A3"/>
  </sortState>
  <dataValidations count="1">
    <dataValidation type="list" allowBlank="1" showInputMessage="1" showErrorMessage="1" sqref="B3:B20 B1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0.39997558519241921"/>
  </sheetPr>
  <dimension ref="A1:L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7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8">
        <f>+'CARGA DE DATOS'!A3</f>
        <v>1</v>
      </c>
      <c r="B2" s="227"/>
      <c r="C2" s="228"/>
      <c r="D2" s="229"/>
      <c r="E2" s="229"/>
      <c r="F2" s="229"/>
      <c r="G2" s="229"/>
      <c r="H2" s="229"/>
      <c r="I2" s="229"/>
      <c r="J2" s="229"/>
      <c r="L2" s="129" t="str">
        <f>+IF('CARGA DE DATOS'!D3="","",'CARGA DE DATOS'!D3)</f>
        <v>S6020A21</v>
      </c>
    </row>
    <row r="3" spans="1:12" x14ac:dyDescent="0.25">
      <c r="A3" s="148">
        <f>+'CARGA DE DATOS'!A4</f>
        <v>2</v>
      </c>
      <c r="B3" s="227"/>
      <c r="C3" s="228"/>
      <c r="D3" s="229"/>
      <c r="E3" s="229"/>
      <c r="F3" s="229"/>
      <c r="G3" s="229"/>
      <c r="H3" s="229"/>
      <c r="I3" s="229"/>
      <c r="J3" s="229"/>
      <c r="L3" s="129" t="str">
        <f>+IF('CARGA DE DATOS'!D4="","",'CARGA DE DATOS'!D4)</f>
        <v>S6020A21</v>
      </c>
    </row>
    <row r="4" spans="1:12" x14ac:dyDescent="0.25">
      <c r="A4" s="148">
        <f>+'CARGA DE DATOS'!A5</f>
        <v>3</v>
      </c>
      <c r="B4" s="227"/>
      <c r="C4" s="228"/>
      <c r="D4" s="229"/>
      <c r="E4" s="229"/>
      <c r="F4" s="229"/>
      <c r="G4" s="229"/>
      <c r="H4" s="229"/>
      <c r="I4" s="229"/>
      <c r="J4" s="229"/>
      <c r="L4" s="129" t="str">
        <f>+IF('CARGA DE DATOS'!D5="","",'CARGA DE DATOS'!D5)</f>
        <v>S6020A21</v>
      </c>
    </row>
    <row r="5" spans="1:12" x14ac:dyDescent="0.25">
      <c r="A5" s="148">
        <f>+'CARGA DE DATOS'!A6</f>
        <v>4</v>
      </c>
      <c r="B5" s="227"/>
      <c r="C5" s="228"/>
      <c r="D5" s="229"/>
      <c r="E5" s="229"/>
      <c r="F5" s="229"/>
      <c r="G5" s="229"/>
      <c r="H5" s="229"/>
      <c r="I5" s="229"/>
      <c r="J5" s="229"/>
      <c r="L5" s="129" t="str">
        <f>+IF('CARGA DE DATOS'!D6="","",'CARGA DE DATOS'!D6)</f>
        <v>S6020A21</v>
      </c>
    </row>
    <row r="6" spans="1:12" x14ac:dyDescent="0.25">
      <c r="A6" s="148">
        <f>+'CARGA DE DATOS'!A7</f>
        <v>5</v>
      </c>
      <c r="B6" s="227"/>
      <c r="C6" s="228"/>
      <c r="D6" s="229"/>
      <c r="E6" s="229"/>
      <c r="F6" s="229"/>
      <c r="G6" s="229"/>
      <c r="H6" s="229"/>
      <c r="I6" s="229"/>
      <c r="J6" s="229"/>
      <c r="L6" s="129" t="str">
        <f>+IF('CARGA DE DATOS'!D7="","",'CARGA DE DATOS'!D7)</f>
        <v>S6020A21</v>
      </c>
    </row>
    <row r="7" spans="1:12" x14ac:dyDescent="0.25">
      <c r="A7" s="148">
        <f>+'CARGA DE DATOS'!A8</f>
        <v>6</v>
      </c>
      <c r="B7" s="227"/>
      <c r="C7" s="228"/>
      <c r="D7" s="229"/>
      <c r="E7" s="229"/>
      <c r="F7" s="229"/>
      <c r="G7" s="229"/>
      <c r="H7" s="229"/>
      <c r="I7" s="229"/>
      <c r="J7" s="229"/>
      <c r="L7" s="129" t="str">
        <f>+IF('CARGA DE DATOS'!D8="","",'CARGA DE DATOS'!D8)</f>
        <v>S6020A21</v>
      </c>
    </row>
    <row r="8" spans="1:12" x14ac:dyDescent="0.25">
      <c r="A8" s="148">
        <f>+'CARGA DE DATOS'!A9</f>
        <v>7</v>
      </c>
      <c r="B8" s="227"/>
      <c r="C8" s="228"/>
      <c r="D8" s="229"/>
      <c r="E8" s="229"/>
      <c r="F8" s="229"/>
      <c r="G8" s="229"/>
      <c r="H8" s="229"/>
      <c r="I8" s="229"/>
      <c r="J8" s="229"/>
      <c r="L8" s="129" t="str">
        <f>+IF('CARGA DE DATOS'!D9="","",'CARGA DE DATOS'!D9)</f>
        <v>S6020A21</v>
      </c>
    </row>
    <row r="9" spans="1:12" x14ac:dyDescent="0.25">
      <c r="A9" s="148">
        <f>+'CARGA DE DATOS'!A10</f>
        <v>8</v>
      </c>
      <c r="B9" s="227"/>
      <c r="C9" s="228"/>
      <c r="D9" s="229"/>
      <c r="E9" s="229"/>
      <c r="F9" s="229"/>
      <c r="G9" s="229"/>
      <c r="H9" s="229"/>
      <c r="I9" s="229"/>
      <c r="J9" s="229"/>
      <c r="L9" s="129" t="str">
        <f>+IF('CARGA DE DATOS'!D10="","",'CARGA DE DATOS'!D10)</f>
        <v>S6020A21</v>
      </c>
    </row>
    <row r="10" spans="1:12" x14ac:dyDescent="0.25">
      <c r="A10" s="148">
        <f>+'CARGA DE DATOS'!A11</f>
        <v>9</v>
      </c>
      <c r="B10" s="227"/>
      <c r="C10" s="228"/>
      <c r="D10" s="229"/>
      <c r="E10" s="229"/>
      <c r="F10" s="229"/>
      <c r="G10" s="229"/>
      <c r="H10" s="229"/>
      <c r="I10" s="229"/>
      <c r="J10" s="229"/>
      <c r="L10" s="129" t="str">
        <f>+IF('CARGA DE DATOS'!D11="","",'CARGA DE DATOS'!D11)</f>
        <v>S6020A21</v>
      </c>
    </row>
    <row r="11" spans="1:12" x14ac:dyDescent="0.25">
      <c r="A11" s="148">
        <f>+'CARGA DE DATOS'!A12</f>
        <v>10</v>
      </c>
      <c r="B11" s="227"/>
      <c r="C11" s="228"/>
      <c r="D11" s="229"/>
      <c r="E11" s="229"/>
      <c r="F11" s="229"/>
      <c r="G11" s="229"/>
      <c r="H11" s="229"/>
      <c r="I11" s="229"/>
      <c r="J11" s="229"/>
      <c r="L11" s="129" t="str">
        <f>+IF('CARGA DE DATOS'!D12="","",'CARGA DE DATOS'!D12)</f>
        <v>S6020A21</v>
      </c>
    </row>
    <row r="12" spans="1:12" x14ac:dyDescent="0.25">
      <c r="A12" s="148">
        <f>+'CARGA DE DATOS'!A13</f>
        <v>11</v>
      </c>
      <c r="B12" s="227"/>
      <c r="C12" s="228"/>
      <c r="D12" s="229"/>
      <c r="E12" s="229"/>
      <c r="F12" s="229"/>
      <c r="G12" s="229"/>
      <c r="H12" s="229"/>
      <c r="I12" s="229"/>
      <c r="J12" s="229"/>
      <c r="L12" s="129" t="str">
        <f>+IF('CARGA DE DATOS'!D13="","",'CARGA DE DATOS'!D13)</f>
        <v>S6020A21</v>
      </c>
    </row>
    <row r="13" spans="1:12" x14ac:dyDescent="0.25">
      <c r="A13" s="148">
        <f>+'CARGA DE DATOS'!A14</f>
        <v>12</v>
      </c>
      <c r="B13" s="227"/>
      <c r="C13" s="228"/>
      <c r="D13" s="229"/>
      <c r="E13" s="229"/>
      <c r="F13" s="229"/>
      <c r="G13" s="229"/>
      <c r="H13" s="229"/>
      <c r="I13" s="229"/>
      <c r="J13" s="229"/>
      <c r="L13" s="129" t="str">
        <f>+IF('CARGA DE DATOS'!D14="","",'CARGA DE DATOS'!D14)</f>
        <v>S6020A21</v>
      </c>
    </row>
    <row r="14" spans="1:12" x14ac:dyDescent="0.25">
      <c r="A14" s="148">
        <f>+'CARGA DE DATOS'!A15</f>
        <v>13</v>
      </c>
      <c r="B14" s="227"/>
      <c r="C14" s="228"/>
      <c r="D14" s="229"/>
      <c r="E14" s="229"/>
      <c r="F14" s="229"/>
      <c r="G14" s="229"/>
      <c r="H14" s="229"/>
      <c r="I14" s="229"/>
      <c r="J14" s="229"/>
      <c r="L14" s="129" t="str">
        <f>+IF('CARGA DE DATOS'!D15="","",'CARGA DE DATOS'!D15)</f>
        <v>S6020A21</v>
      </c>
    </row>
    <row r="15" spans="1:12" x14ac:dyDescent="0.25">
      <c r="A15" s="148">
        <f>+'CARGA DE DATOS'!A16</f>
        <v>14</v>
      </c>
      <c r="B15" s="227"/>
      <c r="C15" s="228"/>
      <c r="D15" s="229"/>
      <c r="E15" s="229"/>
      <c r="F15" s="229"/>
      <c r="G15" s="229"/>
      <c r="H15" s="229"/>
      <c r="I15" s="229"/>
      <c r="J15" s="229"/>
      <c r="L15" s="129" t="str">
        <f>+IF('CARGA DE DATOS'!D16="","",'CARGA DE DATOS'!D16)</f>
        <v>S6020A21</v>
      </c>
    </row>
    <row r="16" spans="1:12" x14ac:dyDescent="0.25">
      <c r="A16" s="148">
        <f>+'CARGA DE DATOS'!A17</f>
        <v>15</v>
      </c>
      <c r="B16" s="227"/>
      <c r="C16" s="228"/>
      <c r="D16" s="229"/>
      <c r="E16" s="229"/>
      <c r="F16" s="229"/>
      <c r="G16" s="229"/>
      <c r="H16" s="229"/>
      <c r="I16" s="229"/>
      <c r="J16" s="229"/>
      <c r="L16" s="129" t="str">
        <f>+IF('CARGA DE DATOS'!D17="","",'CARGA DE DATOS'!D17)</f>
        <v>S6020A21</v>
      </c>
    </row>
    <row r="17" spans="1:12" x14ac:dyDescent="0.25">
      <c r="A17" s="148">
        <f>+'CARGA DE DATOS'!A18</f>
        <v>16</v>
      </c>
      <c r="B17" s="227"/>
      <c r="C17" s="228"/>
      <c r="D17" s="229"/>
      <c r="E17" s="229"/>
      <c r="F17" s="229"/>
      <c r="G17" s="229"/>
      <c r="H17" s="229"/>
      <c r="I17" s="229"/>
      <c r="J17" s="229"/>
      <c r="L17" s="129" t="str">
        <f>+IF('CARGA DE DATOS'!D18="","",'CARGA DE DATOS'!D18)</f>
        <v>S6020A21</v>
      </c>
    </row>
    <row r="18" spans="1:12" x14ac:dyDescent="0.25">
      <c r="A18" s="148">
        <f>+'CARGA DE DATOS'!A19</f>
        <v>17</v>
      </c>
      <c r="B18" s="227"/>
      <c r="C18" s="228"/>
      <c r="D18" s="229"/>
      <c r="E18" s="229"/>
      <c r="F18" s="229"/>
      <c r="G18" s="229"/>
      <c r="H18" s="229"/>
      <c r="I18" s="229"/>
      <c r="J18" s="229"/>
      <c r="L18" s="129" t="str">
        <f>+IF('CARGA DE DATOS'!D19="","",'CARGA DE DATOS'!D19)</f>
        <v>S6020A21</v>
      </c>
    </row>
    <row r="19" spans="1:12" x14ac:dyDescent="0.25">
      <c r="A19" s="148">
        <f>+'CARGA DE DATOS'!A20</f>
        <v>18</v>
      </c>
      <c r="B19" s="227"/>
      <c r="C19" s="228"/>
      <c r="D19" s="229"/>
      <c r="E19" s="229"/>
      <c r="F19" s="229"/>
      <c r="G19" s="229"/>
      <c r="H19" s="229"/>
      <c r="I19" s="229"/>
      <c r="J19" s="229"/>
      <c r="L19" s="129" t="str">
        <f>+IF('CARGA DE DATOS'!D20="","",'CARGA DE DATOS'!D20)</f>
        <v>S6020A21</v>
      </c>
    </row>
    <row r="20" spans="1:12" x14ac:dyDescent="0.25">
      <c r="A20" s="148">
        <f>+'CARGA DE DATOS'!A21</f>
        <v>19</v>
      </c>
      <c r="B20" s="227"/>
      <c r="C20" s="228"/>
      <c r="D20" s="229"/>
      <c r="E20" s="229"/>
      <c r="F20" s="229"/>
      <c r="G20" s="229"/>
      <c r="H20" s="229"/>
      <c r="I20" s="229"/>
      <c r="J20" s="229"/>
      <c r="L20" s="129" t="str">
        <f>+IF('CARGA DE DATOS'!D21="","",'CARGA DE DATOS'!D21)</f>
        <v>S6020A21</v>
      </c>
    </row>
    <row r="21" spans="1:12" x14ac:dyDescent="0.25">
      <c r="A21" s="148">
        <f>+'CARGA DE DATOS'!A22</f>
        <v>20</v>
      </c>
      <c r="B21" s="227"/>
      <c r="C21" s="228"/>
      <c r="D21" s="229"/>
      <c r="E21" s="229"/>
      <c r="F21" s="229"/>
      <c r="G21" s="229"/>
      <c r="H21" s="229"/>
      <c r="I21" s="229"/>
      <c r="J21" s="229"/>
      <c r="L21" s="129" t="str">
        <f>+IF('CARGA DE DATOS'!D22="","",'CARGA DE DATOS'!D22)</f>
        <v>S6020A21</v>
      </c>
    </row>
    <row r="22" spans="1:12" x14ac:dyDescent="0.25">
      <c r="A22" s="148">
        <f>+'CARGA DE DATOS'!A23</f>
        <v>21</v>
      </c>
      <c r="B22" s="227"/>
      <c r="C22" s="228"/>
      <c r="D22" s="229"/>
      <c r="E22" s="229"/>
      <c r="F22" s="229"/>
      <c r="G22" s="229"/>
      <c r="H22" s="229"/>
      <c r="I22" s="229"/>
      <c r="J22" s="229"/>
      <c r="L22" s="129" t="str">
        <f>+IF('CARGA DE DATOS'!D23="","",'CARGA DE DATOS'!D23)</f>
        <v>S6020A21</v>
      </c>
    </row>
    <row r="23" spans="1:12" x14ac:dyDescent="0.25">
      <c r="A23" s="148">
        <f>+'CARGA DE DATOS'!A24</f>
        <v>22</v>
      </c>
      <c r="B23" s="227"/>
      <c r="C23" s="228"/>
      <c r="D23" s="229"/>
      <c r="E23" s="229"/>
      <c r="F23" s="229"/>
      <c r="G23" s="229"/>
      <c r="H23" s="229"/>
      <c r="I23" s="229"/>
      <c r="J23" s="229"/>
      <c r="L23" s="129" t="str">
        <f>+IF('CARGA DE DATOS'!D24="","",'CARGA DE DATOS'!D24)</f>
        <v>S6020A21</v>
      </c>
    </row>
    <row r="24" spans="1:12" x14ac:dyDescent="0.25">
      <c r="A24" s="148">
        <f>+'CARGA DE DATOS'!A25</f>
        <v>23</v>
      </c>
      <c r="B24" s="227"/>
      <c r="C24" s="228"/>
      <c r="D24" s="229"/>
      <c r="E24" s="229"/>
      <c r="F24" s="229"/>
      <c r="G24" s="229"/>
      <c r="H24" s="229"/>
      <c r="I24" s="229"/>
      <c r="J24" s="229"/>
      <c r="L24" s="129" t="str">
        <f>+IF('CARGA DE DATOS'!D25="","",'CARGA DE DATOS'!D25)</f>
        <v>S6020A21</v>
      </c>
    </row>
    <row r="25" spans="1:12" x14ac:dyDescent="0.25">
      <c r="A25" s="148">
        <f>+'CARGA DE DATOS'!A26</f>
        <v>24</v>
      </c>
      <c r="B25" s="227"/>
      <c r="C25" s="228"/>
      <c r="D25" s="229"/>
      <c r="E25" s="229"/>
      <c r="F25" s="229"/>
      <c r="G25" s="229"/>
      <c r="H25" s="229"/>
      <c r="I25" s="229"/>
      <c r="J25" s="229"/>
      <c r="L25" s="129" t="str">
        <f>+IF('CARGA DE DATOS'!D26="","",'CARGA DE DATOS'!D26)</f>
        <v>S6020A21</v>
      </c>
    </row>
    <row r="26" spans="1:12" x14ac:dyDescent="0.25">
      <c r="A26" s="148">
        <f>+'CARGA DE DATOS'!A27</f>
        <v>25</v>
      </c>
      <c r="B26" s="227"/>
      <c r="C26" s="228"/>
      <c r="D26" s="229"/>
      <c r="E26" s="229"/>
      <c r="F26" s="229"/>
      <c r="G26" s="229"/>
      <c r="H26" s="229"/>
      <c r="I26" s="229"/>
      <c r="J26" s="229"/>
      <c r="L26" s="129" t="str">
        <f>+IF('CARGA DE DATOS'!D27="","",'CARGA DE DATOS'!D27)</f>
        <v>S6020A21</v>
      </c>
    </row>
    <row r="27" spans="1:12" x14ac:dyDescent="0.25">
      <c r="A27" s="148">
        <f>+'CARGA DE DATOS'!A28</f>
        <v>26</v>
      </c>
      <c r="B27" s="227"/>
      <c r="C27" s="228"/>
      <c r="D27" s="229"/>
      <c r="E27" s="229"/>
      <c r="F27" s="229"/>
      <c r="G27" s="229"/>
      <c r="H27" s="229"/>
      <c r="I27" s="229"/>
      <c r="J27" s="229"/>
      <c r="L27" s="129" t="str">
        <f>+IF('CARGA DE DATOS'!D28="","",'CARGA DE DATOS'!D28)</f>
        <v>S6020A21</v>
      </c>
    </row>
    <row r="28" spans="1:12" x14ac:dyDescent="0.25">
      <c r="A28" s="148">
        <f>+'CARGA DE DATOS'!A29</f>
        <v>27</v>
      </c>
      <c r="B28" s="227"/>
      <c r="C28" s="228"/>
      <c r="D28" s="229"/>
      <c r="E28" s="229"/>
      <c r="F28" s="229"/>
      <c r="G28" s="229"/>
      <c r="H28" s="229"/>
      <c r="I28" s="229"/>
      <c r="J28" s="229"/>
      <c r="L28" s="129" t="str">
        <f>+IF('CARGA DE DATOS'!D29="","",'CARGA DE DATOS'!D29)</f>
        <v>S6020A21</v>
      </c>
    </row>
    <row r="29" spans="1:12" x14ac:dyDescent="0.25">
      <c r="A29" s="148">
        <f>+'CARGA DE DATOS'!A30</f>
        <v>28</v>
      </c>
      <c r="B29" s="227"/>
      <c r="C29" s="228"/>
      <c r="D29" s="229"/>
      <c r="E29" s="229"/>
      <c r="F29" s="229"/>
      <c r="G29" s="229"/>
      <c r="H29" s="229"/>
      <c r="I29" s="229"/>
      <c r="J29" s="229"/>
      <c r="L29" s="129" t="str">
        <f>+IF('CARGA DE DATOS'!D30="","",'CARGA DE DATOS'!D30)</f>
        <v>S6020A21</v>
      </c>
    </row>
    <row r="30" spans="1:12" x14ac:dyDescent="0.25">
      <c r="A30" s="148">
        <f>+'CARGA DE DATOS'!A31</f>
        <v>29</v>
      </c>
      <c r="B30" s="227"/>
      <c r="C30" s="228"/>
      <c r="D30" s="229"/>
      <c r="E30" s="229"/>
      <c r="F30" s="229"/>
      <c r="G30" s="229"/>
      <c r="H30" s="229"/>
      <c r="I30" s="229"/>
      <c r="J30" s="229"/>
      <c r="L30" s="129" t="str">
        <f>+IF('CARGA DE DATOS'!D31="","",'CARGA DE DATOS'!D31)</f>
        <v>S6020A21</v>
      </c>
    </row>
    <row r="31" spans="1:12" x14ac:dyDescent="0.25">
      <c r="A31" s="148">
        <f>+'CARGA DE DATOS'!A32</f>
        <v>30</v>
      </c>
      <c r="B31" s="227"/>
      <c r="C31" s="228"/>
      <c r="D31" s="229"/>
      <c r="E31" s="229"/>
      <c r="F31" s="229"/>
      <c r="G31" s="229"/>
      <c r="H31" s="229"/>
      <c r="I31" s="229"/>
      <c r="J31" s="229"/>
      <c r="L31" s="129" t="str">
        <f>+IF('CARGA DE DATOS'!D32="","",'CARGA DE DATOS'!D32)</f>
        <v>S6020A21</v>
      </c>
    </row>
    <row r="32" spans="1:12" x14ac:dyDescent="0.25">
      <c r="A32" s="148">
        <f>+'CARGA DE DATOS'!A33</f>
        <v>31</v>
      </c>
      <c r="B32" s="227"/>
      <c r="C32" s="228"/>
      <c r="D32" s="229"/>
      <c r="E32" s="229"/>
      <c r="F32" s="229"/>
      <c r="G32" s="229"/>
      <c r="H32" s="229"/>
      <c r="I32" s="229"/>
      <c r="J32" s="229"/>
      <c r="L32" s="129" t="str">
        <f>+IF('CARGA DE DATOS'!D33="","",'CARGA DE DATOS'!D33)</f>
        <v>S6020A21</v>
      </c>
    </row>
    <row r="33" spans="1:12" x14ac:dyDescent="0.25">
      <c r="A33" s="148">
        <f>+'CARGA DE DATOS'!A34</f>
        <v>32</v>
      </c>
      <c r="B33" s="227"/>
      <c r="C33" s="228"/>
      <c r="D33" s="229"/>
      <c r="E33" s="229"/>
      <c r="F33" s="229"/>
      <c r="G33" s="229"/>
      <c r="H33" s="229"/>
      <c r="I33" s="229"/>
      <c r="J33" s="229"/>
      <c r="L33" s="129" t="str">
        <f>+IF('CARGA DE DATOS'!D34="","",'CARGA DE DATOS'!D34)</f>
        <v>S6020A21</v>
      </c>
    </row>
    <row r="34" spans="1:12" x14ac:dyDescent="0.25">
      <c r="A34" s="148">
        <f>+'CARGA DE DATOS'!A35</f>
        <v>33</v>
      </c>
      <c r="B34" s="227"/>
      <c r="C34" s="228"/>
      <c r="D34" s="229"/>
      <c r="E34" s="229"/>
      <c r="F34" s="229"/>
      <c r="G34" s="229"/>
      <c r="H34" s="229"/>
      <c r="I34" s="229"/>
      <c r="J34" s="229"/>
      <c r="L34" s="129" t="str">
        <f>+IF('CARGA DE DATOS'!D35="","",'CARGA DE DATOS'!D35)</f>
        <v>S6020A21</v>
      </c>
    </row>
    <row r="35" spans="1:12" x14ac:dyDescent="0.25">
      <c r="A35" s="148">
        <f>+'CARGA DE DATOS'!A36</f>
        <v>34</v>
      </c>
      <c r="B35" s="227"/>
      <c r="C35" s="228"/>
      <c r="D35" s="229"/>
      <c r="E35" s="229"/>
      <c r="F35" s="229"/>
      <c r="G35" s="229"/>
      <c r="H35" s="229"/>
      <c r="I35" s="229"/>
      <c r="J35" s="229"/>
      <c r="L35" s="129" t="str">
        <f>+IF('CARGA DE DATOS'!D36="","",'CARGA DE DATOS'!D36)</f>
        <v>S6020A21</v>
      </c>
    </row>
    <row r="36" spans="1:12" x14ac:dyDescent="0.25">
      <c r="A36" s="148">
        <f>+'CARGA DE DATOS'!A37</f>
        <v>35</v>
      </c>
      <c r="B36" s="227"/>
      <c r="C36" s="228"/>
      <c r="D36" s="229"/>
      <c r="E36" s="229"/>
      <c r="F36" s="229"/>
      <c r="G36" s="229"/>
      <c r="H36" s="229"/>
      <c r="I36" s="229"/>
      <c r="J36" s="229"/>
      <c r="L36" s="129" t="str">
        <f>+IF('CARGA DE DATOS'!D37="","",'CARGA DE DATOS'!D37)</f>
        <v>S6020A21</v>
      </c>
    </row>
    <row r="37" spans="1:12" x14ac:dyDescent="0.25">
      <c r="A37" s="148">
        <f>+'CARGA DE DATOS'!A38</f>
        <v>36</v>
      </c>
      <c r="B37" s="227"/>
      <c r="C37" s="228"/>
      <c r="D37" s="229"/>
      <c r="E37" s="229"/>
      <c r="F37" s="229"/>
      <c r="G37" s="229"/>
      <c r="H37" s="229"/>
      <c r="I37" s="229"/>
      <c r="J37" s="229"/>
      <c r="L37" s="129" t="str">
        <f>+IF('CARGA DE DATOS'!D38="","",'CARGA DE DATOS'!D38)</f>
        <v>S6020A21</v>
      </c>
    </row>
    <row r="38" spans="1:12" x14ac:dyDescent="0.25">
      <c r="A38" s="148">
        <f>+'CARGA DE DATOS'!A39</f>
        <v>37</v>
      </c>
      <c r="B38" s="227"/>
      <c r="C38" s="228"/>
      <c r="D38" s="229"/>
      <c r="E38" s="229"/>
      <c r="F38" s="229"/>
      <c r="G38" s="229"/>
      <c r="H38" s="229"/>
      <c r="I38" s="229"/>
      <c r="J38" s="229"/>
      <c r="L38" s="129" t="str">
        <f>+IF('CARGA DE DATOS'!D39="","",'CARGA DE DATOS'!D39)</f>
        <v>S6020A21</v>
      </c>
    </row>
    <row r="39" spans="1:12" x14ac:dyDescent="0.25">
      <c r="A39" s="148">
        <f>+'CARGA DE DATOS'!A40</f>
        <v>38</v>
      </c>
      <c r="B39" s="227"/>
      <c r="C39" s="228"/>
      <c r="D39" s="229"/>
      <c r="E39" s="229"/>
      <c r="F39" s="229"/>
      <c r="G39" s="229"/>
      <c r="H39" s="229"/>
      <c r="I39" s="229"/>
      <c r="J39" s="229"/>
      <c r="L39" s="129" t="str">
        <f>+IF('CARGA DE DATOS'!D40="","",'CARGA DE DATOS'!D40)</f>
        <v>S6020A21</v>
      </c>
    </row>
    <row r="40" spans="1:12" x14ac:dyDescent="0.25">
      <c r="A40" s="148">
        <f>+'CARGA DE DATOS'!A41</f>
        <v>39</v>
      </c>
      <c r="B40" s="227"/>
      <c r="C40" s="228"/>
      <c r="D40" s="229"/>
      <c r="E40" s="229"/>
      <c r="F40" s="229"/>
      <c r="G40" s="229"/>
      <c r="H40" s="229"/>
      <c r="I40" s="229"/>
      <c r="J40" s="229"/>
      <c r="L40" s="129" t="str">
        <f>+IF('CARGA DE DATOS'!D41="","",'CARGA DE DATOS'!D41)</f>
        <v>S6020A21</v>
      </c>
    </row>
    <row r="41" spans="1:12" x14ac:dyDescent="0.25">
      <c r="A41" s="148">
        <f>+'CARGA DE DATOS'!A42</f>
        <v>40</v>
      </c>
      <c r="B41" s="227"/>
      <c r="C41" s="228"/>
      <c r="D41" s="229"/>
      <c r="E41" s="229"/>
      <c r="F41" s="229"/>
      <c r="G41" s="229"/>
      <c r="H41" s="229"/>
      <c r="I41" s="229"/>
      <c r="J41" s="229"/>
      <c r="L41" s="129" t="str">
        <f>+IF('CARGA DE DATOS'!D42="","",'CARGA DE DATOS'!D42)</f>
        <v>S6020A21</v>
      </c>
    </row>
    <row r="42" spans="1:12" x14ac:dyDescent="0.25">
      <c r="A42" s="148">
        <f>+'CARGA DE DATOS'!A43</f>
        <v>41</v>
      </c>
      <c r="B42" s="227"/>
      <c r="C42" s="228"/>
      <c r="D42" s="229"/>
      <c r="E42" s="229"/>
      <c r="F42" s="229"/>
      <c r="G42" s="229"/>
      <c r="H42" s="229"/>
      <c r="I42" s="229"/>
      <c r="J42" s="229"/>
      <c r="L42" s="129" t="str">
        <f>+IF('CARGA DE DATOS'!D43="","",'CARGA DE DATOS'!D43)</f>
        <v>S6020A21</v>
      </c>
    </row>
    <row r="43" spans="1:12" x14ac:dyDescent="0.25">
      <c r="A43" s="148">
        <f>+'CARGA DE DATOS'!A44</f>
        <v>42</v>
      </c>
      <c r="B43" s="227"/>
      <c r="C43" s="228"/>
      <c r="D43" s="229"/>
      <c r="E43" s="229"/>
      <c r="F43" s="229"/>
      <c r="G43" s="229"/>
      <c r="H43" s="229"/>
      <c r="I43" s="229"/>
      <c r="J43" s="229"/>
      <c r="L43" s="129" t="str">
        <f>+IF('CARGA DE DATOS'!D44="","",'CARGA DE DATOS'!D44)</f>
        <v>S6020A21</v>
      </c>
    </row>
    <row r="44" spans="1:12" x14ac:dyDescent="0.25">
      <c r="A44" s="148">
        <f>+'CARGA DE DATOS'!A45</f>
        <v>43</v>
      </c>
      <c r="B44" s="227"/>
      <c r="C44" s="228"/>
      <c r="D44" s="229"/>
      <c r="E44" s="229"/>
      <c r="F44" s="229"/>
      <c r="G44" s="229"/>
      <c r="H44" s="229"/>
      <c r="I44" s="229"/>
      <c r="J44" s="229"/>
      <c r="L44" s="129" t="str">
        <f>+IF('CARGA DE DATOS'!D45="","",'CARGA DE DATOS'!D45)</f>
        <v>S6020A21</v>
      </c>
    </row>
    <row r="45" spans="1:12" x14ac:dyDescent="0.25">
      <c r="A45" s="148">
        <f>+'CARGA DE DATOS'!A46</f>
        <v>44</v>
      </c>
      <c r="B45" s="227"/>
      <c r="C45" s="228"/>
      <c r="D45" s="229"/>
      <c r="E45" s="229"/>
      <c r="F45" s="229"/>
      <c r="G45" s="229"/>
      <c r="H45" s="229"/>
      <c r="I45" s="229"/>
      <c r="J45" s="229"/>
      <c r="L45" s="129" t="str">
        <f>+IF('CARGA DE DATOS'!D46="","",'CARGA DE DATOS'!D46)</f>
        <v>S6020A21</v>
      </c>
    </row>
    <row r="46" spans="1:12" x14ac:dyDescent="0.25">
      <c r="A46" s="148">
        <f>+'CARGA DE DATOS'!A47</f>
        <v>45</v>
      </c>
      <c r="B46" s="227"/>
      <c r="C46" s="228"/>
      <c r="D46" s="229"/>
      <c r="E46" s="229"/>
      <c r="F46" s="229"/>
      <c r="G46" s="229"/>
      <c r="H46" s="229"/>
      <c r="I46" s="229"/>
      <c r="J46" s="229"/>
      <c r="L46" s="129" t="str">
        <f>+IF('CARGA DE DATOS'!D47="","",'CARGA DE DATOS'!D47)</f>
        <v>S6020A21</v>
      </c>
    </row>
    <row r="47" spans="1:12" x14ac:dyDescent="0.25">
      <c r="A47" s="148">
        <f>+'CARGA DE DATOS'!A48</f>
        <v>46</v>
      </c>
      <c r="B47" s="227"/>
      <c r="C47" s="228"/>
      <c r="D47" s="229"/>
      <c r="E47" s="229"/>
      <c r="F47" s="229"/>
      <c r="G47" s="229"/>
      <c r="H47" s="229"/>
      <c r="I47" s="229"/>
      <c r="J47" s="229"/>
      <c r="L47" s="129" t="str">
        <f>+IF('CARGA DE DATOS'!D48="","",'CARGA DE DATOS'!D48)</f>
        <v>S6020A21</v>
      </c>
    </row>
    <row r="48" spans="1:12" x14ac:dyDescent="0.25">
      <c r="A48" s="148">
        <f>+'CARGA DE DATOS'!A49</f>
        <v>47</v>
      </c>
      <c r="B48" s="227"/>
      <c r="C48" s="228"/>
      <c r="D48" s="229"/>
      <c r="E48" s="229"/>
      <c r="F48" s="229"/>
      <c r="G48" s="229"/>
      <c r="H48" s="229"/>
      <c r="I48" s="229"/>
      <c r="J48" s="229"/>
      <c r="L48" s="129" t="str">
        <f>+IF('CARGA DE DATOS'!D49="","",'CARGA DE DATOS'!D49)</f>
        <v>S6020A21</v>
      </c>
    </row>
    <row r="49" spans="1:12" x14ac:dyDescent="0.25">
      <c r="A49" s="148">
        <f>+'CARGA DE DATOS'!A50</f>
        <v>48</v>
      </c>
      <c r="B49" s="227"/>
      <c r="C49" s="228"/>
      <c r="D49" s="229"/>
      <c r="E49" s="229"/>
      <c r="F49" s="229"/>
      <c r="G49" s="229"/>
      <c r="H49" s="229"/>
      <c r="I49" s="229"/>
      <c r="J49" s="229"/>
      <c r="L49" s="129" t="str">
        <f>+IF('CARGA DE DATOS'!D50="","",'CARGA DE DATOS'!D50)</f>
        <v>S6020A21</v>
      </c>
    </row>
    <row r="50" spans="1:12" x14ac:dyDescent="0.25">
      <c r="A50" s="148">
        <f>+'CARGA DE DATOS'!A51</f>
        <v>49</v>
      </c>
      <c r="B50" s="227"/>
      <c r="C50" s="228"/>
      <c r="D50" s="229"/>
      <c r="E50" s="229"/>
      <c r="F50" s="229"/>
      <c r="G50" s="229"/>
      <c r="H50" s="229"/>
      <c r="I50" s="229"/>
      <c r="J50" s="229"/>
      <c r="L50" s="129" t="str">
        <f>+IF('CARGA DE DATOS'!D51="","",'CARGA DE DATOS'!D51)</f>
        <v>S6020A21</v>
      </c>
    </row>
    <row r="51" spans="1:12" x14ac:dyDescent="0.25">
      <c r="A51" s="148">
        <f>+'CARGA DE DATOS'!A52</f>
        <v>50</v>
      </c>
      <c r="B51" s="227"/>
      <c r="C51" s="228"/>
      <c r="D51" s="229"/>
      <c r="E51" s="229"/>
      <c r="F51" s="229"/>
      <c r="G51" s="229"/>
      <c r="H51" s="229"/>
      <c r="I51" s="229"/>
      <c r="J51" s="229"/>
      <c r="L51" s="129" t="str">
        <f>+IF('CARGA DE DATOS'!D52="","",'CARGA DE DATOS'!D52)</f>
        <v>S6020A21</v>
      </c>
    </row>
    <row r="52" spans="1:12" x14ac:dyDescent="0.25">
      <c r="A52" s="148">
        <f>+'CARGA DE DATOS'!A53</f>
        <v>51</v>
      </c>
      <c r="B52" s="227"/>
      <c r="C52" s="228"/>
      <c r="D52" s="229"/>
      <c r="E52" s="229"/>
      <c r="F52" s="229"/>
      <c r="G52" s="229"/>
      <c r="H52" s="229"/>
      <c r="I52" s="229"/>
      <c r="J52" s="229"/>
      <c r="L52" s="129" t="str">
        <f>+IF('CARGA DE DATOS'!D53="","",'CARGA DE DATOS'!D53)</f>
        <v>S6020A21</v>
      </c>
    </row>
    <row r="53" spans="1:12" x14ac:dyDescent="0.25">
      <c r="A53" s="148">
        <f>+'CARGA DE DATOS'!A54</f>
        <v>52</v>
      </c>
      <c r="B53" s="227"/>
      <c r="C53" s="228"/>
      <c r="D53" s="229"/>
      <c r="E53" s="229"/>
      <c r="F53" s="229"/>
      <c r="G53" s="229"/>
      <c r="H53" s="229"/>
      <c r="I53" s="229"/>
      <c r="J53" s="229"/>
      <c r="L53" s="129" t="str">
        <f>+IF('CARGA DE DATOS'!D54="","",'CARGA DE DATOS'!D54)</f>
        <v>S6020A21</v>
      </c>
    </row>
    <row r="54" spans="1:12" x14ac:dyDescent="0.25">
      <c r="A54" s="148">
        <f>+'CARGA DE DATOS'!A55</f>
        <v>53</v>
      </c>
      <c r="B54" s="227"/>
      <c r="C54" s="228"/>
      <c r="D54" s="229"/>
      <c r="E54" s="229"/>
      <c r="F54" s="229"/>
      <c r="G54" s="229"/>
      <c r="H54" s="229"/>
      <c r="I54" s="229"/>
      <c r="J54" s="229"/>
      <c r="L54" s="129" t="str">
        <f>+IF('CARGA DE DATOS'!D55="","",'CARGA DE DATOS'!D55)</f>
        <v>S6020A21</v>
      </c>
    </row>
    <row r="55" spans="1:12" x14ac:dyDescent="0.25">
      <c r="A55" s="148">
        <f>+'CARGA DE DATOS'!A56</f>
        <v>54</v>
      </c>
      <c r="B55" s="227"/>
      <c r="C55" s="228"/>
      <c r="D55" s="229"/>
      <c r="E55" s="229"/>
      <c r="F55" s="229"/>
      <c r="G55" s="229"/>
      <c r="H55" s="229"/>
      <c r="I55" s="229"/>
      <c r="J55" s="229"/>
      <c r="L55" s="129" t="str">
        <f>+IF('CARGA DE DATOS'!D56="","",'CARGA DE DATOS'!D56)</f>
        <v>S6020A21</v>
      </c>
    </row>
    <row r="56" spans="1:12" x14ac:dyDescent="0.25">
      <c r="A56" s="148">
        <f>+'CARGA DE DATOS'!A57</f>
        <v>55</v>
      </c>
      <c r="B56" s="227"/>
      <c r="C56" s="228"/>
      <c r="D56" s="229"/>
      <c r="E56" s="229"/>
      <c r="F56" s="229"/>
      <c r="G56" s="229"/>
      <c r="H56" s="229"/>
      <c r="I56" s="229"/>
      <c r="J56" s="229"/>
      <c r="L56" s="129" t="str">
        <f>+IF('CARGA DE DATOS'!D57="","",'CARGA DE DATOS'!D57)</f>
        <v>S6020A21</v>
      </c>
    </row>
    <row r="57" spans="1:12" x14ac:dyDescent="0.25">
      <c r="A57" s="148">
        <f>+'CARGA DE DATOS'!A58</f>
        <v>56</v>
      </c>
      <c r="B57" s="227"/>
      <c r="C57" s="228"/>
      <c r="D57" s="229"/>
      <c r="E57" s="229"/>
      <c r="F57" s="229"/>
      <c r="G57" s="229"/>
      <c r="H57" s="229"/>
      <c r="I57" s="229"/>
      <c r="J57" s="229"/>
      <c r="L57" s="129" t="str">
        <f>+IF('CARGA DE DATOS'!D58="","",'CARGA DE DATOS'!D58)</f>
        <v>S6020A21</v>
      </c>
    </row>
    <row r="58" spans="1:12" x14ac:dyDescent="0.25">
      <c r="A58" s="148">
        <f>+'CARGA DE DATOS'!A59</f>
        <v>57</v>
      </c>
      <c r="B58" s="227"/>
      <c r="C58" s="228"/>
      <c r="D58" s="229"/>
      <c r="E58" s="229"/>
      <c r="F58" s="229"/>
      <c r="G58" s="229"/>
      <c r="H58" s="229"/>
      <c r="I58" s="229"/>
      <c r="J58" s="229"/>
      <c r="L58" s="129" t="str">
        <f>+IF('CARGA DE DATOS'!D59="","",'CARGA DE DATOS'!D59)</f>
        <v>S6020A21</v>
      </c>
    </row>
    <row r="59" spans="1:12" x14ac:dyDescent="0.25">
      <c r="A59" s="148">
        <f>+'CARGA DE DATOS'!A60</f>
        <v>58</v>
      </c>
      <c r="B59" s="227"/>
      <c r="C59" s="228"/>
      <c r="D59" s="229"/>
      <c r="E59" s="229"/>
      <c r="F59" s="229"/>
      <c r="G59" s="229"/>
      <c r="H59" s="229"/>
      <c r="I59" s="229"/>
      <c r="J59" s="229"/>
      <c r="L59" s="129" t="str">
        <f>+IF('CARGA DE DATOS'!D60="","",'CARGA DE DATOS'!D60)</f>
        <v>S6020A21</v>
      </c>
    </row>
    <row r="60" spans="1:12" x14ac:dyDescent="0.25">
      <c r="A60" s="148">
        <f>+'CARGA DE DATOS'!A61</f>
        <v>59</v>
      </c>
      <c r="B60" s="227"/>
      <c r="C60" s="228"/>
      <c r="D60" s="229"/>
      <c r="E60" s="229"/>
      <c r="F60" s="229"/>
      <c r="G60" s="229"/>
      <c r="H60" s="229"/>
      <c r="I60" s="229"/>
      <c r="J60" s="229"/>
      <c r="L60" s="129" t="str">
        <f>+IF('CARGA DE DATOS'!D61="","",'CARGA DE DATOS'!D61)</f>
        <v>S6020A21</v>
      </c>
    </row>
    <row r="61" spans="1:12" x14ac:dyDescent="0.25">
      <c r="A61" s="148">
        <f>+'CARGA DE DATOS'!A62</f>
        <v>60</v>
      </c>
      <c r="B61" s="227"/>
      <c r="C61" s="228"/>
      <c r="D61" s="229"/>
      <c r="E61" s="229"/>
      <c r="F61" s="229"/>
      <c r="G61" s="229"/>
      <c r="H61" s="229"/>
      <c r="I61" s="229"/>
      <c r="J61" s="229"/>
      <c r="L61" s="129" t="str">
        <f>+IF('CARGA DE DATOS'!D62="","",'CARGA DE DATOS'!D62)</f>
        <v>S6020A21</v>
      </c>
    </row>
    <row r="62" spans="1:12" x14ac:dyDescent="0.25">
      <c r="A62" s="148">
        <f>+'CARGA DE DATOS'!A63</f>
        <v>61</v>
      </c>
      <c r="B62" s="227"/>
      <c r="C62" s="228"/>
      <c r="D62" s="229"/>
      <c r="E62" s="229"/>
      <c r="F62" s="229"/>
      <c r="G62" s="229"/>
      <c r="H62" s="229"/>
      <c r="I62" s="229"/>
      <c r="J62" s="229"/>
      <c r="L62" s="129" t="str">
        <f>+IF('CARGA DE DATOS'!D63="","",'CARGA DE DATOS'!D63)</f>
        <v>S6020A21</v>
      </c>
    </row>
    <row r="63" spans="1:12" x14ac:dyDescent="0.25">
      <c r="A63" s="148">
        <f>+'CARGA DE DATOS'!A64</f>
        <v>62</v>
      </c>
      <c r="B63" s="227"/>
      <c r="C63" s="228"/>
      <c r="D63" s="229"/>
      <c r="E63" s="229"/>
      <c r="F63" s="229"/>
      <c r="G63" s="229"/>
      <c r="H63" s="229"/>
      <c r="I63" s="229"/>
      <c r="J63" s="229"/>
      <c r="L63" s="129" t="str">
        <f>+IF('CARGA DE DATOS'!D64="","",'CARGA DE DATOS'!D64)</f>
        <v>S6020A21</v>
      </c>
    </row>
    <row r="64" spans="1:12" x14ac:dyDescent="0.25">
      <c r="A64" s="148">
        <f>+'CARGA DE DATOS'!A65</f>
        <v>63</v>
      </c>
      <c r="B64" s="227"/>
      <c r="C64" s="228"/>
      <c r="D64" s="229"/>
      <c r="E64" s="229"/>
      <c r="F64" s="229"/>
      <c r="G64" s="229"/>
      <c r="H64" s="229"/>
      <c r="I64" s="229"/>
      <c r="J64" s="229"/>
      <c r="L64" s="129" t="str">
        <f>+IF('CARGA DE DATOS'!D65="","",'CARGA DE DATOS'!D65)</f>
        <v>S6020A21</v>
      </c>
    </row>
    <row r="65" spans="1:12" x14ac:dyDescent="0.25">
      <c r="A65" s="148">
        <f>+'CARGA DE DATOS'!A66</f>
        <v>64</v>
      </c>
      <c r="B65" s="227"/>
      <c r="C65" s="228"/>
      <c r="D65" s="229"/>
      <c r="E65" s="229"/>
      <c r="F65" s="229"/>
      <c r="G65" s="229"/>
      <c r="H65" s="229"/>
      <c r="I65" s="229"/>
      <c r="J65" s="229"/>
      <c r="L65" s="129" t="str">
        <f>+IF('CARGA DE DATOS'!D66="","",'CARGA DE DATOS'!D66)</f>
        <v>S6020A21</v>
      </c>
    </row>
    <row r="66" spans="1:12" x14ac:dyDescent="0.25">
      <c r="A66" s="148">
        <f>+'CARGA DE DATOS'!A67</f>
        <v>65</v>
      </c>
      <c r="B66" s="227"/>
      <c r="C66" s="228"/>
      <c r="D66" s="229"/>
      <c r="E66" s="229"/>
      <c r="F66" s="229"/>
      <c r="G66" s="229"/>
      <c r="H66" s="229"/>
      <c r="I66" s="229"/>
      <c r="J66" s="229"/>
      <c r="L66" s="129" t="str">
        <f>+IF('CARGA DE DATOS'!D67="","",'CARGA DE DATOS'!D67)</f>
        <v>S6020A21</v>
      </c>
    </row>
    <row r="67" spans="1:12" x14ac:dyDescent="0.25">
      <c r="A67" s="148">
        <f>+'CARGA DE DATOS'!A68</f>
        <v>66</v>
      </c>
      <c r="B67" s="227"/>
      <c r="C67" s="228"/>
      <c r="D67" s="229"/>
      <c r="E67" s="229"/>
      <c r="F67" s="229"/>
      <c r="G67" s="229"/>
      <c r="H67" s="229"/>
      <c r="I67" s="229"/>
      <c r="J67" s="229"/>
      <c r="L67" s="129" t="str">
        <f>+IF('CARGA DE DATOS'!D68="","",'CARGA DE DATOS'!D68)</f>
        <v>S6020A21</v>
      </c>
    </row>
    <row r="68" spans="1:12" x14ac:dyDescent="0.25">
      <c r="A68" s="148">
        <f>+'CARGA DE DATOS'!A69</f>
        <v>67</v>
      </c>
      <c r="B68" s="227"/>
      <c r="C68" s="228"/>
      <c r="D68" s="229"/>
      <c r="E68" s="229"/>
      <c r="F68" s="229"/>
      <c r="G68" s="229"/>
      <c r="H68" s="229"/>
      <c r="I68" s="229"/>
      <c r="J68" s="229"/>
      <c r="L68" s="129" t="str">
        <f>+IF('CARGA DE DATOS'!D69="","",'CARGA DE DATOS'!D69)</f>
        <v>S6020A21</v>
      </c>
    </row>
    <row r="69" spans="1:12" x14ac:dyDescent="0.25">
      <c r="A69" s="148">
        <f>+'CARGA DE DATOS'!A70</f>
        <v>68</v>
      </c>
      <c r="B69" s="227"/>
      <c r="C69" s="228"/>
      <c r="D69" s="229"/>
      <c r="E69" s="229"/>
      <c r="F69" s="229"/>
      <c r="G69" s="229"/>
      <c r="H69" s="229"/>
      <c r="I69" s="229"/>
      <c r="J69" s="229"/>
      <c r="L69" s="129" t="str">
        <f>+IF('CARGA DE DATOS'!D70="","",'CARGA DE DATOS'!D70)</f>
        <v>S6020A21</v>
      </c>
    </row>
    <row r="70" spans="1:12" x14ac:dyDescent="0.25">
      <c r="A70" s="148">
        <f>+'CARGA DE DATOS'!A71</f>
        <v>69</v>
      </c>
      <c r="B70" s="227"/>
      <c r="C70" s="228"/>
      <c r="D70" s="229"/>
      <c r="E70" s="229"/>
      <c r="F70" s="229"/>
      <c r="G70" s="229"/>
      <c r="H70" s="229"/>
      <c r="I70" s="229"/>
      <c r="J70" s="229"/>
      <c r="L70" s="129" t="str">
        <f>+IF('CARGA DE DATOS'!D71="","",'CARGA DE DATOS'!D71)</f>
        <v>S6020A21</v>
      </c>
    </row>
    <row r="71" spans="1:12" x14ac:dyDescent="0.25">
      <c r="A71" s="148">
        <f>+'CARGA DE DATOS'!A72</f>
        <v>70</v>
      </c>
      <c r="B71" s="227"/>
      <c r="C71" s="228"/>
      <c r="D71" s="229"/>
      <c r="E71" s="229"/>
      <c r="F71" s="229"/>
      <c r="G71" s="229"/>
      <c r="H71" s="229"/>
      <c r="I71" s="229"/>
      <c r="J71" s="229"/>
      <c r="L71" s="129" t="str">
        <f>+IF('CARGA DE DATOS'!D72="","",'CARGA DE DATOS'!D72)</f>
        <v>S6020A21</v>
      </c>
    </row>
    <row r="72" spans="1:12" x14ac:dyDescent="0.25">
      <c r="A72" s="148">
        <f>+'CARGA DE DATOS'!A73</f>
        <v>71</v>
      </c>
      <c r="B72" s="227"/>
      <c r="C72" s="228"/>
      <c r="D72" s="229"/>
      <c r="E72" s="229"/>
      <c r="F72" s="229"/>
      <c r="G72" s="229"/>
      <c r="H72" s="229"/>
      <c r="I72" s="229"/>
      <c r="J72" s="229"/>
      <c r="L72" s="129" t="str">
        <f>+IF('CARGA DE DATOS'!D73="","",'CARGA DE DATOS'!D73)</f>
        <v>S6020A21</v>
      </c>
    </row>
    <row r="73" spans="1:12" x14ac:dyDescent="0.25">
      <c r="A73" s="148">
        <f>+'CARGA DE DATOS'!A74</f>
        <v>72</v>
      </c>
      <c r="B73" s="227"/>
      <c r="C73" s="228"/>
      <c r="D73" s="229"/>
      <c r="E73" s="229"/>
      <c r="F73" s="229"/>
      <c r="G73" s="229"/>
      <c r="H73" s="229"/>
      <c r="I73" s="229"/>
      <c r="J73" s="229"/>
      <c r="L73" s="129" t="str">
        <f>+IF('CARGA DE DATOS'!D74="","",'CARGA DE DATOS'!D74)</f>
        <v>S6020A21</v>
      </c>
    </row>
    <row r="74" spans="1:12" x14ac:dyDescent="0.25">
      <c r="A74" s="148">
        <f>+'CARGA DE DATOS'!A75</f>
        <v>73</v>
      </c>
      <c r="B74" s="227"/>
      <c r="C74" s="228"/>
      <c r="D74" s="229"/>
      <c r="E74" s="229"/>
      <c r="F74" s="229"/>
      <c r="G74" s="229"/>
      <c r="H74" s="229"/>
      <c r="I74" s="229"/>
      <c r="J74" s="229"/>
      <c r="L74" s="129" t="str">
        <f>+IF('CARGA DE DATOS'!D75="","",'CARGA DE DATOS'!D75)</f>
        <v>S6020A21</v>
      </c>
    </row>
    <row r="75" spans="1:12" x14ac:dyDescent="0.25">
      <c r="A75" s="148">
        <f>+'CARGA DE DATOS'!A76</f>
        <v>74</v>
      </c>
      <c r="B75" s="227"/>
      <c r="C75" s="228"/>
      <c r="D75" s="229"/>
      <c r="E75" s="229"/>
      <c r="F75" s="229"/>
      <c r="G75" s="229"/>
      <c r="H75" s="229"/>
      <c r="I75" s="229"/>
      <c r="J75" s="229"/>
      <c r="L75" s="129" t="str">
        <f>+IF('CARGA DE DATOS'!D76="","",'CARGA DE DATOS'!D76)</f>
        <v>S6020A21</v>
      </c>
    </row>
    <row r="76" spans="1:12" x14ac:dyDescent="0.25">
      <c r="A76" s="148">
        <f>+'CARGA DE DATOS'!A77</f>
        <v>75</v>
      </c>
      <c r="B76" s="227"/>
      <c r="C76" s="228"/>
      <c r="D76" s="229"/>
      <c r="E76" s="229"/>
      <c r="F76" s="229"/>
      <c r="G76" s="229"/>
      <c r="H76" s="229"/>
      <c r="I76" s="229"/>
      <c r="J76" s="229"/>
      <c r="L76" s="129" t="str">
        <f>+IF('CARGA DE DATOS'!D77="","",'CARGA DE DATOS'!D77)</f>
        <v>S6020A21</v>
      </c>
    </row>
    <row r="77" spans="1:12" x14ac:dyDescent="0.25">
      <c r="A77" s="148">
        <f>+'CARGA DE DATOS'!A78</f>
        <v>76</v>
      </c>
      <c r="B77" s="227"/>
      <c r="C77" s="228"/>
      <c r="D77" s="229"/>
      <c r="E77" s="229"/>
      <c r="F77" s="229"/>
      <c r="G77" s="229"/>
      <c r="H77" s="229"/>
      <c r="I77" s="229"/>
      <c r="J77" s="229"/>
      <c r="L77" s="129" t="str">
        <f>+IF('CARGA DE DATOS'!D78="","",'CARGA DE DATOS'!D78)</f>
        <v>S6020A21</v>
      </c>
    </row>
    <row r="78" spans="1:12" x14ac:dyDescent="0.25">
      <c r="A78" s="148">
        <f>+'CARGA DE DATOS'!A79</f>
        <v>77</v>
      </c>
      <c r="B78" s="227"/>
      <c r="C78" s="228"/>
      <c r="D78" s="229"/>
      <c r="E78" s="229"/>
      <c r="F78" s="229"/>
      <c r="G78" s="229"/>
      <c r="H78" s="229"/>
      <c r="I78" s="229"/>
      <c r="J78" s="229"/>
      <c r="L78" s="129" t="str">
        <f>+IF('CARGA DE DATOS'!D79="","",'CARGA DE DATOS'!D79)</f>
        <v>S6020A21</v>
      </c>
    </row>
    <row r="79" spans="1:12" x14ac:dyDescent="0.25">
      <c r="A79" s="148">
        <f>+'CARGA DE DATOS'!A80</f>
        <v>78</v>
      </c>
      <c r="B79" s="227"/>
      <c r="C79" s="228"/>
      <c r="D79" s="229"/>
      <c r="E79" s="229"/>
      <c r="F79" s="229"/>
      <c r="G79" s="229"/>
      <c r="H79" s="229"/>
      <c r="I79" s="229"/>
      <c r="J79" s="229"/>
      <c r="L79" s="129" t="str">
        <f>+IF('CARGA DE DATOS'!D80="","",'CARGA DE DATOS'!D80)</f>
        <v>S6020A21</v>
      </c>
    </row>
    <row r="80" spans="1:12" x14ac:dyDescent="0.25">
      <c r="A80" s="148">
        <f>+'CARGA DE DATOS'!A81</f>
        <v>79</v>
      </c>
      <c r="B80" s="227"/>
      <c r="C80" s="228"/>
      <c r="D80" s="229"/>
      <c r="E80" s="229"/>
      <c r="F80" s="229"/>
      <c r="G80" s="229"/>
      <c r="H80" s="229"/>
      <c r="I80" s="229"/>
      <c r="J80" s="229"/>
      <c r="L80" s="129" t="str">
        <f>+IF('CARGA DE DATOS'!D81="","",'CARGA DE DATOS'!D81)</f>
        <v>S6020A21</v>
      </c>
    </row>
    <row r="81" spans="1:12" x14ac:dyDescent="0.25">
      <c r="A81" s="148">
        <f>+'CARGA DE DATOS'!A82</f>
        <v>80</v>
      </c>
      <c r="B81" s="227"/>
      <c r="C81" s="228"/>
      <c r="D81" s="229"/>
      <c r="E81" s="229"/>
      <c r="F81" s="229"/>
      <c r="G81" s="229"/>
      <c r="H81" s="229"/>
      <c r="I81" s="229"/>
      <c r="J81" s="229"/>
      <c r="L81" s="129" t="str">
        <f>+IF('CARGA DE DATOS'!D82="","",'CARGA DE DATOS'!D82)</f>
        <v>S6020A21</v>
      </c>
    </row>
    <row r="82" spans="1:12" x14ac:dyDescent="0.25">
      <c r="A82" s="148">
        <f>+'CARGA DE DATOS'!A83</f>
        <v>81</v>
      </c>
      <c r="B82" s="227"/>
      <c r="C82" s="228"/>
      <c r="D82" s="229"/>
      <c r="E82" s="229"/>
      <c r="F82" s="229"/>
      <c r="G82" s="229"/>
      <c r="H82" s="229"/>
      <c r="I82" s="229"/>
      <c r="J82" s="229"/>
      <c r="L82" s="129" t="str">
        <f>+IF('CARGA DE DATOS'!D83="","",'CARGA DE DATOS'!D83)</f>
        <v>S6020A21</v>
      </c>
    </row>
    <row r="83" spans="1:12" x14ac:dyDescent="0.25">
      <c r="A83" s="148">
        <f>+'CARGA DE DATOS'!A84</f>
        <v>82</v>
      </c>
      <c r="B83" s="227"/>
      <c r="C83" s="228"/>
      <c r="D83" s="229"/>
      <c r="E83" s="229"/>
      <c r="F83" s="229"/>
      <c r="G83" s="229"/>
      <c r="H83" s="229"/>
      <c r="I83" s="229"/>
      <c r="J83" s="229"/>
      <c r="L83" s="129" t="str">
        <f>+IF('CARGA DE DATOS'!D84="","",'CARGA DE DATOS'!D84)</f>
        <v>S6020A21</v>
      </c>
    </row>
    <row r="84" spans="1:12" x14ac:dyDescent="0.25">
      <c r="A84" s="148">
        <f>+'CARGA DE DATOS'!A85</f>
        <v>83</v>
      </c>
      <c r="B84" s="227"/>
      <c r="C84" s="228"/>
      <c r="D84" s="229"/>
      <c r="E84" s="229"/>
      <c r="F84" s="229"/>
      <c r="G84" s="229"/>
      <c r="H84" s="229"/>
      <c r="I84" s="229"/>
      <c r="J84" s="229"/>
      <c r="L84" s="129" t="str">
        <f>+IF('CARGA DE DATOS'!D85="","",'CARGA DE DATOS'!D85)</f>
        <v>S6020A21</v>
      </c>
    </row>
    <row r="85" spans="1:12" x14ac:dyDescent="0.25">
      <c r="A85" s="148">
        <f>+'CARGA DE DATOS'!A86</f>
        <v>84</v>
      </c>
      <c r="B85" s="227"/>
      <c r="C85" s="228"/>
      <c r="D85" s="229"/>
      <c r="E85" s="229"/>
      <c r="F85" s="229"/>
      <c r="G85" s="229"/>
      <c r="H85" s="229"/>
      <c r="I85" s="229"/>
      <c r="J85" s="229"/>
      <c r="L85" s="129" t="str">
        <f>+IF('CARGA DE DATOS'!D86="","",'CARGA DE DATOS'!D86)</f>
        <v>S6020A21</v>
      </c>
    </row>
    <row r="86" spans="1:12" x14ac:dyDescent="0.25">
      <c r="A86" s="148">
        <f>+'CARGA DE DATOS'!A87</f>
        <v>85</v>
      </c>
      <c r="B86" s="227"/>
      <c r="C86" s="228"/>
      <c r="D86" s="229"/>
      <c r="E86" s="229"/>
      <c r="F86" s="229"/>
      <c r="G86" s="229"/>
      <c r="H86" s="229"/>
      <c r="I86" s="229"/>
      <c r="J86" s="229"/>
      <c r="L86" s="129" t="str">
        <f>+IF('CARGA DE DATOS'!D87="","",'CARGA DE DATOS'!D87)</f>
        <v>S6020A21</v>
      </c>
    </row>
    <row r="87" spans="1:12" x14ac:dyDescent="0.25">
      <c r="A87" s="148">
        <f>+'CARGA DE DATOS'!A88</f>
        <v>86</v>
      </c>
      <c r="B87" s="227"/>
      <c r="C87" s="228"/>
      <c r="D87" s="229"/>
      <c r="E87" s="229"/>
      <c r="F87" s="229"/>
      <c r="G87" s="229"/>
      <c r="H87" s="229"/>
      <c r="I87" s="229"/>
      <c r="J87" s="229"/>
      <c r="L87" s="129" t="str">
        <f>+IF('CARGA DE DATOS'!D88="","",'CARGA DE DATOS'!D88)</f>
        <v>S6020A21</v>
      </c>
    </row>
    <row r="88" spans="1:12" x14ac:dyDescent="0.25">
      <c r="A88" s="148">
        <f>+'CARGA DE DATOS'!A89</f>
        <v>87</v>
      </c>
      <c r="B88" s="227"/>
      <c r="C88" s="228"/>
      <c r="D88" s="229"/>
      <c r="E88" s="229"/>
      <c r="F88" s="229"/>
      <c r="G88" s="229"/>
      <c r="H88" s="229"/>
      <c r="I88" s="229"/>
      <c r="J88" s="229"/>
      <c r="L88" s="129" t="str">
        <f>+IF('CARGA DE DATOS'!D89="","",'CARGA DE DATOS'!D89)</f>
        <v>S6020A21</v>
      </c>
    </row>
    <row r="89" spans="1:12" x14ac:dyDescent="0.25">
      <c r="A89" s="148">
        <f>+'CARGA DE DATOS'!A90</f>
        <v>88</v>
      </c>
      <c r="B89" s="227"/>
      <c r="C89" s="228"/>
      <c r="D89" s="229"/>
      <c r="E89" s="229"/>
      <c r="F89" s="229"/>
      <c r="G89" s="229"/>
      <c r="H89" s="229"/>
      <c r="I89" s="229"/>
      <c r="J89" s="229"/>
      <c r="L89" s="129" t="str">
        <f>+IF('CARGA DE DATOS'!D90="","",'CARGA DE DATOS'!D90)</f>
        <v>S6020A21</v>
      </c>
    </row>
    <row r="90" spans="1:12" x14ac:dyDescent="0.25">
      <c r="A90" s="148">
        <f>+'CARGA DE DATOS'!A91</f>
        <v>89</v>
      </c>
      <c r="B90" s="227"/>
      <c r="C90" s="228"/>
      <c r="D90" s="229"/>
      <c r="E90" s="229"/>
      <c r="F90" s="229"/>
      <c r="G90" s="229"/>
      <c r="H90" s="229"/>
      <c r="I90" s="229"/>
      <c r="J90" s="229"/>
      <c r="L90" s="129" t="str">
        <f>+IF('CARGA DE DATOS'!D91="","",'CARGA DE DATOS'!D91)</f>
        <v>S6020A21</v>
      </c>
    </row>
    <row r="91" spans="1:12" x14ac:dyDescent="0.25">
      <c r="A91" s="148">
        <f>+'CARGA DE DATOS'!A92</f>
        <v>90</v>
      </c>
      <c r="B91" s="227"/>
      <c r="C91" s="228"/>
      <c r="D91" s="229"/>
      <c r="E91" s="229"/>
      <c r="F91" s="229"/>
      <c r="G91" s="229"/>
      <c r="H91" s="229"/>
      <c r="I91" s="229"/>
      <c r="J91" s="229"/>
      <c r="L91" s="129" t="str">
        <f>+IF('CARGA DE DATOS'!D92="","",'CARGA DE DATOS'!D92)</f>
        <v>S6020A21</v>
      </c>
    </row>
    <row r="92" spans="1:12" x14ac:dyDescent="0.25">
      <c r="A92" s="148">
        <f>+'CARGA DE DATOS'!A93</f>
        <v>91</v>
      </c>
      <c r="B92" s="227"/>
      <c r="C92" s="228"/>
      <c r="D92" s="229"/>
      <c r="E92" s="229"/>
      <c r="F92" s="229"/>
      <c r="G92" s="229"/>
      <c r="H92" s="229"/>
      <c r="I92" s="229"/>
      <c r="J92" s="229"/>
      <c r="L92" s="129" t="str">
        <f>+IF('CARGA DE DATOS'!D93="","",'CARGA DE DATOS'!D93)</f>
        <v>S6020A21</v>
      </c>
    </row>
    <row r="93" spans="1:12" x14ac:dyDescent="0.25">
      <c r="A93" s="148">
        <f>+'CARGA DE DATOS'!A94</f>
        <v>92</v>
      </c>
      <c r="B93" s="227"/>
      <c r="C93" s="228"/>
      <c r="D93" s="229"/>
      <c r="E93" s="229"/>
      <c r="F93" s="229"/>
      <c r="G93" s="229"/>
      <c r="H93" s="229"/>
      <c r="I93" s="229"/>
      <c r="J93" s="229"/>
      <c r="L93" s="129" t="str">
        <f>+IF('CARGA DE DATOS'!D94="","",'CARGA DE DATOS'!D94)</f>
        <v>S6020A21</v>
      </c>
    </row>
    <row r="94" spans="1:12" x14ac:dyDescent="0.25">
      <c r="A94" s="148">
        <f>+'CARGA DE DATOS'!A95</f>
        <v>93</v>
      </c>
      <c r="B94" s="227"/>
      <c r="C94" s="228"/>
      <c r="D94" s="229"/>
      <c r="E94" s="229"/>
      <c r="F94" s="229"/>
      <c r="G94" s="229"/>
      <c r="H94" s="229"/>
      <c r="I94" s="229"/>
      <c r="J94" s="229"/>
      <c r="L94" s="129" t="str">
        <f>+IF('CARGA DE DATOS'!D95="","",'CARGA DE DATOS'!D95)</f>
        <v>S6020A21</v>
      </c>
    </row>
    <row r="95" spans="1:12" x14ac:dyDescent="0.25">
      <c r="A95" s="148">
        <f>+'CARGA DE DATOS'!A96</f>
        <v>94</v>
      </c>
      <c r="B95" s="227"/>
      <c r="C95" s="228"/>
      <c r="D95" s="229"/>
      <c r="E95" s="229"/>
      <c r="F95" s="229"/>
      <c r="G95" s="229"/>
      <c r="H95" s="229"/>
      <c r="I95" s="229"/>
      <c r="J95" s="229"/>
      <c r="L95" s="129" t="str">
        <f>+IF('CARGA DE DATOS'!D96="","",'CARGA DE DATOS'!D96)</f>
        <v>S6020A21</v>
      </c>
    </row>
    <row r="96" spans="1:12" x14ac:dyDescent="0.25">
      <c r="A96" s="148">
        <f>+'CARGA DE DATOS'!A97</f>
        <v>95</v>
      </c>
      <c r="B96" s="227"/>
      <c r="C96" s="228"/>
      <c r="D96" s="229"/>
      <c r="E96" s="229"/>
      <c r="F96" s="229"/>
      <c r="G96" s="229"/>
      <c r="H96" s="229"/>
      <c r="I96" s="229"/>
      <c r="J96" s="229"/>
      <c r="L96" s="129" t="str">
        <f>+IF('CARGA DE DATOS'!D97="","",'CARGA DE DATOS'!D97)</f>
        <v>S6020A21</v>
      </c>
    </row>
    <row r="97" spans="1:12" x14ac:dyDescent="0.25">
      <c r="A97" s="148">
        <f>+'CARGA DE DATOS'!A98</f>
        <v>96</v>
      </c>
      <c r="B97" s="227"/>
      <c r="C97" s="228"/>
      <c r="D97" s="229"/>
      <c r="E97" s="229"/>
      <c r="F97" s="229"/>
      <c r="G97" s="229"/>
      <c r="H97" s="229"/>
      <c r="I97" s="229"/>
      <c r="J97" s="229"/>
      <c r="L97" s="129" t="str">
        <f>+IF('CARGA DE DATOS'!D98="","",'CARGA DE DATOS'!D98)</f>
        <v>S6020A21</v>
      </c>
    </row>
    <row r="98" spans="1:12" x14ac:dyDescent="0.25">
      <c r="A98" s="148">
        <f>+'CARGA DE DATOS'!A99</f>
        <v>97</v>
      </c>
      <c r="B98" s="227"/>
      <c r="C98" s="228"/>
      <c r="D98" s="229"/>
      <c r="E98" s="229"/>
      <c r="F98" s="229"/>
      <c r="G98" s="229"/>
      <c r="H98" s="229"/>
      <c r="I98" s="229"/>
      <c r="J98" s="229"/>
      <c r="L98" s="129" t="str">
        <f>+IF('CARGA DE DATOS'!D99="","",'CARGA DE DATOS'!D99)</f>
        <v>S6020A21</v>
      </c>
    </row>
    <row r="99" spans="1:12" x14ac:dyDescent="0.25">
      <c r="A99" s="148">
        <f>+'CARGA DE DATOS'!A100</f>
        <v>98</v>
      </c>
      <c r="B99" s="227"/>
      <c r="C99" s="228"/>
      <c r="D99" s="229"/>
      <c r="E99" s="229"/>
      <c r="F99" s="229"/>
      <c r="G99" s="229"/>
      <c r="H99" s="229"/>
      <c r="I99" s="229"/>
      <c r="J99" s="229"/>
      <c r="L99" s="129" t="str">
        <f>+IF('CARGA DE DATOS'!D100="","",'CARGA DE DATOS'!D100)</f>
        <v>S6020A21</v>
      </c>
    </row>
    <row r="100" spans="1:12" x14ac:dyDescent="0.25">
      <c r="A100" s="148">
        <f>+'CARGA DE DATOS'!A101</f>
        <v>99</v>
      </c>
      <c r="B100" s="227"/>
      <c r="C100" s="228"/>
      <c r="D100" s="229"/>
      <c r="E100" s="229"/>
      <c r="F100" s="229"/>
      <c r="G100" s="229"/>
      <c r="H100" s="229"/>
      <c r="I100" s="229"/>
      <c r="J100" s="229"/>
      <c r="L100" s="129" t="str">
        <f>+IF('CARGA DE DATOS'!D101="","",'CARGA DE DATOS'!D101)</f>
        <v>S6020A21</v>
      </c>
    </row>
    <row r="101" spans="1:12" x14ac:dyDescent="0.25">
      <c r="A101" s="148">
        <f>+'CARGA DE DATOS'!A102</f>
        <v>100</v>
      </c>
      <c r="B101" s="227"/>
      <c r="C101" s="228"/>
      <c r="D101" s="229"/>
      <c r="E101" s="229"/>
      <c r="F101" s="229"/>
      <c r="G101" s="229"/>
      <c r="H101" s="229"/>
      <c r="I101" s="229"/>
      <c r="J101" s="229"/>
      <c r="L101" s="129" t="str">
        <f>+IF('CARGA DE DATOS'!D102="","",'CARGA DE DATOS'!D102)</f>
        <v>S6020A21</v>
      </c>
    </row>
    <row r="102" spans="1:12" x14ac:dyDescent="0.25">
      <c r="A102" s="148">
        <f>+'CARGA DE DATOS'!A103</f>
        <v>101</v>
      </c>
      <c r="B102" s="227"/>
      <c r="C102" s="228"/>
      <c r="D102" s="229"/>
      <c r="E102" s="229"/>
      <c r="F102" s="229"/>
      <c r="G102" s="229"/>
      <c r="H102" s="229"/>
      <c r="I102" s="229"/>
      <c r="J102" s="229"/>
      <c r="L102" s="129" t="str">
        <f>+IF('CARGA DE DATOS'!D103="","",'CARGA DE DATOS'!D103)</f>
        <v>S6020A21</v>
      </c>
    </row>
    <row r="103" spans="1:12" x14ac:dyDescent="0.25">
      <c r="A103" s="148">
        <f>+'CARGA DE DATOS'!A104</f>
        <v>102</v>
      </c>
      <c r="B103" s="227"/>
      <c r="C103" s="228"/>
      <c r="D103" s="229"/>
      <c r="E103" s="229"/>
      <c r="F103" s="229"/>
      <c r="G103" s="229"/>
      <c r="H103" s="229"/>
      <c r="I103" s="229"/>
      <c r="J103" s="229"/>
      <c r="L103" s="129" t="str">
        <f>+IF('CARGA DE DATOS'!D104="","",'CARGA DE DATOS'!D104)</f>
        <v>S6020A21</v>
      </c>
    </row>
    <row r="104" spans="1:12" x14ac:dyDescent="0.25">
      <c r="A104" s="148">
        <f>+'CARGA DE DATOS'!A105</f>
        <v>103</v>
      </c>
      <c r="B104" s="227"/>
      <c r="C104" s="228"/>
      <c r="D104" s="229"/>
      <c r="E104" s="229"/>
      <c r="F104" s="229"/>
      <c r="G104" s="229"/>
      <c r="H104" s="229"/>
      <c r="I104" s="229"/>
      <c r="J104" s="229"/>
      <c r="L104" s="129" t="str">
        <f>+IF('CARGA DE DATOS'!D105="","",'CARGA DE DATOS'!D105)</f>
        <v>S6020A21</v>
      </c>
    </row>
    <row r="105" spans="1:12" x14ac:dyDescent="0.25">
      <c r="A105" s="148">
        <f>+'CARGA DE DATOS'!A106</f>
        <v>104</v>
      </c>
      <c r="B105" s="227"/>
      <c r="C105" s="228"/>
      <c r="D105" s="229"/>
      <c r="E105" s="229"/>
      <c r="F105" s="229"/>
      <c r="G105" s="229"/>
      <c r="H105" s="229"/>
      <c r="I105" s="229"/>
      <c r="J105" s="229"/>
      <c r="L105" s="129" t="str">
        <f>+IF('CARGA DE DATOS'!D106="","",'CARGA DE DATOS'!D106)</f>
        <v>S6020A21</v>
      </c>
    </row>
    <row r="106" spans="1:12" x14ac:dyDescent="0.25">
      <c r="A106" s="148">
        <f>+'CARGA DE DATOS'!A107</f>
        <v>105</v>
      </c>
      <c r="B106" s="227"/>
      <c r="C106" s="228"/>
      <c r="D106" s="229"/>
      <c r="E106" s="229"/>
      <c r="F106" s="229"/>
      <c r="G106" s="229"/>
      <c r="H106" s="229"/>
      <c r="I106" s="229"/>
      <c r="J106" s="229"/>
      <c r="L106" s="129" t="str">
        <f>+IF('CARGA DE DATOS'!D107="","",'CARGA DE DATOS'!D107)</f>
        <v>S6020A21</v>
      </c>
    </row>
    <row r="107" spans="1:12" x14ac:dyDescent="0.25">
      <c r="A107" s="148">
        <f>+'CARGA DE DATOS'!A108</f>
        <v>106</v>
      </c>
      <c r="B107" s="227"/>
      <c r="C107" s="228"/>
      <c r="D107" s="229"/>
      <c r="E107" s="229"/>
      <c r="F107" s="229"/>
      <c r="G107" s="229"/>
      <c r="H107" s="229"/>
      <c r="I107" s="229"/>
      <c r="J107" s="229"/>
      <c r="L107" s="129" t="str">
        <f>+IF('CARGA DE DATOS'!D108="","",'CARGA DE DATOS'!D108)</f>
        <v>S6020A21</v>
      </c>
    </row>
    <row r="108" spans="1:12" x14ac:dyDescent="0.25">
      <c r="A108" s="148">
        <f>+'CARGA DE DATOS'!A109</f>
        <v>107</v>
      </c>
      <c r="B108" s="227"/>
      <c r="C108" s="228"/>
      <c r="D108" s="229"/>
      <c r="E108" s="229"/>
      <c r="F108" s="229"/>
      <c r="G108" s="229"/>
      <c r="H108" s="229"/>
      <c r="I108" s="229"/>
      <c r="J108" s="229"/>
      <c r="L108" s="129" t="str">
        <f>+IF('CARGA DE DATOS'!D109="","",'CARGA DE DATOS'!D109)</f>
        <v>S6020A21</v>
      </c>
    </row>
    <row r="109" spans="1:12" x14ac:dyDescent="0.25">
      <c r="A109" s="148">
        <f>+'CARGA DE DATOS'!A110</f>
        <v>108</v>
      </c>
      <c r="B109" s="227"/>
      <c r="C109" s="228"/>
      <c r="D109" s="229"/>
      <c r="E109" s="229"/>
      <c r="F109" s="229"/>
      <c r="G109" s="229"/>
      <c r="H109" s="229"/>
      <c r="I109" s="229"/>
      <c r="J109" s="229"/>
      <c r="L109" s="129" t="str">
        <f>+IF('CARGA DE DATOS'!D110="","",'CARGA DE DATOS'!D110)</f>
        <v>S6020A21</v>
      </c>
    </row>
    <row r="110" spans="1:12" x14ac:dyDescent="0.25">
      <c r="A110" s="148">
        <f>+'CARGA DE DATOS'!A111</f>
        <v>109</v>
      </c>
      <c r="B110" s="227"/>
      <c r="C110" s="228"/>
      <c r="D110" s="229"/>
      <c r="E110" s="229"/>
      <c r="F110" s="229"/>
      <c r="G110" s="229"/>
      <c r="H110" s="229"/>
      <c r="I110" s="229"/>
      <c r="J110" s="229"/>
      <c r="L110" s="129" t="str">
        <f>+IF('CARGA DE DATOS'!D111="","",'CARGA DE DATOS'!D111)</f>
        <v>S6020A21</v>
      </c>
    </row>
    <row r="111" spans="1:12" x14ac:dyDescent="0.25">
      <c r="A111" s="148">
        <f>+'CARGA DE DATOS'!A112</f>
        <v>110</v>
      </c>
      <c r="B111" s="227"/>
      <c r="C111" s="228"/>
      <c r="D111" s="229"/>
      <c r="E111" s="229"/>
      <c r="F111" s="229"/>
      <c r="G111" s="229"/>
      <c r="H111" s="229"/>
      <c r="I111" s="229"/>
      <c r="J111" s="229"/>
      <c r="L111" s="129" t="str">
        <f>+IF('CARGA DE DATOS'!D112="","",'CARGA DE DATOS'!D112)</f>
        <v>S6020A21</v>
      </c>
    </row>
    <row r="112" spans="1:12" x14ac:dyDescent="0.25">
      <c r="A112" s="148">
        <f>+'CARGA DE DATOS'!A113</f>
        <v>111</v>
      </c>
      <c r="B112" s="227"/>
      <c r="C112" s="228"/>
      <c r="D112" s="229"/>
      <c r="E112" s="229"/>
      <c r="F112" s="229"/>
      <c r="G112" s="229"/>
      <c r="H112" s="229"/>
      <c r="I112" s="229"/>
      <c r="J112" s="229"/>
      <c r="L112" s="129" t="str">
        <f>+IF('CARGA DE DATOS'!D113="","",'CARGA DE DATOS'!D113)</f>
        <v>S6020A21</v>
      </c>
    </row>
    <row r="113" spans="1:12" x14ac:dyDescent="0.25">
      <c r="A113" s="148">
        <f>+'CARGA DE DATOS'!A114</f>
        <v>112</v>
      </c>
      <c r="B113" s="227"/>
      <c r="C113" s="228"/>
      <c r="D113" s="229"/>
      <c r="E113" s="229"/>
      <c r="F113" s="229"/>
      <c r="G113" s="229"/>
      <c r="H113" s="229"/>
      <c r="I113" s="229"/>
      <c r="J113" s="229"/>
      <c r="L113" s="129" t="str">
        <f>+IF('CARGA DE DATOS'!D114="","",'CARGA DE DATOS'!D114)</f>
        <v>S6020A21</v>
      </c>
    </row>
    <row r="114" spans="1:12" x14ac:dyDescent="0.25">
      <c r="A114" s="148">
        <f>+'CARGA DE DATOS'!A115</f>
        <v>113</v>
      </c>
      <c r="B114" s="227"/>
      <c r="C114" s="228"/>
      <c r="D114" s="229"/>
      <c r="E114" s="229"/>
      <c r="F114" s="229"/>
      <c r="G114" s="229"/>
      <c r="H114" s="229"/>
      <c r="I114" s="229"/>
      <c r="J114" s="229"/>
      <c r="L114" s="129" t="str">
        <f>+IF('CARGA DE DATOS'!D115="","",'CARGA DE DATOS'!D115)</f>
        <v>S6020A21</v>
      </c>
    </row>
    <row r="115" spans="1:12" x14ac:dyDescent="0.25">
      <c r="A115" s="148">
        <f>+'CARGA DE DATOS'!A116</f>
        <v>114</v>
      </c>
      <c r="B115" s="227"/>
      <c r="C115" s="228"/>
      <c r="D115" s="229"/>
      <c r="E115" s="229"/>
      <c r="F115" s="229"/>
      <c r="G115" s="229"/>
      <c r="H115" s="229"/>
      <c r="I115" s="229"/>
      <c r="J115" s="229"/>
      <c r="L115" s="129" t="str">
        <f>+IF('CARGA DE DATOS'!D116="","",'CARGA DE DATOS'!D116)</f>
        <v>S6020A21</v>
      </c>
    </row>
    <row r="116" spans="1:12" x14ac:dyDescent="0.25">
      <c r="A116" s="148">
        <f>+'CARGA DE DATOS'!A117</f>
        <v>115</v>
      </c>
      <c r="B116" s="227"/>
      <c r="C116" s="228"/>
      <c r="D116" s="229"/>
      <c r="E116" s="229"/>
      <c r="F116" s="229"/>
      <c r="G116" s="229"/>
      <c r="H116" s="229"/>
      <c r="I116" s="229"/>
      <c r="J116" s="229"/>
      <c r="L116" s="129" t="str">
        <f>+IF('CARGA DE DATOS'!D117="","",'CARGA DE DATOS'!D117)</f>
        <v>S6020A21</v>
      </c>
    </row>
    <row r="117" spans="1:12" x14ac:dyDescent="0.25">
      <c r="A117" s="148">
        <f>+'CARGA DE DATOS'!A118</f>
        <v>116</v>
      </c>
      <c r="B117" s="227"/>
      <c r="C117" s="228"/>
      <c r="D117" s="229"/>
      <c r="E117" s="229"/>
      <c r="F117" s="229"/>
      <c r="G117" s="229"/>
      <c r="H117" s="229"/>
      <c r="I117" s="229"/>
      <c r="J117" s="229"/>
      <c r="L117" s="129" t="str">
        <f>+IF('CARGA DE DATOS'!D118="","",'CARGA DE DATOS'!D118)</f>
        <v>S6020A21</v>
      </c>
    </row>
    <row r="118" spans="1:12" x14ac:dyDescent="0.25">
      <c r="A118" s="148">
        <f>+'CARGA DE DATOS'!A119</f>
        <v>117</v>
      </c>
      <c r="B118" s="227"/>
      <c r="C118" s="228"/>
      <c r="D118" s="229"/>
      <c r="E118" s="229"/>
      <c r="F118" s="229"/>
      <c r="G118" s="229"/>
      <c r="H118" s="229"/>
      <c r="I118" s="229"/>
      <c r="J118" s="229"/>
      <c r="L118" s="129" t="str">
        <f>+IF('CARGA DE DATOS'!D119="","",'CARGA DE DATOS'!D119)</f>
        <v>S6020A21</v>
      </c>
    </row>
    <row r="119" spans="1:12" x14ac:dyDescent="0.25">
      <c r="A119" s="148">
        <f>+'CARGA DE DATOS'!A120</f>
        <v>118</v>
      </c>
      <c r="B119" s="227"/>
      <c r="C119" s="228"/>
      <c r="D119" s="229"/>
      <c r="E119" s="229"/>
      <c r="F119" s="229"/>
      <c r="G119" s="229"/>
      <c r="H119" s="229"/>
      <c r="I119" s="229"/>
      <c r="J119" s="229"/>
      <c r="L119" s="129" t="str">
        <f>+IF('CARGA DE DATOS'!D120="","",'CARGA DE DATOS'!D120)</f>
        <v>S6020A21</v>
      </c>
    </row>
    <row r="120" spans="1:12" x14ac:dyDescent="0.25">
      <c r="A120" s="148">
        <f>+'CARGA DE DATOS'!A121</f>
        <v>119</v>
      </c>
      <c r="B120" s="227"/>
      <c r="C120" s="228"/>
      <c r="D120" s="229"/>
      <c r="E120" s="229"/>
      <c r="F120" s="229"/>
      <c r="G120" s="229"/>
      <c r="H120" s="229"/>
      <c r="I120" s="229"/>
      <c r="J120" s="229"/>
      <c r="L120" s="129" t="str">
        <f>+IF('CARGA DE DATOS'!D121="","",'CARGA DE DATOS'!D121)</f>
        <v>S6020A21</v>
      </c>
    </row>
    <row r="121" spans="1:12" x14ac:dyDescent="0.25">
      <c r="A121" s="148">
        <f>+'CARGA DE DATOS'!A122</f>
        <v>120</v>
      </c>
      <c r="B121" s="227"/>
      <c r="C121" s="228"/>
      <c r="D121" s="229"/>
      <c r="E121" s="229"/>
      <c r="F121" s="229"/>
      <c r="G121" s="229"/>
      <c r="H121" s="229"/>
      <c r="I121" s="229"/>
      <c r="J121" s="229"/>
      <c r="L121" s="129" t="str">
        <f>+IF('CARGA DE DATOS'!D122="","",'CARGA DE DATOS'!D122)</f>
        <v>S6020A21</v>
      </c>
    </row>
    <row r="122" spans="1:12" x14ac:dyDescent="0.25">
      <c r="A122" s="148">
        <f>+'CARGA DE DATOS'!A123</f>
        <v>121</v>
      </c>
      <c r="B122" s="227"/>
      <c r="C122" s="228"/>
      <c r="D122" s="229"/>
      <c r="E122" s="229"/>
      <c r="F122" s="229"/>
      <c r="G122" s="229"/>
      <c r="H122" s="229"/>
      <c r="I122" s="229"/>
      <c r="J122" s="229"/>
      <c r="L122" s="129" t="str">
        <f>+IF('CARGA DE DATOS'!D123="","",'CARGA DE DATOS'!D123)</f>
        <v>S6020A21</v>
      </c>
    </row>
    <row r="123" spans="1:12" x14ac:dyDescent="0.25">
      <c r="A123" s="148">
        <f>+'CARGA DE DATOS'!A124</f>
        <v>122</v>
      </c>
      <c r="B123" s="227"/>
      <c r="C123" s="228"/>
      <c r="D123" s="229"/>
      <c r="E123" s="229"/>
      <c r="F123" s="229"/>
      <c r="G123" s="229"/>
      <c r="H123" s="229"/>
      <c r="I123" s="229"/>
      <c r="J123" s="229"/>
      <c r="L123" s="129" t="str">
        <f>+IF('CARGA DE DATOS'!D124="","",'CARGA DE DATOS'!D124)</f>
        <v>S6020A21</v>
      </c>
    </row>
    <row r="124" spans="1:12" x14ac:dyDescent="0.25">
      <c r="A124" s="148">
        <f>+'CARGA DE DATOS'!A125</f>
        <v>123</v>
      </c>
      <c r="B124" s="227"/>
      <c r="C124" s="228"/>
      <c r="D124" s="229"/>
      <c r="E124" s="229"/>
      <c r="F124" s="229"/>
      <c r="G124" s="229"/>
      <c r="H124" s="229"/>
      <c r="I124" s="229"/>
      <c r="J124" s="229"/>
      <c r="L124" s="129" t="str">
        <f>+IF('CARGA DE DATOS'!D125="","",'CARGA DE DATOS'!D125)</f>
        <v>S6020A21</v>
      </c>
    </row>
    <row r="125" spans="1:12" x14ac:dyDescent="0.25">
      <c r="A125" s="148">
        <f>+'CARGA DE DATOS'!A126</f>
        <v>124</v>
      </c>
      <c r="B125" s="227"/>
      <c r="C125" s="228"/>
      <c r="D125" s="229"/>
      <c r="E125" s="229"/>
      <c r="F125" s="229"/>
      <c r="G125" s="229"/>
      <c r="H125" s="229"/>
      <c r="I125" s="229"/>
      <c r="J125" s="229"/>
      <c r="L125" s="129" t="str">
        <f>+IF('CARGA DE DATOS'!D126="","",'CARGA DE DATOS'!D126)</f>
        <v>S6020A21</v>
      </c>
    </row>
    <row r="126" spans="1:12" x14ac:dyDescent="0.25">
      <c r="A126" s="148">
        <f>+'CARGA DE DATOS'!A127</f>
        <v>125</v>
      </c>
      <c r="B126" s="227"/>
      <c r="C126" s="228"/>
      <c r="D126" s="229"/>
      <c r="E126" s="229"/>
      <c r="F126" s="229"/>
      <c r="G126" s="229"/>
      <c r="H126" s="229"/>
      <c r="I126" s="229"/>
      <c r="J126" s="229"/>
      <c r="L126" s="129" t="str">
        <f>+IF('CARGA DE DATOS'!D127="","",'CARGA DE DATOS'!D127)</f>
        <v>S6020A21</v>
      </c>
    </row>
    <row r="127" spans="1:12" x14ac:dyDescent="0.25">
      <c r="A127" s="148">
        <f>+'CARGA DE DATOS'!A128</f>
        <v>126</v>
      </c>
      <c r="B127" s="227"/>
      <c r="C127" s="228"/>
      <c r="D127" s="229"/>
      <c r="E127" s="229"/>
      <c r="F127" s="229"/>
      <c r="G127" s="229"/>
      <c r="H127" s="229"/>
      <c r="I127" s="229"/>
      <c r="J127" s="229"/>
      <c r="L127" s="129" t="str">
        <f>+IF('CARGA DE DATOS'!D128="","",'CARGA DE DATOS'!D128)</f>
        <v>S6020A21</v>
      </c>
    </row>
    <row r="128" spans="1:12" x14ac:dyDescent="0.25">
      <c r="A128" s="148">
        <f>+'CARGA DE DATOS'!A129</f>
        <v>127</v>
      </c>
      <c r="B128" s="227"/>
      <c r="C128" s="228"/>
      <c r="D128" s="229"/>
      <c r="E128" s="229"/>
      <c r="F128" s="229"/>
      <c r="G128" s="229"/>
      <c r="H128" s="229"/>
      <c r="I128" s="229"/>
      <c r="J128" s="229"/>
      <c r="L128" s="129" t="str">
        <f>+IF('CARGA DE DATOS'!D129="","",'CARGA DE DATOS'!D129)</f>
        <v>S6020A21</v>
      </c>
    </row>
    <row r="129" spans="1:12" x14ac:dyDescent="0.25">
      <c r="A129" s="148">
        <f>+'CARGA DE DATOS'!A130</f>
        <v>128</v>
      </c>
      <c r="B129" s="227"/>
      <c r="C129" s="228"/>
      <c r="D129" s="229"/>
      <c r="E129" s="229"/>
      <c r="F129" s="229"/>
      <c r="G129" s="229"/>
      <c r="H129" s="229"/>
      <c r="I129" s="229"/>
      <c r="J129" s="229"/>
      <c r="L129" s="129" t="str">
        <f>+IF('CARGA DE DATOS'!D130="","",'CARGA DE DATOS'!D130)</f>
        <v>S6020A21</v>
      </c>
    </row>
    <row r="130" spans="1:12" x14ac:dyDescent="0.25">
      <c r="A130" s="148">
        <f>+'CARGA DE DATOS'!A131</f>
        <v>129</v>
      </c>
      <c r="B130" s="227"/>
      <c r="C130" s="228"/>
      <c r="D130" s="229"/>
      <c r="E130" s="229"/>
      <c r="F130" s="229"/>
      <c r="G130" s="229"/>
      <c r="H130" s="229"/>
      <c r="I130" s="229"/>
      <c r="J130" s="229"/>
      <c r="L130" s="129" t="str">
        <f>+IF('CARGA DE DATOS'!D131="","",'CARGA DE DATOS'!D131)</f>
        <v>S6020A21</v>
      </c>
    </row>
    <row r="131" spans="1:12" x14ac:dyDescent="0.25">
      <c r="A131" s="148">
        <f>+'CARGA DE DATOS'!A132</f>
        <v>130</v>
      </c>
      <c r="B131" s="227"/>
      <c r="C131" s="228"/>
      <c r="D131" s="229"/>
      <c r="E131" s="229"/>
      <c r="F131" s="229"/>
      <c r="G131" s="229"/>
      <c r="H131" s="229"/>
      <c r="I131" s="229"/>
      <c r="J131" s="229"/>
      <c r="L131" s="129" t="str">
        <f>+IF('CARGA DE DATOS'!D132="","",'CARGA DE DATOS'!D132)</f>
        <v>S6020A21</v>
      </c>
    </row>
    <row r="132" spans="1:12" x14ac:dyDescent="0.25">
      <c r="A132" s="148">
        <f>+'CARGA DE DATOS'!A133</f>
        <v>131</v>
      </c>
      <c r="B132" s="227"/>
      <c r="C132" s="228"/>
      <c r="D132" s="229"/>
      <c r="E132" s="229"/>
      <c r="F132" s="229"/>
      <c r="G132" s="229"/>
      <c r="H132" s="229"/>
      <c r="I132" s="229"/>
      <c r="J132" s="229"/>
      <c r="L132" s="129" t="str">
        <f>+IF('CARGA DE DATOS'!D133="","",'CARGA DE DATOS'!D133)</f>
        <v>S6020A21</v>
      </c>
    </row>
    <row r="133" spans="1:12" x14ac:dyDescent="0.25">
      <c r="A133" s="148">
        <f>+'CARGA DE DATOS'!A134</f>
        <v>132</v>
      </c>
      <c r="B133" s="227"/>
      <c r="C133" s="228"/>
      <c r="D133" s="229"/>
      <c r="E133" s="229"/>
      <c r="F133" s="229"/>
      <c r="G133" s="229"/>
      <c r="H133" s="229"/>
      <c r="I133" s="229"/>
      <c r="J133" s="229"/>
      <c r="L133" s="129" t="str">
        <f>+IF('CARGA DE DATOS'!D134="","",'CARGA DE DATOS'!D134)</f>
        <v>S6020A21</v>
      </c>
    </row>
    <row r="134" spans="1:12" x14ac:dyDescent="0.25">
      <c r="A134" s="148">
        <f>+'CARGA DE DATOS'!A135</f>
        <v>133</v>
      </c>
      <c r="B134" s="227"/>
      <c r="C134" s="228"/>
      <c r="D134" s="229"/>
      <c r="E134" s="229"/>
      <c r="F134" s="229"/>
      <c r="G134" s="229"/>
      <c r="H134" s="229"/>
      <c r="I134" s="229"/>
      <c r="J134" s="229"/>
      <c r="L134" s="129" t="str">
        <f>+IF('CARGA DE DATOS'!D135="","",'CARGA DE DATOS'!D135)</f>
        <v>S6020A21</v>
      </c>
    </row>
    <row r="135" spans="1:12" x14ac:dyDescent="0.25">
      <c r="A135" s="148">
        <f>+'CARGA DE DATOS'!A136</f>
        <v>134</v>
      </c>
      <c r="B135" s="227"/>
      <c r="C135" s="228"/>
      <c r="D135" s="229"/>
      <c r="E135" s="229"/>
      <c r="F135" s="229"/>
      <c r="G135" s="229"/>
      <c r="H135" s="229"/>
      <c r="I135" s="229"/>
      <c r="J135" s="229"/>
      <c r="L135" s="129" t="str">
        <f>+IF('CARGA DE DATOS'!D136="","",'CARGA DE DATOS'!D136)</f>
        <v>S6020A21</v>
      </c>
    </row>
    <row r="136" spans="1:12" x14ac:dyDescent="0.25">
      <c r="A136" s="148">
        <f>+'CARGA DE DATOS'!A137</f>
        <v>135</v>
      </c>
      <c r="B136" s="227"/>
      <c r="C136" s="228"/>
      <c r="D136" s="229"/>
      <c r="E136" s="229"/>
      <c r="F136" s="229"/>
      <c r="G136" s="229"/>
      <c r="H136" s="229"/>
      <c r="I136" s="229"/>
      <c r="J136" s="229"/>
      <c r="L136" s="129" t="str">
        <f>+IF('CARGA DE DATOS'!D137="","",'CARGA DE DATOS'!D137)</f>
        <v>S6020A21</v>
      </c>
    </row>
    <row r="137" spans="1:12" x14ac:dyDescent="0.25">
      <c r="A137" s="148">
        <f>+'CARGA DE DATOS'!A138</f>
        <v>136</v>
      </c>
      <c r="B137" s="227"/>
      <c r="C137" s="228"/>
      <c r="D137" s="229"/>
      <c r="E137" s="229"/>
      <c r="F137" s="229"/>
      <c r="G137" s="229"/>
      <c r="H137" s="229"/>
      <c r="I137" s="229"/>
      <c r="J137" s="229"/>
      <c r="L137" s="129" t="str">
        <f>+IF('CARGA DE DATOS'!D138="","",'CARGA DE DATOS'!D138)</f>
        <v>S6020A21</v>
      </c>
    </row>
    <row r="138" spans="1:12" x14ac:dyDescent="0.25">
      <c r="A138" s="148">
        <f>+'CARGA DE DATOS'!A139</f>
        <v>137</v>
      </c>
      <c r="B138" s="227"/>
      <c r="C138" s="228"/>
      <c r="D138" s="229"/>
      <c r="E138" s="229"/>
      <c r="F138" s="229"/>
      <c r="G138" s="229"/>
      <c r="H138" s="229"/>
      <c r="I138" s="229"/>
      <c r="J138" s="229"/>
      <c r="L138" s="129" t="str">
        <f>+IF('CARGA DE DATOS'!D139="","",'CARGA DE DATOS'!D139)</f>
        <v>S6020A21</v>
      </c>
    </row>
    <row r="139" spans="1:12" x14ac:dyDescent="0.25">
      <c r="A139" s="148">
        <f>+'CARGA DE DATOS'!A140</f>
        <v>138</v>
      </c>
      <c r="B139" s="227"/>
      <c r="C139" s="228"/>
      <c r="D139" s="229"/>
      <c r="E139" s="229"/>
      <c r="F139" s="229"/>
      <c r="G139" s="229"/>
      <c r="H139" s="229"/>
      <c r="I139" s="229"/>
      <c r="J139" s="229"/>
      <c r="L139" s="129" t="str">
        <f>+IF('CARGA DE DATOS'!D140="","",'CARGA DE DATOS'!D140)</f>
        <v>S6020A21</v>
      </c>
    </row>
    <row r="140" spans="1:12" x14ac:dyDescent="0.25">
      <c r="A140" s="148">
        <f>+'CARGA DE DATOS'!A141</f>
        <v>139</v>
      </c>
      <c r="B140" s="227"/>
      <c r="C140" s="228"/>
      <c r="D140" s="229"/>
      <c r="E140" s="229"/>
      <c r="F140" s="229"/>
      <c r="G140" s="229"/>
      <c r="H140" s="229"/>
      <c r="I140" s="229"/>
      <c r="J140" s="229"/>
      <c r="L140" s="129" t="str">
        <f>+IF('CARGA DE DATOS'!D141="","",'CARGA DE DATOS'!D141)</f>
        <v>S6020A21</v>
      </c>
    </row>
    <row r="141" spans="1:12" x14ac:dyDescent="0.25">
      <c r="A141" s="148">
        <f>+'CARGA DE DATOS'!A142</f>
        <v>140</v>
      </c>
      <c r="B141" s="227"/>
      <c r="C141" s="228"/>
      <c r="D141" s="229"/>
      <c r="E141" s="229"/>
      <c r="F141" s="229"/>
      <c r="G141" s="229"/>
      <c r="H141" s="229"/>
      <c r="I141" s="229"/>
      <c r="J141" s="229"/>
      <c r="L141" s="129" t="str">
        <f>+IF('CARGA DE DATOS'!D142="","",'CARGA DE DATOS'!D142)</f>
        <v>S6020A21</v>
      </c>
    </row>
    <row r="142" spans="1:12" x14ac:dyDescent="0.25">
      <c r="A142" s="148">
        <f>+'CARGA DE DATOS'!A143</f>
        <v>141</v>
      </c>
      <c r="B142" s="227"/>
      <c r="C142" s="228"/>
      <c r="D142" s="229"/>
      <c r="E142" s="229"/>
      <c r="F142" s="229"/>
      <c r="G142" s="229"/>
      <c r="H142" s="229"/>
      <c r="I142" s="229"/>
      <c r="J142" s="229"/>
      <c r="L142" s="129" t="str">
        <f>+IF('CARGA DE DATOS'!D143="","",'CARGA DE DATOS'!D143)</f>
        <v>S6020A21</v>
      </c>
    </row>
    <row r="143" spans="1:12" x14ac:dyDescent="0.25">
      <c r="A143" s="148">
        <f>+'CARGA DE DATOS'!A144</f>
        <v>142</v>
      </c>
      <c r="B143" s="227"/>
      <c r="C143" s="228"/>
      <c r="D143" s="229"/>
      <c r="E143" s="229"/>
      <c r="F143" s="229"/>
      <c r="G143" s="229"/>
      <c r="H143" s="229"/>
      <c r="I143" s="229"/>
      <c r="J143" s="229"/>
      <c r="L143" s="129" t="str">
        <f>+IF('CARGA DE DATOS'!D144="","",'CARGA DE DATOS'!D144)</f>
        <v>S6020A21</v>
      </c>
    </row>
    <row r="144" spans="1:12" x14ac:dyDescent="0.25">
      <c r="A144" s="148">
        <f>+'CARGA DE DATOS'!A145</f>
        <v>143</v>
      </c>
      <c r="B144" s="227"/>
      <c r="C144" s="228"/>
      <c r="D144" s="229"/>
      <c r="E144" s="229"/>
      <c r="F144" s="229"/>
      <c r="G144" s="229"/>
      <c r="H144" s="229"/>
      <c r="I144" s="229"/>
      <c r="J144" s="229"/>
      <c r="L144" s="129" t="str">
        <f>+IF('CARGA DE DATOS'!D145="","",'CARGA DE DATOS'!D145)</f>
        <v>S6020A21</v>
      </c>
    </row>
    <row r="145" spans="1:12" x14ac:dyDescent="0.25">
      <c r="A145" s="148">
        <f>+'CARGA DE DATOS'!A146</f>
        <v>144</v>
      </c>
      <c r="B145" s="227"/>
      <c r="C145" s="228"/>
      <c r="D145" s="229"/>
      <c r="E145" s="229"/>
      <c r="F145" s="229"/>
      <c r="G145" s="229"/>
      <c r="H145" s="229"/>
      <c r="I145" s="229"/>
      <c r="J145" s="229"/>
      <c r="L145" s="129" t="str">
        <f>+IF('CARGA DE DATOS'!D146="","",'CARGA DE DATOS'!D146)</f>
        <v>S6020A21</v>
      </c>
    </row>
    <row r="146" spans="1:12" x14ac:dyDescent="0.25">
      <c r="A146" s="148">
        <f>+'CARGA DE DATOS'!A147</f>
        <v>145</v>
      </c>
      <c r="B146" s="227"/>
      <c r="C146" s="228"/>
      <c r="D146" s="229"/>
      <c r="E146" s="229"/>
      <c r="F146" s="229"/>
      <c r="G146" s="229"/>
      <c r="H146" s="229"/>
      <c r="I146" s="229"/>
      <c r="J146" s="229"/>
      <c r="L146" s="129" t="str">
        <f>+IF('CARGA DE DATOS'!D147="","",'CARGA DE DATOS'!D147)</f>
        <v>S6020A21</v>
      </c>
    </row>
    <row r="147" spans="1:12" x14ac:dyDescent="0.25">
      <c r="A147" s="148">
        <f>+'CARGA DE DATOS'!A148</f>
        <v>146</v>
      </c>
      <c r="B147" s="227"/>
      <c r="C147" s="228"/>
      <c r="D147" s="229"/>
      <c r="E147" s="229"/>
      <c r="F147" s="229"/>
      <c r="G147" s="229"/>
      <c r="H147" s="229"/>
      <c r="I147" s="229"/>
      <c r="J147" s="229"/>
      <c r="L147" s="129" t="str">
        <f>+IF('CARGA DE DATOS'!D148="","",'CARGA DE DATOS'!D148)</f>
        <v>S6020A21</v>
      </c>
    </row>
    <row r="148" spans="1:12" x14ac:dyDescent="0.25">
      <c r="A148" s="148">
        <f>+'CARGA DE DATOS'!A149</f>
        <v>147</v>
      </c>
      <c r="B148" s="227"/>
      <c r="C148" s="228"/>
      <c r="D148" s="229"/>
      <c r="E148" s="229"/>
      <c r="F148" s="229"/>
      <c r="G148" s="229"/>
      <c r="H148" s="229"/>
      <c r="I148" s="229"/>
      <c r="J148" s="229"/>
      <c r="L148" s="129" t="str">
        <f>+IF('CARGA DE DATOS'!D149="","",'CARGA DE DATOS'!D149)</f>
        <v>S6020A21</v>
      </c>
    </row>
    <row r="149" spans="1:12" x14ac:dyDescent="0.25">
      <c r="A149" s="148">
        <f>+'CARGA DE DATOS'!A150</f>
        <v>148</v>
      </c>
      <c r="B149" s="227"/>
      <c r="C149" s="228"/>
      <c r="D149" s="229"/>
      <c r="E149" s="229"/>
      <c r="F149" s="229"/>
      <c r="G149" s="229"/>
      <c r="H149" s="229"/>
      <c r="I149" s="229"/>
      <c r="J149" s="229"/>
      <c r="L149" s="129" t="str">
        <f>+IF('CARGA DE DATOS'!D150="","",'CARGA DE DATOS'!D150)</f>
        <v>S6020A21</v>
      </c>
    </row>
    <row r="150" spans="1:12" x14ac:dyDescent="0.25">
      <c r="A150" s="148">
        <f>+'CARGA DE DATOS'!A151</f>
        <v>149</v>
      </c>
      <c r="B150" s="227"/>
      <c r="C150" s="228"/>
      <c r="D150" s="229"/>
      <c r="E150" s="229"/>
      <c r="F150" s="229"/>
      <c r="G150" s="229"/>
      <c r="H150" s="229"/>
      <c r="I150" s="229"/>
      <c r="J150" s="229"/>
      <c r="L150" s="129" t="str">
        <f>+IF('CARGA DE DATOS'!D151="","",'CARGA DE DATOS'!D151)</f>
        <v>S6020A21</v>
      </c>
    </row>
    <row r="151" spans="1:12" x14ac:dyDescent="0.25">
      <c r="A151" s="148">
        <f>+'CARGA DE DATOS'!A152</f>
        <v>150</v>
      </c>
      <c r="B151" s="227"/>
      <c r="C151" s="228"/>
      <c r="D151" s="229"/>
      <c r="E151" s="229"/>
      <c r="F151" s="229"/>
      <c r="G151" s="229"/>
      <c r="H151" s="229"/>
      <c r="I151" s="229"/>
      <c r="J151" s="229"/>
      <c r="L151" s="129" t="str">
        <f>+IF('CARGA DE DATOS'!D152="","",'CARGA DE DATOS'!D152)</f>
        <v>S6020A21</v>
      </c>
    </row>
    <row r="152" spans="1:12" x14ac:dyDescent="0.25">
      <c r="A152" s="148">
        <f>+'CARGA DE DATOS'!A153</f>
        <v>151</v>
      </c>
      <c r="B152" s="227"/>
      <c r="C152" s="228"/>
      <c r="D152" s="229"/>
      <c r="E152" s="229"/>
      <c r="F152" s="229"/>
      <c r="G152" s="229"/>
      <c r="H152" s="229"/>
      <c r="I152" s="229"/>
      <c r="J152" s="229"/>
      <c r="L152" s="129" t="str">
        <f>+IF('CARGA DE DATOS'!D153="","",'CARGA DE DATOS'!D153)</f>
        <v>S6020A21</v>
      </c>
    </row>
    <row r="153" spans="1:12" x14ac:dyDescent="0.25">
      <c r="A153" s="148">
        <f>+'CARGA DE DATOS'!A154</f>
        <v>152</v>
      </c>
      <c r="B153" s="227"/>
      <c r="C153" s="228"/>
      <c r="D153" s="229"/>
      <c r="E153" s="229"/>
      <c r="F153" s="229"/>
      <c r="G153" s="229"/>
      <c r="H153" s="229"/>
      <c r="I153" s="229"/>
      <c r="J153" s="229"/>
      <c r="L153" s="129" t="str">
        <f>+IF('CARGA DE DATOS'!D154="","",'CARGA DE DATOS'!D154)</f>
        <v>S6020A21</v>
      </c>
    </row>
    <row r="154" spans="1:12" x14ac:dyDescent="0.25">
      <c r="A154" s="148">
        <f>+'CARGA DE DATOS'!A155</f>
        <v>153</v>
      </c>
      <c r="B154" s="227"/>
      <c r="C154" s="228"/>
      <c r="D154" s="229"/>
      <c r="E154" s="229"/>
      <c r="F154" s="229"/>
      <c r="G154" s="229"/>
      <c r="H154" s="229"/>
      <c r="I154" s="229"/>
      <c r="J154" s="229"/>
      <c r="L154" s="129" t="str">
        <f>+IF('CARGA DE DATOS'!D155="","",'CARGA DE DATOS'!D155)</f>
        <v>S6020A21</v>
      </c>
    </row>
    <row r="155" spans="1:12" x14ac:dyDescent="0.25">
      <c r="A155" s="148">
        <f>+'CARGA DE DATOS'!A156</f>
        <v>154</v>
      </c>
      <c r="B155" s="227"/>
      <c r="C155" s="228"/>
      <c r="D155" s="229"/>
      <c r="E155" s="229"/>
      <c r="F155" s="229"/>
      <c r="G155" s="229"/>
      <c r="H155" s="229"/>
      <c r="I155" s="229"/>
      <c r="J155" s="229"/>
      <c r="L155" s="129" t="str">
        <f>+IF('CARGA DE DATOS'!D156="","",'CARGA DE DATOS'!D156)</f>
        <v>S6020A21</v>
      </c>
    </row>
    <row r="156" spans="1:12" x14ac:dyDescent="0.25">
      <c r="A156" s="148">
        <f>+'CARGA DE DATOS'!A157</f>
        <v>155</v>
      </c>
      <c r="B156" s="227"/>
      <c r="C156" s="228"/>
      <c r="D156" s="229"/>
      <c r="E156" s="229"/>
      <c r="F156" s="229"/>
      <c r="G156" s="229"/>
      <c r="H156" s="229"/>
      <c r="I156" s="229"/>
      <c r="J156" s="229"/>
      <c r="L156" s="129" t="str">
        <f>+IF('CARGA DE DATOS'!D157="","",'CARGA DE DATOS'!D157)</f>
        <v>S6020A21</v>
      </c>
    </row>
    <row r="157" spans="1:12" x14ac:dyDescent="0.25">
      <c r="A157" s="148">
        <f>+'CARGA DE DATOS'!A158</f>
        <v>156</v>
      </c>
      <c r="B157" s="227"/>
      <c r="C157" s="228"/>
      <c r="D157" s="229"/>
      <c r="E157" s="229"/>
      <c r="F157" s="229"/>
      <c r="G157" s="229"/>
      <c r="H157" s="229"/>
      <c r="I157" s="229"/>
      <c r="J157" s="229"/>
      <c r="L157" s="129" t="str">
        <f>+IF('CARGA DE DATOS'!D158="","",'CARGA DE DATOS'!D158)</f>
        <v>S6020A21</v>
      </c>
    </row>
    <row r="158" spans="1:12" x14ac:dyDescent="0.25">
      <c r="A158" s="148">
        <f>+'CARGA DE DATOS'!A159</f>
        <v>157</v>
      </c>
      <c r="B158" s="227"/>
      <c r="C158" s="228"/>
      <c r="D158" s="229"/>
      <c r="E158" s="229"/>
      <c r="F158" s="229"/>
      <c r="G158" s="229"/>
      <c r="H158" s="229"/>
      <c r="I158" s="229"/>
      <c r="J158" s="229"/>
      <c r="L158" s="129" t="str">
        <f>+IF('CARGA DE DATOS'!D159="","",'CARGA DE DATOS'!D159)</f>
        <v>S6020A21</v>
      </c>
    </row>
    <row r="159" spans="1:12" x14ac:dyDescent="0.25">
      <c r="A159" s="148">
        <f>+'CARGA DE DATOS'!A160</f>
        <v>158</v>
      </c>
      <c r="B159" s="227"/>
      <c r="C159" s="228"/>
      <c r="D159" s="229"/>
      <c r="E159" s="229"/>
      <c r="F159" s="229"/>
      <c r="G159" s="229"/>
      <c r="H159" s="229"/>
      <c r="I159" s="229"/>
      <c r="J159" s="229"/>
      <c r="L159" s="129" t="str">
        <f>+IF('CARGA DE DATOS'!D160="","",'CARGA DE DATOS'!D160)</f>
        <v>S6020A21</v>
      </c>
    </row>
    <row r="160" spans="1:12" x14ac:dyDescent="0.25">
      <c r="A160" s="148">
        <f>+'CARGA DE DATOS'!A161</f>
        <v>159</v>
      </c>
      <c r="B160" s="227"/>
      <c r="C160" s="228"/>
      <c r="D160" s="229"/>
      <c r="E160" s="229"/>
      <c r="F160" s="229"/>
      <c r="G160" s="229"/>
      <c r="H160" s="229"/>
      <c r="I160" s="229"/>
      <c r="J160" s="229"/>
      <c r="L160" s="129" t="str">
        <f>+IF('CARGA DE DATOS'!D161="","",'CARGA DE DATOS'!D161)</f>
        <v>S6020A21</v>
      </c>
    </row>
    <row r="161" spans="1:12" x14ac:dyDescent="0.25">
      <c r="A161" s="148">
        <f>+'CARGA DE DATOS'!A162</f>
        <v>160</v>
      </c>
      <c r="B161" s="227"/>
      <c r="C161" s="228"/>
      <c r="D161" s="229"/>
      <c r="E161" s="229"/>
      <c r="F161" s="229"/>
      <c r="G161" s="229"/>
      <c r="H161" s="229"/>
      <c r="I161" s="229"/>
      <c r="J161" s="229"/>
      <c r="L161" s="129" t="str">
        <f>+IF('CARGA DE DATOS'!D162="","",'CARGA DE DATOS'!D162)</f>
        <v>S6020A21</v>
      </c>
    </row>
    <row r="162" spans="1:12" x14ac:dyDescent="0.25">
      <c r="A162" s="148">
        <f>+'CARGA DE DATOS'!A163</f>
        <v>161</v>
      </c>
      <c r="B162" s="227"/>
      <c r="C162" s="228"/>
      <c r="D162" s="229"/>
      <c r="E162" s="229"/>
      <c r="F162" s="229"/>
      <c r="G162" s="229"/>
      <c r="H162" s="229"/>
      <c r="I162" s="229"/>
      <c r="J162" s="229"/>
      <c r="L162" s="129" t="str">
        <f>+IF('CARGA DE DATOS'!D163="","",'CARGA DE DATOS'!D163)</f>
        <v>S6020A21</v>
      </c>
    </row>
    <row r="163" spans="1:12" x14ac:dyDescent="0.25">
      <c r="A163" s="148">
        <f>+'CARGA DE DATOS'!A164</f>
        <v>162</v>
      </c>
      <c r="B163" s="227"/>
      <c r="C163" s="228"/>
      <c r="D163" s="229"/>
      <c r="E163" s="229"/>
      <c r="F163" s="229"/>
      <c r="G163" s="229"/>
      <c r="H163" s="229"/>
      <c r="I163" s="229"/>
      <c r="J163" s="229"/>
      <c r="L163" s="129" t="str">
        <f>+IF('CARGA DE DATOS'!D164="","",'CARGA DE DATOS'!D164)</f>
        <v>S6020A21</v>
      </c>
    </row>
    <row r="164" spans="1:12" x14ac:dyDescent="0.25">
      <c r="A164" s="148">
        <f>+'CARGA DE DATOS'!A165</f>
        <v>163</v>
      </c>
      <c r="B164" s="227"/>
      <c r="C164" s="228"/>
      <c r="D164" s="229"/>
      <c r="E164" s="229"/>
      <c r="F164" s="229"/>
      <c r="G164" s="229"/>
      <c r="H164" s="229"/>
      <c r="I164" s="229"/>
      <c r="J164" s="229"/>
      <c r="L164" s="129" t="str">
        <f>+IF('CARGA DE DATOS'!D165="","",'CARGA DE DATOS'!D165)</f>
        <v>S6020A21</v>
      </c>
    </row>
    <row r="165" spans="1:12" x14ac:dyDescent="0.25">
      <c r="A165" s="148">
        <f>+'CARGA DE DATOS'!A166</f>
        <v>164</v>
      </c>
      <c r="B165" s="227"/>
      <c r="C165" s="228"/>
      <c r="D165" s="229"/>
      <c r="E165" s="229"/>
      <c r="F165" s="229"/>
      <c r="G165" s="229"/>
      <c r="H165" s="229"/>
      <c r="I165" s="229"/>
      <c r="J165" s="229"/>
      <c r="L165" s="129" t="str">
        <f>+IF('CARGA DE DATOS'!D166="","",'CARGA DE DATOS'!D166)</f>
        <v>S6020A21</v>
      </c>
    </row>
    <row r="166" spans="1:12" x14ac:dyDescent="0.25">
      <c r="A166" s="148">
        <f>+'CARGA DE DATOS'!A167</f>
        <v>165</v>
      </c>
      <c r="B166" s="227"/>
      <c r="C166" s="228"/>
      <c r="D166" s="229"/>
      <c r="E166" s="229"/>
      <c r="F166" s="229"/>
      <c r="G166" s="229"/>
      <c r="H166" s="229"/>
      <c r="I166" s="229"/>
      <c r="J166" s="229"/>
      <c r="L166" s="129" t="str">
        <f>+IF('CARGA DE DATOS'!D167="","",'CARGA DE DATOS'!D167)</f>
        <v>S6020A21</v>
      </c>
    </row>
    <row r="167" spans="1:12" x14ac:dyDescent="0.25">
      <c r="A167" s="148">
        <f>+'CARGA DE DATOS'!A168</f>
        <v>166</v>
      </c>
      <c r="B167" s="227"/>
      <c r="C167" s="228"/>
      <c r="D167" s="229"/>
      <c r="E167" s="229"/>
      <c r="F167" s="229"/>
      <c r="G167" s="229"/>
      <c r="H167" s="229"/>
      <c r="I167" s="229"/>
      <c r="J167" s="229"/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8">
        <f>+'CARGA DE DATOS'!A3</f>
        <v>1</v>
      </c>
      <c r="B2" s="158"/>
      <c r="C2" s="15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8">
        <f>+'CARGA DE DATOS'!A4</f>
        <v>2</v>
      </c>
      <c r="B3" s="158"/>
      <c r="C3" s="15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8">
        <f>+'CARGA DE DATOS'!A5</f>
        <v>3</v>
      </c>
      <c r="B4" s="158"/>
      <c r="C4" s="15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8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8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8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8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8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8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8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8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8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8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8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8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8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8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8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8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8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8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8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8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8">
        <f>+'CARGA DE DATOS'!A26</f>
        <v>24</v>
      </c>
    </row>
    <row r="26" spans="1:25" x14ac:dyDescent="0.25">
      <c r="A26" s="148">
        <f>+'CARGA DE DATOS'!A27</f>
        <v>25</v>
      </c>
    </row>
    <row r="27" spans="1:25" x14ac:dyDescent="0.25">
      <c r="A27" s="148">
        <f>+'CARGA DE DATOS'!A28</f>
        <v>26</v>
      </c>
    </row>
    <row r="28" spans="1:25" x14ac:dyDescent="0.25">
      <c r="A28" s="148">
        <f>+'CARGA DE DATOS'!A29</f>
        <v>27</v>
      </c>
    </row>
    <row r="29" spans="1:25" x14ac:dyDescent="0.25">
      <c r="A29" s="148">
        <f>+'CARGA DE DATOS'!A30</f>
        <v>28</v>
      </c>
    </row>
    <row r="30" spans="1:25" x14ac:dyDescent="0.25">
      <c r="A30" s="148">
        <f>+'CARGA DE DATOS'!A31</f>
        <v>29</v>
      </c>
    </row>
    <row r="31" spans="1:25" x14ac:dyDescent="0.25">
      <c r="A31" s="148">
        <f>+'CARGA DE DATOS'!A32</f>
        <v>30</v>
      </c>
    </row>
    <row r="32" spans="1:25" x14ac:dyDescent="0.25">
      <c r="A32" s="148">
        <f>+'CARGA DE DATOS'!A33</f>
        <v>31</v>
      </c>
    </row>
    <row r="33" spans="1:1" x14ac:dyDescent="0.25">
      <c r="A33" s="148">
        <f>+'CARGA DE DATOS'!A34</f>
        <v>32</v>
      </c>
    </row>
    <row r="34" spans="1:1" x14ac:dyDescent="0.25">
      <c r="A34" s="148">
        <f>+'CARGA DE DATOS'!A35</f>
        <v>33</v>
      </c>
    </row>
    <row r="35" spans="1:1" x14ac:dyDescent="0.25">
      <c r="A35" s="148">
        <f>+'CARGA DE DATOS'!A36</f>
        <v>34</v>
      </c>
    </row>
    <row r="36" spans="1:1" x14ac:dyDescent="0.25">
      <c r="A36" s="148">
        <f>+'CARGA DE DATOS'!A37</f>
        <v>35</v>
      </c>
    </row>
    <row r="37" spans="1:1" x14ac:dyDescent="0.25">
      <c r="A37" s="148">
        <f>+'CARGA DE DATOS'!A38</f>
        <v>36</v>
      </c>
    </row>
    <row r="38" spans="1:1" x14ac:dyDescent="0.25">
      <c r="A38" s="148">
        <f>+'CARGA DE DATOS'!A39</f>
        <v>37</v>
      </c>
    </row>
    <row r="39" spans="1:1" x14ac:dyDescent="0.25">
      <c r="A39" s="148">
        <f>+'CARGA DE DATOS'!A40</f>
        <v>38</v>
      </c>
    </row>
    <row r="40" spans="1:1" x14ac:dyDescent="0.25">
      <c r="A40" s="148">
        <f>+'CARGA DE DATOS'!A41</f>
        <v>39</v>
      </c>
    </row>
    <row r="41" spans="1:1" x14ac:dyDescent="0.25">
      <c r="A41" s="148">
        <f>+'CARGA DE DATOS'!A42</f>
        <v>40</v>
      </c>
    </row>
    <row r="42" spans="1:1" x14ac:dyDescent="0.25">
      <c r="A42" s="148">
        <f>+'CARGA DE DATOS'!A43</f>
        <v>41</v>
      </c>
    </row>
    <row r="43" spans="1:1" x14ac:dyDescent="0.25">
      <c r="A43" s="148">
        <f>+'CARGA DE DATOS'!A44</f>
        <v>42</v>
      </c>
    </row>
    <row r="44" spans="1:1" x14ac:dyDescent="0.25">
      <c r="A44" s="148">
        <f>+'CARGA DE DATOS'!A45</f>
        <v>43</v>
      </c>
    </row>
    <row r="45" spans="1:1" x14ac:dyDescent="0.25">
      <c r="A45" s="148">
        <f>+'CARGA DE DATOS'!A46</f>
        <v>44</v>
      </c>
    </row>
    <row r="46" spans="1:1" x14ac:dyDescent="0.25">
      <c r="A46" s="148">
        <f>+'CARGA DE DATOS'!A47</f>
        <v>45</v>
      </c>
    </row>
    <row r="47" spans="1:1" x14ac:dyDescent="0.25">
      <c r="A47" s="148">
        <f>+'CARGA DE DATOS'!A48</f>
        <v>46</v>
      </c>
    </row>
    <row r="48" spans="1:1" x14ac:dyDescent="0.25">
      <c r="A48" s="148">
        <f>+'CARGA DE DATOS'!A49</f>
        <v>47</v>
      </c>
    </row>
    <row r="49" spans="1:1" x14ac:dyDescent="0.25">
      <c r="A49" s="148">
        <f>+'CARGA DE DATOS'!A50</f>
        <v>48</v>
      </c>
    </row>
    <row r="50" spans="1:1" x14ac:dyDescent="0.25">
      <c r="A50" s="148">
        <f>+'CARGA DE DATOS'!A51</f>
        <v>49</v>
      </c>
    </row>
    <row r="51" spans="1:1" x14ac:dyDescent="0.25">
      <c r="A51" s="148">
        <f>+'CARGA DE DATOS'!A52</f>
        <v>50</v>
      </c>
    </row>
    <row r="52" spans="1:1" x14ac:dyDescent="0.25">
      <c r="A52" s="148">
        <f>+'CARGA DE DATOS'!A53</f>
        <v>51</v>
      </c>
    </row>
    <row r="53" spans="1:1" x14ac:dyDescent="0.25">
      <c r="A53" s="148">
        <f>+'CARGA DE DATOS'!A54</f>
        <v>52</v>
      </c>
    </row>
    <row r="54" spans="1:1" x14ac:dyDescent="0.25">
      <c r="A54" s="148">
        <f>+'CARGA DE DATOS'!A55</f>
        <v>53</v>
      </c>
    </row>
    <row r="55" spans="1:1" x14ac:dyDescent="0.25">
      <c r="A55" s="148">
        <f>+'CARGA DE DATOS'!A56</f>
        <v>54</v>
      </c>
    </row>
    <row r="56" spans="1:1" x14ac:dyDescent="0.25">
      <c r="A56" s="148">
        <f>+'CARGA DE DATOS'!A57</f>
        <v>55</v>
      </c>
    </row>
    <row r="57" spans="1:1" x14ac:dyDescent="0.25">
      <c r="A57" s="148">
        <f>+'CARGA DE DATOS'!A58</f>
        <v>56</v>
      </c>
    </row>
    <row r="58" spans="1:1" x14ac:dyDescent="0.25">
      <c r="A58" s="148">
        <f>+'CARGA DE DATOS'!A59</f>
        <v>57</v>
      </c>
    </row>
    <row r="59" spans="1:1" x14ac:dyDescent="0.25">
      <c r="A59" s="148">
        <f>+'CARGA DE DATOS'!A60</f>
        <v>58</v>
      </c>
    </row>
    <row r="60" spans="1:1" x14ac:dyDescent="0.25">
      <c r="A60" s="148">
        <f>+'CARGA DE DATOS'!A61</f>
        <v>59</v>
      </c>
    </row>
    <row r="61" spans="1:1" x14ac:dyDescent="0.25">
      <c r="A61" s="148">
        <f>+'CARGA DE DATOS'!A62</f>
        <v>60</v>
      </c>
    </row>
    <row r="62" spans="1:1" x14ac:dyDescent="0.25">
      <c r="A62" s="148">
        <f>+'CARGA DE DATOS'!A63</f>
        <v>61</v>
      </c>
    </row>
    <row r="63" spans="1:1" x14ac:dyDescent="0.25">
      <c r="A63" s="148">
        <f>+'CARGA DE DATOS'!A64</f>
        <v>62</v>
      </c>
    </row>
    <row r="64" spans="1:1" x14ac:dyDescent="0.25">
      <c r="A64" s="148">
        <f>+'CARGA DE DATOS'!A65</f>
        <v>63</v>
      </c>
    </row>
    <row r="65" spans="1:1" x14ac:dyDescent="0.25">
      <c r="A65" s="148">
        <f>+'CARGA DE DATOS'!A66</f>
        <v>64</v>
      </c>
    </row>
    <row r="66" spans="1:1" x14ac:dyDescent="0.25">
      <c r="A66" s="148">
        <f>+'CARGA DE DATOS'!A67</f>
        <v>65</v>
      </c>
    </row>
    <row r="67" spans="1:1" x14ac:dyDescent="0.25">
      <c r="A67" s="148">
        <f>+'CARGA DE DATOS'!A68</f>
        <v>66</v>
      </c>
    </row>
    <row r="68" spans="1:1" x14ac:dyDescent="0.25">
      <c r="A68" s="148">
        <f>+'CARGA DE DATOS'!A69</f>
        <v>67</v>
      </c>
    </row>
    <row r="69" spans="1:1" x14ac:dyDescent="0.25">
      <c r="A69" s="148">
        <f>+'CARGA DE DATOS'!A70</f>
        <v>68</v>
      </c>
    </row>
    <row r="70" spans="1:1" x14ac:dyDescent="0.25">
      <c r="A70" s="148">
        <f>+'CARGA DE DATOS'!A71</f>
        <v>69</v>
      </c>
    </row>
    <row r="71" spans="1:1" x14ac:dyDescent="0.25">
      <c r="A71" s="148">
        <f>+'CARGA DE DATOS'!A72</f>
        <v>70</v>
      </c>
    </row>
    <row r="72" spans="1:1" x14ac:dyDescent="0.25">
      <c r="A72" s="148">
        <f>+'CARGA DE DATOS'!A73</f>
        <v>71</v>
      </c>
    </row>
    <row r="73" spans="1:1" x14ac:dyDescent="0.25">
      <c r="A73" s="148">
        <f>+'CARGA DE DATOS'!A74</f>
        <v>72</v>
      </c>
    </row>
    <row r="74" spans="1:1" x14ac:dyDescent="0.25">
      <c r="A74" s="148">
        <f>+'CARGA DE DATOS'!A75</f>
        <v>73</v>
      </c>
    </row>
    <row r="75" spans="1:1" x14ac:dyDescent="0.25">
      <c r="A75" s="148">
        <f>+'CARGA DE DATOS'!A76</f>
        <v>74</v>
      </c>
    </row>
    <row r="76" spans="1:1" x14ac:dyDescent="0.25">
      <c r="A76" s="148">
        <f>+'CARGA DE DATOS'!A77</f>
        <v>75</v>
      </c>
    </row>
    <row r="77" spans="1:1" x14ac:dyDescent="0.25">
      <c r="A77" s="148">
        <f>+'CARGA DE DATOS'!A78</f>
        <v>76</v>
      </c>
    </row>
    <row r="78" spans="1:1" x14ac:dyDescent="0.25">
      <c r="A78" s="148">
        <f>+'CARGA DE DATOS'!A79</f>
        <v>77</v>
      </c>
    </row>
    <row r="79" spans="1:1" x14ac:dyDescent="0.25">
      <c r="A79" s="148">
        <f>+'CARGA DE DATOS'!A80</f>
        <v>78</v>
      </c>
    </row>
    <row r="80" spans="1:1" x14ac:dyDescent="0.25">
      <c r="A80" s="148">
        <f>+'CARGA DE DATOS'!A81</f>
        <v>79</v>
      </c>
    </row>
    <row r="81" spans="1:1" x14ac:dyDescent="0.25">
      <c r="A81" s="148">
        <f>+'CARGA DE DATOS'!A82</f>
        <v>80</v>
      </c>
    </row>
    <row r="82" spans="1:1" x14ac:dyDescent="0.25">
      <c r="A82" s="148">
        <f>+'CARGA DE DATOS'!A83</f>
        <v>81</v>
      </c>
    </row>
    <row r="83" spans="1:1" x14ac:dyDescent="0.25">
      <c r="A83" s="148">
        <f>+'CARGA DE DATOS'!A84</f>
        <v>82</v>
      </c>
    </row>
    <row r="84" spans="1:1" x14ac:dyDescent="0.25">
      <c r="A84" s="148">
        <f>+'CARGA DE DATOS'!A85</f>
        <v>83</v>
      </c>
    </row>
    <row r="85" spans="1:1" x14ac:dyDescent="0.25">
      <c r="A85" s="148">
        <f>+'CARGA DE DATOS'!A86</f>
        <v>84</v>
      </c>
    </row>
    <row r="86" spans="1:1" x14ac:dyDescent="0.25">
      <c r="A86" s="148">
        <f>+'CARGA DE DATOS'!A87</f>
        <v>85</v>
      </c>
    </row>
    <row r="87" spans="1:1" x14ac:dyDescent="0.25">
      <c r="A87" s="148">
        <f>+'CARGA DE DATOS'!A88</f>
        <v>86</v>
      </c>
    </row>
    <row r="88" spans="1:1" x14ac:dyDescent="0.25">
      <c r="A88" s="148">
        <f>+'CARGA DE DATOS'!A89</f>
        <v>87</v>
      </c>
    </row>
    <row r="89" spans="1:1" x14ac:dyDescent="0.25">
      <c r="A89" s="148">
        <f>+'CARGA DE DATOS'!A90</f>
        <v>88</v>
      </c>
    </row>
    <row r="90" spans="1:1" x14ac:dyDescent="0.25">
      <c r="A90" s="148">
        <f>+'CARGA DE DATOS'!A91</f>
        <v>89</v>
      </c>
    </row>
    <row r="91" spans="1:1" x14ac:dyDescent="0.25">
      <c r="A91" s="148">
        <f>+'CARGA DE DATOS'!A92</f>
        <v>90</v>
      </c>
    </row>
    <row r="92" spans="1:1" x14ac:dyDescent="0.25">
      <c r="A92" s="148">
        <f>+'CARGA DE DATOS'!A93</f>
        <v>91</v>
      </c>
    </row>
    <row r="93" spans="1:1" x14ac:dyDescent="0.25">
      <c r="A93" s="148">
        <f>+'CARGA DE DATOS'!A94</f>
        <v>92</v>
      </c>
    </row>
    <row r="94" spans="1:1" x14ac:dyDescent="0.25">
      <c r="A94" s="148">
        <f>+'CARGA DE DATOS'!A95</f>
        <v>93</v>
      </c>
    </row>
    <row r="95" spans="1:1" x14ac:dyDescent="0.25">
      <c r="A95" s="148">
        <f>+'CARGA DE DATOS'!A96</f>
        <v>94</v>
      </c>
    </row>
    <row r="96" spans="1:1" x14ac:dyDescent="0.25">
      <c r="A96" s="148">
        <f>+'CARGA DE DATOS'!A97</f>
        <v>95</v>
      </c>
    </row>
    <row r="97" spans="1:1" x14ac:dyDescent="0.25">
      <c r="A97" s="148">
        <f>+'CARGA DE DATOS'!A98</f>
        <v>96</v>
      </c>
    </row>
    <row r="98" spans="1:1" x14ac:dyDescent="0.25">
      <c r="A98" s="148">
        <f>+'CARGA DE DATOS'!A99</f>
        <v>97</v>
      </c>
    </row>
    <row r="99" spans="1:1" x14ac:dyDescent="0.25">
      <c r="A99" s="148">
        <f>+'CARGA DE DATOS'!A100</f>
        <v>98</v>
      </c>
    </row>
    <row r="100" spans="1:1" x14ac:dyDescent="0.25">
      <c r="A100" s="148">
        <f>+'CARGA DE DATOS'!A101</f>
        <v>99</v>
      </c>
    </row>
    <row r="101" spans="1:1" x14ac:dyDescent="0.25">
      <c r="A101" s="148">
        <f>+'CARGA DE DATOS'!A102</f>
        <v>100</v>
      </c>
    </row>
    <row r="102" spans="1:1" x14ac:dyDescent="0.25">
      <c r="A102" s="148">
        <f>+'CARGA DE DATOS'!A103</f>
        <v>101</v>
      </c>
    </row>
    <row r="103" spans="1:1" x14ac:dyDescent="0.25">
      <c r="A103" s="148">
        <f>+'CARGA DE DATOS'!A104</f>
        <v>102</v>
      </c>
    </row>
    <row r="104" spans="1:1" x14ac:dyDescent="0.25">
      <c r="A104" s="148">
        <f>+'CARGA DE DATOS'!A105</f>
        <v>103</v>
      </c>
    </row>
    <row r="105" spans="1:1" x14ac:dyDescent="0.25">
      <c r="A105" s="148">
        <f>+'CARGA DE DATOS'!A106</f>
        <v>104</v>
      </c>
    </row>
    <row r="106" spans="1:1" x14ac:dyDescent="0.25">
      <c r="A106" s="148">
        <f>+'CARGA DE DATOS'!A107</f>
        <v>105</v>
      </c>
    </row>
    <row r="107" spans="1:1" x14ac:dyDescent="0.25">
      <c r="A107" s="148">
        <f>+'CARGA DE DATOS'!A108</f>
        <v>106</v>
      </c>
    </row>
    <row r="108" spans="1:1" x14ac:dyDescent="0.25">
      <c r="A108" s="148">
        <f>+'CARGA DE DATOS'!A109</f>
        <v>107</v>
      </c>
    </row>
    <row r="109" spans="1:1" x14ac:dyDescent="0.25">
      <c r="A109" s="148">
        <f>+'CARGA DE DATOS'!A110</f>
        <v>108</v>
      </c>
    </row>
    <row r="110" spans="1:1" x14ac:dyDescent="0.25">
      <c r="A110" s="148">
        <f>+'CARGA DE DATOS'!A111</f>
        <v>109</v>
      </c>
    </row>
    <row r="111" spans="1:1" x14ac:dyDescent="0.25">
      <c r="A111" s="148">
        <f>+'CARGA DE DATOS'!A112</f>
        <v>110</v>
      </c>
    </row>
    <row r="112" spans="1:1" x14ac:dyDescent="0.25">
      <c r="A112" s="148">
        <f>+'CARGA DE DATOS'!A113</f>
        <v>111</v>
      </c>
    </row>
    <row r="113" spans="1:1" x14ac:dyDescent="0.25">
      <c r="A113" s="148">
        <f>+'CARGA DE DATOS'!A114</f>
        <v>112</v>
      </c>
    </row>
    <row r="114" spans="1:1" x14ac:dyDescent="0.25">
      <c r="A114" s="148">
        <f>+'CARGA DE DATOS'!A115</f>
        <v>113</v>
      </c>
    </row>
    <row r="115" spans="1:1" x14ac:dyDescent="0.25">
      <c r="A115" s="148">
        <f>+'CARGA DE DATOS'!A116</f>
        <v>114</v>
      </c>
    </row>
    <row r="116" spans="1:1" x14ac:dyDescent="0.25">
      <c r="A116" s="148">
        <f>+'CARGA DE DATOS'!A117</f>
        <v>115</v>
      </c>
    </row>
    <row r="117" spans="1:1" x14ac:dyDescent="0.25">
      <c r="A117" s="148">
        <f>+'CARGA DE DATOS'!A118</f>
        <v>116</v>
      </c>
    </row>
    <row r="118" spans="1:1" x14ac:dyDescent="0.25">
      <c r="A118" s="148">
        <f>+'CARGA DE DATOS'!A119</f>
        <v>117</v>
      </c>
    </row>
    <row r="119" spans="1:1" x14ac:dyDescent="0.25">
      <c r="A119" s="148">
        <f>+'CARGA DE DATOS'!A120</f>
        <v>118</v>
      </c>
    </row>
    <row r="120" spans="1:1" x14ac:dyDescent="0.25">
      <c r="A120" s="148">
        <f>+'CARGA DE DATOS'!A121</f>
        <v>119</v>
      </c>
    </row>
    <row r="121" spans="1:1" x14ac:dyDescent="0.25">
      <c r="A121" s="148">
        <f>+'CARGA DE DATOS'!A122</f>
        <v>120</v>
      </c>
    </row>
    <row r="122" spans="1:1" x14ac:dyDescent="0.25">
      <c r="A122" s="148">
        <f>+'CARGA DE DATOS'!A123</f>
        <v>121</v>
      </c>
    </row>
    <row r="123" spans="1:1" x14ac:dyDescent="0.25">
      <c r="A123" s="148">
        <f>+'CARGA DE DATOS'!A124</f>
        <v>122</v>
      </c>
    </row>
    <row r="124" spans="1:1" x14ac:dyDescent="0.25">
      <c r="A124" s="148">
        <f>+'CARGA DE DATOS'!A125</f>
        <v>123</v>
      </c>
    </row>
    <row r="125" spans="1:1" x14ac:dyDescent="0.25">
      <c r="A125" s="148">
        <f>+'CARGA DE DATOS'!A126</f>
        <v>124</v>
      </c>
    </row>
    <row r="126" spans="1:1" x14ac:dyDescent="0.25">
      <c r="A126" s="148">
        <f>+'CARGA DE DATOS'!A127</f>
        <v>125</v>
      </c>
    </row>
    <row r="127" spans="1:1" x14ac:dyDescent="0.25">
      <c r="A127" s="148">
        <f>+'CARGA DE DATOS'!A128</f>
        <v>126</v>
      </c>
    </row>
    <row r="128" spans="1:1" x14ac:dyDescent="0.25">
      <c r="A128" s="148">
        <f>+'CARGA DE DATOS'!A129</f>
        <v>127</v>
      </c>
    </row>
    <row r="129" spans="1:1" x14ac:dyDescent="0.25">
      <c r="A129" s="148">
        <f>+'CARGA DE DATOS'!A130</f>
        <v>128</v>
      </c>
    </row>
    <row r="130" spans="1:1" x14ac:dyDescent="0.25">
      <c r="A130" s="148">
        <f>+'CARGA DE DATOS'!A131</f>
        <v>129</v>
      </c>
    </row>
    <row r="131" spans="1:1" x14ac:dyDescent="0.25">
      <c r="A131" s="148">
        <f>+'CARGA DE DATOS'!A132</f>
        <v>130</v>
      </c>
    </row>
    <row r="132" spans="1:1" x14ac:dyDescent="0.25">
      <c r="A132" s="148">
        <f>+'CARGA DE DATOS'!A133</f>
        <v>131</v>
      </c>
    </row>
    <row r="133" spans="1:1" x14ac:dyDescent="0.25">
      <c r="A133" s="148">
        <f>+'CARGA DE DATOS'!A134</f>
        <v>132</v>
      </c>
    </row>
    <row r="134" spans="1:1" x14ac:dyDescent="0.25">
      <c r="A134" s="148">
        <f>+'CARGA DE DATOS'!A135</f>
        <v>133</v>
      </c>
    </row>
    <row r="135" spans="1:1" x14ac:dyDescent="0.25">
      <c r="A135" s="148">
        <f>+'CARGA DE DATOS'!A136</f>
        <v>134</v>
      </c>
    </row>
    <row r="136" spans="1:1" x14ac:dyDescent="0.25">
      <c r="A136" s="148">
        <f>+'CARGA DE DATOS'!A137</f>
        <v>135</v>
      </c>
    </row>
    <row r="137" spans="1:1" x14ac:dyDescent="0.25">
      <c r="A137" s="148">
        <f>+'CARGA DE DATOS'!A138</f>
        <v>136</v>
      </c>
    </row>
    <row r="138" spans="1:1" x14ac:dyDescent="0.25">
      <c r="A138" s="148">
        <f>+'CARGA DE DATOS'!A139</f>
        <v>137</v>
      </c>
    </row>
    <row r="139" spans="1:1" x14ac:dyDescent="0.25">
      <c r="A139" s="148">
        <f>+'CARGA DE DATOS'!A140</f>
        <v>138</v>
      </c>
    </row>
    <row r="140" spans="1:1" x14ac:dyDescent="0.25">
      <c r="A140" s="148">
        <f>+'CARGA DE DATOS'!A141</f>
        <v>139</v>
      </c>
    </row>
    <row r="141" spans="1:1" x14ac:dyDescent="0.25">
      <c r="A141" s="148">
        <f>+'CARGA DE DATOS'!A142</f>
        <v>140</v>
      </c>
    </row>
    <row r="142" spans="1:1" x14ac:dyDescent="0.25">
      <c r="A142" s="148">
        <f>+'CARGA DE DATOS'!A143</f>
        <v>141</v>
      </c>
    </row>
    <row r="143" spans="1:1" x14ac:dyDescent="0.25">
      <c r="A143" s="148">
        <f>+'CARGA DE DATOS'!A144</f>
        <v>142</v>
      </c>
    </row>
    <row r="144" spans="1:1" x14ac:dyDescent="0.25">
      <c r="A144" s="148">
        <f>+'CARGA DE DATOS'!A145</f>
        <v>143</v>
      </c>
    </row>
    <row r="145" spans="1:1" x14ac:dyDescent="0.25">
      <c r="A145" s="148">
        <f>+'CARGA DE DATOS'!A146</f>
        <v>144</v>
      </c>
    </row>
    <row r="146" spans="1:1" x14ac:dyDescent="0.25">
      <c r="A146" s="148">
        <f>+'CARGA DE DATOS'!A147</f>
        <v>145</v>
      </c>
    </row>
    <row r="147" spans="1:1" x14ac:dyDescent="0.25">
      <c r="A147" s="148">
        <f>+'CARGA DE DATOS'!A148</f>
        <v>146</v>
      </c>
    </row>
    <row r="148" spans="1:1" x14ac:dyDescent="0.25">
      <c r="A148" s="148">
        <f>+'CARGA DE DATOS'!A149</f>
        <v>147</v>
      </c>
    </row>
    <row r="149" spans="1:1" x14ac:dyDescent="0.25">
      <c r="A149" s="148">
        <f>+'CARGA DE DATOS'!A150</f>
        <v>148</v>
      </c>
    </row>
    <row r="150" spans="1:1" x14ac:dyDescent="0.25">
      <c r="A150" s="148">
        <f>+'CARGA DE DATOS'!A151</f>
        <v>149</v>
      </c>
    </row>
    <row r="151" spans="1:1" x14ac:dyDescent="0.25">
      <c r="A151" s="148">
        <f>+'CARGA DE DATOS'!A152</f>
        <v>150</v>
      </c>
    </row>
    <row r="152" spans="1:1" x14ac:dyDescent="0.25">
      <c r="A152" s="148">
        <f>+'CARGA DE DATOS'!A153</f>
        <v>151</v>
      </c>
    </row>
    <row r="153" spans="1:1" x14ac:dyDescent="0.25">
      <c r="A153" s="148">
        <f>+'CARGA DE DATOS'!A154</f>
        <v>152</v>
      </c>
    </row>
    <row r="154" spans="1:1" x14ac:dyDescent="0.25">
      <c r="A154" s="148">
        <f>+'CARGA DE DATOS'!A155</f>
        <v>153</v>
      </c>
    </row>
    <row r="155" spans="1:1" x14ac:dyDescent="0.25">
      <c r="A155" s="148">
        <f>+'CARGA DE DATOS'!A156</f>
        <v>154</v>
      </c>
    </row>
    <row r="156" spans="1:1" x14ac:dyDescent="0.25">
      <c r="A156" s="148">
        <f>+'CARGA DE DATOS'!A157</f>
        <v>155</v>
      </c>
    </row>
    <row r="157" spans="1:1" x14ac:dyDescent="0.25">
      <c r="A157" s="148">
        <f>+'CARGA DE DATOS'!A158</f>
        <v>156</v>
      </c>
    </row>
    <row r="158" spans="1:1" x14ac:dyDescent="0.25">
      <c r="A158" s="148">
        <f>+'CARGA DE DATOS'!A159</f>
        <v>157</v>
      </c>
    </row>
    <row r="159" spans="1:1" x14ac:dyDescent="0.25">
      <c r="A159" s="148">
        <f>+'CARGA DE DATOS'!A160</f>
        <v>158</v>
      </c>
    </row>
    <row r="160" spans="1:1" x14ac:dyDescent="0.25">
      <c r="A160" s="148">
        <f>+'CARGA DE DATOS'!A161</f>
        <v>159</v>
      </c>
    </row>
    <row r="161" spans="1:1" x14ac:dyDescent="0.25">
      <c r="A161" s="148">
        <f>+'CARGA DE DATOS'!A162</f>
        <v>160</v>
      </c>
    </row>
    <row r="162" spans="1:1" x14ac:dyDescent="0.25">
      <c r="A162" s="148">
        <f>+'CARGA DE DATOS'!A163</f>
        <v>161</v>
      </c>
    </row>
    <row r="163" spans="1:1" x14ac:dyDescent="0.25">
      <c r="A163" s="148">
        <f>+'CARGA DE DATOS'!A164</f>
        <v>162</v>
      </c>
    </row>
    <row r="164" spans="1:1" x14ac:dyDescent="0.25">
      <c r="A164" s="148">
        <f>+'CARGA DE DATOS'!A165</f>
        <v>163</v>
      </c>
    </row>
    <row r="165" spans="1:1" x14ac:dyDescent="0.25">
      <c r="A165" s="148">
        <f>+'CARGA DE DATOS'!A166</f>
        <v>164</v>
      </c>
    </row>
    <row r="166" spans="1:1" x14ac:dyDescent="0.25">
      <c r="A166" s="148">
        <f>+'CARGA DE DATOS'!A167</f>
        <v>165</v>
      </c>
    </row>
    <row r="167" spans="1:1" x14ac:dyDescent="0.25">
      <c r="A167" s="148">
        <f>+'CARGA DE DATOS'!A168</f>
        <v>166</v>
      </c>
    </row>
    <row r="168" spans="1:1" x14ac:dyDescent="0.25">
      <c r="A168" s="148"/>
    </row>
    <row r="169" spans="1:1" x14ac:dyDescent="0.25">
      <c r="A169" s="148"/>
    </row>
    <row r="170" spans="1:1" x14ac:dyDescent="0.25">
      <c r="A170" s="148"/>
    </row>
    <row r="171" spans="1:1" x14ac:dyDescent="0.25">
      <c r="A171" s="148"/>
    </row>
    <row r="172" spans="1:1" x14ac:dyDescent="0.25">
      <c r="A172" s="148"/>
    </row>
    <row r="173" spans="1:1" x14ac:dyDescent="0.25">
      <c r="A173" s="148"/>
    </row>
    <row r="174" spans="1:1" x14ac:dyDescent="0.25">
      <c r="A174" s="148"/>
    </row>
    <row r="175" spans="1:1" x14ac:dyDescent="0.25">
      <c r="A175" s="148"/>
    </row>
    <row r="176" spans="1:1" x14ac:dyDescent="0.25">
      <c r="A176" s="148"/>
    </row>
    <row r="177" spans="1:1" x14ac:dyDescent="0.25">
      <c r="A177" s="148"/>
    </row>
    <row r="178" spans="1:1" x14ac:dyDescent="0.25">
      <c r="A178" s="148"/>
    </row>
    <row r="179" spans="1:1" x14ac:dyDescent="0.25">
      <c r="A179" s="148"/>
    </row>
    <row r="180" spans="1:1" x14ac:dyDescent="0.25">
      <c r="A180" s="148"/>
    </row>
    <row r="181" spans="1:1" x14ac:dyDescent="0.25">
      <c r="A181" s="148"/>
    </row>
    <row r="182" spans="1:1" x14ac:dyDescent="0.25">
      <c r="A182" s="148"/>
    </row>
    <row r="183" spans="1:1" x14ac:dyDescent="0.25">
      <c r="A183" s="148"/>
    </row>
    <row r="184" spans="1:1" x14ac:dyDescent="0.25">
      <c r="A184" s="148"/>
    </row>
    <row r="185" spans="1:1" x14ac:dyDescent="0.25">
      <c r="A185" s="148"/>
    </row>
    <row r="186" spans="1:1" x14ac:dyDescent="0.25">
      <c r="A186" s="148"/>
    </row>
    <row r="187" spans="1:1" x14ac:dyDescent="0.25">
      <c r="A187" s="148"/>
    </row>
    <row r="188" spans="1:1" x14ac:dyDescent="0.25">
      <c r="A188" s="148"/>
    </row>
    <row r="189" spans="1:1" x14ac:dyDescent="0.25">
      <c r="A189" s="148"/>
    </row>
    <row r="190" spans="1:1" x14ac:dyDescent="0.25">
      <c r="A190" s="148"/>
    </row>
    <row r="191" spans="1:1" x14ac:dyDescent="0.25">
      <c r="A191" s="148"/>
    </row>
    <row r="192" spans="1:1" x14ac:dyDescent="0.25">
      <c r="A192" s="1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V23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O22" sqref="O22:AA23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46" max="48" width="11.42578125" style="38"/>
  </cols>
  <sheetData>
    <row r="1" spans="1:48" s="40" customFormat="1" ht="64.5" thickBot="1" x14ac:dyDescent="0.3">
      <c r="B1" s="87" t="s">
        <v>30</v>
      </c>
      <c r="C1" s="87" t="s">
        <v>9131</v>
      </c>
      <c r="D1" s="87" t="s">
        <v>9106</v>
      </c>
      <c r="G1" s="192" t="s">
        <v>9141</v>
      </c>
      <c r="J1" s="192" t="s">
        <v>9141</v>
      </c>
      <c r="O1" s="87">
        <v>2</v>
      </c>
      <c r="P1" s="87">
        <f>+O1+1</f>
        <v>3</v>
      </c>
      <c r="Q1" s="87">
        <f t="shared" ref="Q1:S1" si="0">+P1+1</f>
        <v>4</v>
      </c>
      <c r="R1" s="87">
        <f t="shared" si="0"/>
        <v>5</v>
      </c>
      <c r="S1" s="87">
        <f t="shared" si="0"/>
        <v>6</v>
      </c>
      <c r="T1" s="87">
        <f t="shared" ref="T1:U1" si="1">+S1+1</f>
        <v>7</v>
      </c>
      <c r="U1" s="87">
        <f t="shared" si="1"/>
        <v>8</v>
      </c>
      <c r="V1" s="87">
        <f t="shared" ref="V1" si="2">+U1+1</f>
        <v>9</v>
      </c>
      <c r="W1" s="204">
        <f>+V1+1</f>
        <v>10</v>
      </c>
      <c r="X1" s="204">
        <f>+W1+1</f>
        <v>11</v>
      </c>
      <c r="Y1" s="204">
        <f>+X1+1</f>
        <v>12</v>
      </c>
      <c r="Z1" s="204">
        <f>+Y1+1</f>
        <v>13</v>
      </c>
      <c r="AA1" s="204">
        <f>+Z1+1</f>
        <v>14</v>
      </c>
      <c r="AB1" s="38"/>
      <c r="AD1" s="179" t="s">
        <v>9141</v>
      </c>
      <c r="AE1" s="179" t="s">
        <v>9156</v>
      </c>
      <c r="AF1" s="179" t="s">
        <v>9157</v>
      </c>
      <c r="AG1" s="179" t="s">
        <v>9158</v>
      </c>
      <c r="AH1" s="179" t="s">
        <v>9159</v>
      </c>
      <c r="AI1" s="179" t="s">
        <v>9160</v>
      </c>
      <c r="AJ1" s="179" t="s">
        <v>9161</v>
      </c>
      <c r="AK1" s="179" t="s">
        <v>9162</v>
      </c>
      <c r="AL1" s="180" t="s">
        <v>9163</v>
      </c>
      <c r="AN1" s="165" t="s">
        <v>9141</v>
      </c>
      <c r="AO1" s="191" t="s">
        <v>9167</v>
      </c>
      <c r="AP1" s="191" t="s">
        <v>9168</v>
      </c>
      <c r="AS1" s="179" t="s">
        <v>9141</v>
      </c>
      <c r="AT1" s="206" t="s">
        <v>9171</v>
      </c>
      <c r="AU1" s="206" t="s">
        <v>9174</v>
      </c>
      <c r="AV1" s="206" t="s">
        <v>9176</v>
      </c>
    </row>
    <row r="2" spans="1:48" ht="15.75" thickBot="1" x14ac:dyDescent="0.3">
      <c r="A2" s="164" t="s">
        <v>9083</v>
      </c>
      <c r="B2" s="156" t="s">
        <v>9116</v>
      </c>
      <c r="C2" s="156" t="s">
        <v>9116</v>
      </c>
      <c r="D2" s="156" t="s">
        <v>9116</v>
      </c>
      <c r="G2" s="166" t="s">
        <v>9133</v>
      </c>
      <c r="H2" t="str">
        <f>+INDEX($A:$D,MATCH(G2,$D:$D,0),1)</f>
        <v>lectura_E_act_R</v>
      </c>
      <c r="J2" s="171" t="s">
        <v>9116</v>
      </c>
      <c r="K2" s="172" t="s">
        <v>9146</v>
      </c>
      <c r="L2" t="str">
        <f>+INDEX($A:$D,MATCH(J2,$C:$C,0),1)</f>
        <v>lectura_Pot_P</v>
      </c>
      <c r="N2" s="164" t="s">
        <v>9083</v>
      </c>
      <c r="O2" s="156">
        <f t="shared" ref="O2:V4" si="3">+VLOOKUP($B2,$AD$3:$AL$9,O$1,FALSE)</f>
        <v>150</v>
      </c>
      <c r="P2" s="156">
        <f t="shared" si="3"/>
        <v>150</v>
      </c>
      <c r="Q2" s="156">
        <f t="shared" si="3"/>
        <v>150</v>
      </c>
      <c r="R2" s="156">
        <f t="shared" si="3"/>
        <v>150</v>
      </c>
      <c r="S2" s="156">
        <f t="shared" si="3"/>
        <v>1000</v>
      </c>
      <c r="T2" s="156">
        <f t="shared" si="3"/>
        <v>1500</v>
      </c>
      <c r="U2" s="156">
        <f t="shared" si="3"/>
        <v>150</v>
      </c>
      <c r="V2" s="156">
        <f t="shared" si="3"/>
        <v>1500</v>
      </c>
      <c r="W2" s="205">
        <f>+VLOOKUP($D2,$AN$3:$AU$18,2,FALSE)</f>
        <v>100</v>
      </c>
      <c r="X2" s="205">
        <f>+VLOOKUP($D2,$AN$3:$AU$18,3,FALSE)</f>
        <v>100</v>
      </c>
      <c r="Y2" s="205">
        <f>+VLOOKUP($C2,$AS$3:$AT$17,2,FALSE)</f>
        <v>100</v>
      </c>
      <c r="Z2" s="205">
        <f>+VLOOKUP($C2,$AS$3:$AX$17,3,FALSE)</f>
        <v>20</v>
      </c>
      <c r="AA2" s="205">
        <f>+VLOOKUP($C2,$AS$3:$AX$17,3,FALSE)</f>
        <v>20</v>
      </c>
      <c r="AE2" s="179">
        <f t="shared" ref="AE2:AL2" si="4">+O1</f>
        <v>2</v>
      </c>
      <c r="AF2" s="179">
        <f t="shared" si="4"/>
        <v>3</v>
      </c>
      <c r="AG2" s="179">
        <f t="shared" si="4"/>
        <v>4</v>
      </c>
      <c r="AH2" s="179">
        <f t="shared" si="4"/>
        <v>5</v>
      </c>
      <c r="AI2" s="179">
        <f t="shared" si="4"/>
        <v>6</v>
      </c>
      <c r="AJ2" s="179">
        <f t="shared" si="4"/>
        <v>7</v>
      </c>
      <c r="AK2" s="179">
        <f t="shared" si="4"/>
        <v>8</v>
      </c>
      <c r="AL2" s="180">
        <f t="shared" si="4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4" t="s">
        <v>9084</v>
      </c>
      <c r="B3" s="156" t="s">
        <v>9117</v>
      </c>
      <c r="C3" s="156" t="s">
        <v>9117</v>
      </c>
      <c r="D3" s="156" t="s">
        <v>9117</v>
      </c>
      <c r="G3" s="167" t="s">
        <v>9117</v>
      </c>
      <c r="H3" t="str">
        <f>+INDEX($A:$D,MATCH(G3,$D:$D,0),1)</f>
        <v>lectura_Pot_R</v>
      </c>
      <c r="J3" s="173" t="s">
        <v>9117</v>
      </c>
      <c r="K3" s="174" t="s">
        <v>9146</v>
      </c>
      <c r="L3" t="str">
        <f t="shared" ref="L3:L16" si="5">+INDEX($A:$D,MATCH(J3,$C:$C,0),1)</f>
        <v>lectura_Pot_R</v>
      </c>
      <c r="N3" s="164" t="s">
        <v>9084</v>
      </c>
      <c r="O3" s="156">
        <f t="shared" si="3"/>
        <v>150</v>
      </c>
      <c r="P3" s="156">
        <f t="shared" si="3"/>
        <v>300</v>
      </c>
      <c r="Q3" s="156">
        <f t="shared" si="3"/>
        <v>150</v>
      </c>
      <c r="R3" s="156">
        <f t="shared" si="3"/>
        <v>300</v>
      </c>
      <c r="S3" s="156">
        <f t="shared" si="3"/>
        <v>150</v>
      </c>
      <c r="T3" s="156">
        <f t="shared" si="3"/>
        <v>1550</v>
      </c>
      <c r="U3" s="156">
        <f t="shared" si="3"/>
        <v>300</v>
      </c>
      <c r="V3" s="156">
        <f t="shared" si="3"/>
        <v>300</v>
      </c>
      <c r="W3" s="205">
        <f t="shared" ref="W3:W16" si="6">+VLOOKUP($D3,$AN$3:$AU$18,2,FALSE)</f>
        <v>100</v>
      </c>
      <c r="X3" s="205">
        <f t="shared" ref="X3:X16" si="7">+VLOOKUP($D3,$AN$3:$AU$18,3,FALSE)</f>
        <v>100</v>
      </c>
      <c r="Y3" s="205">
        <f t="shared" ref="Y3:Y20" si="8">+VLOOKUP($C3,$AS$3:$AT$17,2,FALSE)</f>
        <v>150</v>
      </c>
      <c r="Z3" s="205">
        <f>+VLOOKUP($C3,$AS$3:$AX$17,3,FALSE)</f>
        <v>20</v>
      </c>
      <c r="AA3" s="205">
        <f>+VLOOKUP($C3,$AS$3:$AX$17,3,FALSE)</f>
        <v>20</v>
      </c>
      <c r="AD3" s="173" t="s">
        <v>9133</v>
      </c>
      <c r="AE3" s="181">
        <v>2000</v>
      </c>
      <c r="AF3" s="181">
        <v>2000</v>
      </c>
      <c r="AG3" s="181">
        <v>2000</v>
      </c>
      <c r="AH3" s="181">
        <v>2000</v>
      </c>
      <c r="AI3" s="181">
        <v>2000</v>
      </c>
      <c r="AJ3" s="181">
        <v>2000</v>
      </c>
      <c r="AK3" s="181">
        <v>2000</v>
      </c>
      <c r="AL3" s="182">
        <v>2000</v>
      </c>
      <c r="AN3" s="166" t="s">
        <v>9133</v>
      </c>
      <c r="AO3" s="202">
        <v>2000</v>
      </c>
      <c r="AP3" s="202">
        <v>2000</v>
      </c>
      <c r="AS3" s="173" t="s">
        <v>9116</v>
      </c>
      <c r="AT3" s="193">
        <v>100</v>
      </c>
      <c r="AU3" s="220">
        <v>20</v>
      </c>
      <c r="AV3" s="220">
        <v>1350</v>
      </c>
    </row>
    <row r="4" spans="1:48" x14ac:dyDescent="0.25">
      <c r="A4" s="164" t="s">
        <v>9085</v>
      </c>
      <c r="B4" s="156" t="s">
        <v>9132</v>
      </c>
      <c r="C4" s="156"/>
      <c r="D4" s="156" t="s">
        <v>9132</v>
      </c>
      <c r="G4" s="166" t="s">
        <v>9134</v>
      </c>
      <c r="H4" t="str">
        <f t="shared" ref="H4:H17" si="9">+INDEX($A:$D,MATCH(G4,$D:$D,0),1)</f>
        <v>lectura_E_act_P</v>
      </c>
      <c r="J4" s="173" t="s">
        <v>9130</v>
      </c>
      <c r="K4" s="174" t="s">
        <v>9146</v>
      </c>
      <c r="L4" t="str">
        <f t="shared" si="5"/>
        <v>lectura_E_react</v>
      </c>
      <c r="N4" s="164" t="s">
        <v>9085</v>
      </c>
      <c r="O4" s="156">
        <f t="shared" si="3"/>
        <v>150</v>
      </c>
      <c r="P4" s="156">
        <f t="shared" si="3"/>
        <v>150</v>
      </c>
      <c r="Q4" s="156">
        <f t="shared" si="3"/>
        <v>150</v>
      </c>
      <c r="R4" s="156">
        <f t="shared" si="3"/>
        <v>350</v>
      </c>
      <c r="S4" s="156">
        <f t="shared" si="3"/>
        <v>350</v>
      </c>
      <c r="T4" s="156">
        <f t="shared" si="3"/>
        <v>1550</v>
      </c>
      <c r="U4" s="156">
        <f t="shared" si="3"/>
        <v>350</v>
      </c>
      <c r="V4" s="156">
        <f t="shared" si="3"/>
        <v>350</v>
      </c>
      <c r="W4" s="205">
        <f t="shared" si="6"/>
        <v>100</v>
      </c>
      <c r="X4" s="205">
        <f t="shared" si="7"/>
        <v>100</v>
      </c>
      <c r="Y4" s="205"/>
      <c r="Z4" s="205"/>
      <c r="AA4" s="205"/>
      <c r="AD4" s="183" t="s">
        <v>9117</v>
      </c>
      <c r="AE4" s="184">
        <v>150</v>
      </c>
      <c r="AF4" s="185">
        <v>300</v>
      </c>
      <c r="AG4" s="185">
        <v>150</v>
      </c>
      <c r="AH4" s="185">
        <v>300</v>
      </c>
      <c r="AI4" s="181">
        <v>150</v>
      </c>
      <c r="AJ4" s="181">
        <v>1550</v>
      </c>
      <c r="AK4" s="181">
        <v>300</v>
      </c>
      <c r="AL4" s="182">
        <v>300</v>
      </c>
      <c r="AN4" s="167" t="s">
        <v>9117</v>
      </c>
      <c r="AO4" s="202">
        <v>100</v>
      </c>
      <c r="AP4" s="202">
        <v>100</v>
      </c>
      <c r="AS4" s="173" t="s">
        <v>9117</v>
      </c>
      <c r="AT4" s="207">
        <v>150</v>
      </c>
      <c r="AU4" s="220">
        <v>20</v>
      </c>
      <c r="AV4" s="220">
        <v>1350</v>
      </c>
    </row>
    <row r="5" spans="1:48" x14ac:dyDescent="0.25">
      <c r="A5" s="87" t="s">
        <v>9086</v>
      </c>
      <c r="B5" s="156"/>
      <c r="C5" s="156"/>
      <c r="D5" s="156" t="s">
        <v>9136</v>
      </c>
      <c r="G5" s="166" t="s">
        <v>9116</v>
      </c>
      <c r="H5" t="str">
        <f t="shared" si="9"/>
        <v>lectura_Pot_P</v>
      </c>
      <c r="J5" s="173" t="s">
        <v>9118</v>
      </c>
      <c r="K5" s="174" t="s">
        <v>9146</v>
      </c>
      <c r="L5" t="str">
        <f t="shared" si="5"/>
        <v>lectura_E_act_R</v>
      </c>
      <c r="N5" s="87" t="s">
        <v>9086</v>
      </c>
      <c r="O5" s="156"/>
      <c r="P5" s="156"/>
      <c r="Q5" s="156"/>
      <c r="R5" s="156"/>
      <c r="S5" s="156"/>
      <c r="T5" s="156"/>
      <c r="U5" s="156"/>
      <c r="V5" s="156"/>
      <c r="W5" s="205">
        <f t="shared" si="6"/>
        <v>115</v>
      </c>
      <c r="X5" s="205">
        <f t="shared" si="7"/>
        <v>115</v>
      </c>
      <c r="Y5" s="205"/>
      <c r="Z5" s="205"/>
      <c r="AA5" s="205"/>
      <c r="AD5" s="173" t="s">
        <v>9134</v>
      </c>
      <c r="AE5" s="181">
        <v>2500</v>
      </c>
      <c r="AF5" s="181">
        <v>2500</v>
      </c>
      <c r="AG5" s="181">
        <v>2500</v>
      </c>
      <c r="AH5" s="181">
        <v>2500</v>
      </c>
      <c r="AI5" s="181">
        <v>2500</v>
      </c>
      <c r="AJ5" s="181">
        <v>2500</v>
      </c>
      <c r="AK5" s="181">
        <v>2500</v>
      </c>
      <c r="AL5" s="182">
        <v>2500</v>
      </c>
      <c r="AN5" s="166" t="s">
        <v>9134</v>
      </c>
      <c r="AO5" s="202">
        <v>2500</v>
      </c>
      <c r="AP5" s="202">
        <v>2500</v>
      </c>
      <c r="AS5" s="173" t="s">
        <v>9130</v>
      </c>
      <c r="AT5" s="193">
        <v>2500</v>
      </c>
      <c r="AU5" s="193">
        <v>2500</v>
      </c>
      <c r="AV5" s="193">
        <v>2500</v>
      </c>
    </row>
    <row r="6" spans="1:48" x14ac:dyDescent="0.25">
      <c r="A6" s="87" t="s">
        <v>9087</v>
      </c>
      <c r="B6" s="156"/>
      <c r="C6" s="156"/>
      <c r="D6" s="156" t="s">
        <v>9137</v>
      </c>
      <c r="G6" s="166" t="s">
        <v>9135</v>
      </c>
      <c r="H6" t="str">
        <f t="shared" si="9"/>
        <v>lectura_E_act_V</v>
      </c>
      <c r="J6" s="173" t="s">
        <v>9119</v>
      </c>
      <c r="K6" s="174" t="s">
        <v>9146</v>
      </c>
      <c r="L6" t="str">
        <f t="shared" si="5"/>
        <v>lectura_E_act_P</v>
      </c>
      <c r="N6" s="87" t="s">
        <v>9087</v>
      </c>
      <c r="O6" s="156"/>
      <c r="P6" s="156"/>
      <c r="Q6" s="156"/>
      <c r="R6" s="156"/>
      <c r="S6" s="156"/>
      <c r="T6" s="156"/>
      <c r="U6" s="156"/>
      <c r="V6" s="156"/>
      <c r="W6" s="205">
        <f t="shared" si="6"/>
        <v>110</v>
      </c>
      <c r="X6" s="205">
        <f t="shared" si="7"/>
        <v>110</v>
      </c>
      <c r="Y6" s="205"/>
      <c r="Z6" s="205"/>
      <c r="AA6" s="205"/>
      <c r="AD6" s="173" t="s">
        <v>9116</v>
      </c>
      <c r="AE6" s="181">
        <v>150</v>
      </c>
      <c r="AF6" s="181">
        <v>150</v>
      </c>
      <c r="AG6" s="181">
        <v>150</v>
      </c>
      <c r="AH6" s="181">
        <v>150</v>
      </c>
      <c r="AI6" s="185">
        <v>1000</v>
      </c>
      <c r="AJ6" s="185">
        <v>1500</v>
      </c>
      <c r="AK6" s="185">
        <v>150</v>
      </c>
      <c r="AL6" s="186">
        <v>1500</v>
      </c>
      <c r="AN6" s="166" t="s">
        <v>9116</v>
      </c>
      <c r="AO6" s="202">
        <v>100</v>
      </c>
      <c r="AP6" s="202">
        <v>100</v>
      </c>
      <c r="AS6" s="173" t="s">
        <v>9118</v>
      </c>
      <c r="AT6" s="193">
        <v>150</v>
      </c>
      <c r="AU6" s="193">
        <v>150</v>
      </c>
      <c r="AV6" s="193">
        <v>150</v>
      </c>
    </row>
    <row r="7" spans="1:48" x14ac:dyDescent="0.25">
      <c r="A7" s="87" t="s">
        <v>9088</v>
      </c>
      <c r="B7" s="156"/>
      <c r="C7" s="156"/>
      <c r="D7" s="156" t="s">
        <v>9138</v>
      </c>
      <c r="G7" s="167" t="s">
        <v>9132</v>
      </c>
      <c r="H7" t="str">
        <f t="shared" si="9"/>
        <v>lectura_Pot_V</v>
      </c>
      <c r="J7" s="173" t="s">
        <v>9120</v>
      </c>
      <c r="K7" s="174" t="s">
        <v>9146</v>
      </c>
      <c r="L7" t="str">
        <f t="shared" si="5"/>
        <v>lectura_E_act_V</v>
      </c>
      <c r="N7" s="87" t="s">
        <v>9088</v>
      </c>
      <c r="O7" s="156"/>
      <c r="P7" s="156"/>
      <c r="Q7" s="156"/>
      <c r="R7" s="156"/>
      <c r="S7" s="156"/>
      <c r="T7" s="156"/>
      <c r="U7" s="156"/>
      <c r="V7" s="156"/>
      <c r="W7" s="205">
        <f t="shared" si="6"/>
        <v>105</v>
      </c>
      <c r="X7" s="205">
        <f t="shared" si="7"/>
        <v>105</v>
      </c>
      <c r="Y7" s="205"/>
      <c r="Z7" s="205"/>
      <c r="AA7" s="205"/>
      <c r="AD7" s="173" t="s">
        <v>9135</v>
      </c>
      <c r="AE7" s="181">
        <v>3000</v>
      </c>
      <c r="AF7" s="181">
        <v>3000</v>
      </c>
      <c r="AG7" s="181">
        <v>3000</v>
      </c>
      <c r="AH7" s="181">
        <v>3000</v>
      </c>
      <c r="AI7" s="181">
        <v>3000</v>
      </c>
      <c r="AJ7" s="181">
        <v>3000</v>
      </c>
      <c r="AK7" s="181">
        <v>3000</v>
      </c>
      <c r="AL7" s="182">
        <v>3000</v>
      </c>
      <c r="AN7" s="166" t="s">
        <v>9135</v>
      </c>
      <c r="AO7" s="202">
        <v>3000</v>
      </c>
      <c r="AP7" s="202">
        <v>3000</v>
      </c>
      <c r="AS7" s="173" t="s">
        <v>9119</v>
      </c>
      <c r="AT7" s="193">
        <v>151</v>
      </c>
      <c r="AU7" s="193">
        <v>151</v>
      </c>
      <c r="AV7" s="193">
        <v>151</v>
      </c>
    </row>
    <row r="8" spans="1:48" x14ac:dyDescent="0.25">
      <c r="A8" s="164" t="s">
        <v>9089</v>
      </c>
      <c r="B8" s="156" t="s">
        <v>9134</v>
      </c>
      <c r="C8" s="156" t="s">
        <v>9119</v>
      </c>
      <c r="D8" s="156" t="s">
        <v>9134</v>
      </c>
      <c r="E8" s="156" t="s">
        <v>9118</v>
      </c>
      <c r="G8" s="169" t="s">
        <v>9130</v>
      </c>
      <c r="H8" s="170" t="str">
        <f t="shared" si="9"/>
        <v>lectura_E_react</v>
      </c>
      <c r="J8" s="173" t="s">
        <v>9121</v>
      </c>
      <c r="K8" s="174" t="s">
        <v>9146</v>
      </c>
      <c r="L8" t="str">
        <f t="shared" si="5"/>
        <v>lectura_E_act_R2</v>
      </c>
      <c r="N8" s="164" t="s">
        <v>9089</v>
      </c>
      <c r="O8" s="156">
        <f t="shared" ref="O8:V10" si="10">+VLOOKUP($B8,$AD$3:$AL$9,O$1,FALSE)</f>
        <v>2500</v>
      </c>
      <c r="P8" s="156">
        <f t="shared" si="10"/>
        <v>2500</v>
      </c>
      <c r="Q8" s="156">
        <f t="shared" si="10"/>
        <v>2500</v>
      </c>
      <c r="R8" s="156">
        <f t="shared" si="10"/>
        <v>2500</v>
      </c>
      <c r="S8" s="156">
        <f t="shared" si="10"/>
        <v>2500</v>
      </c>
      <c r="T8" s="156">
        <f t="shared" si="10"/>
        <v>2500</v>
      </c>
      <c r="U8" s="156">
        <f t="shared" si="10"/>
        <v>2500</v>
      </c>
      <c r="V8" s="156">
        <f t="shared" si="10"/>
        <v>2500</v>
      </c>
      <c r="W8" s="205">
        <f t="shared" si="6"/>
        <v>2500</v>
      </c>
      <c r="X8" s="205">
        <f t="shared" si="7"/>
        <v>2500</v>
      </c>
      <c r="Y8" s="205">
        <f t="shared" si="8"/>
        <v>151</v>
      </c>
      <c r="Z8" s="205">
        <f t="shared" ref="Z8:AA20" si="11">+VLOOKUP($C8,$AS$3:$AX$17,3,FALSE)</f>
        <v>151</v>
      </c>
      <c r="AA8" s="205">
        <f t="shared" si="11"/>
        <v>151</v>
      </c>
      <c r="AD8" s="183" t="s">
        <v>9132</v>
      </c>
      <c r="AE8" s="184">
        <v>150</v>
      </c>
      <c r="AF8" s="181">
        <v>150</v>
      </c>
      <c r="AG8" s="181">
        <v>150</v>
      </c>
      <c r="AH8" s="185">
        <v>350</v>
      </c>
      <c r="AI8" s="181">
        <v>350</v>
      </c>
      <c r="AJ8" s="181">
        <v>1550</v>
      </c>
      <c r="AK8" s="181">
        <v>350</v>
      </c>
      <c r="AL8" s="182">
        <v>350</v>
      </c>
      <c r="AN8" s="167" t="s">
        <v>9132</v>
      </c>
      <c r="AO8" s="202">
        <v>100</v>
      </c>
      <c r="AP8" s="202">
        <v>100</v>
      </c>
      <c r="AS8" s="173" t="s">
        <v>9120</v>
      </c>
      <c r="AT8" s="193">
        <v>152</v>
      </c>
      <c r="AU8" s="193">
        <v>152</v>
      </c>
      <c r="AV8" s="193">
        <v>152</v>
      </c>
    </row>
    <row r="9" spans="1:48" ht="15.75" thickBot="1" x14ac:dyDescent="0.3">
      <c r="A9" s="164" t="s">
        <v>9090</v>
      </c>
      <c r="B9" s="156" t="s">
        <v>9133</v>
      </c>
      <c r="C9" s="156" t="s">
        <v>9118</v>
      </c>
      <c r="D9" s="156" t="s">
        <v>9133</v>
      </c>
      <c r="G9" s="166" t="s">
        <v>9142</v>
      </c>
      <c r="H9" t="str">
        <f t="shared" si="9"/>
        <v>lectura_E_act_R2</v>
      </c>
      <c r="J9" s="173" t="s">
        <v>9122</v>
      </c>
      <c r="K9" s="174" t="s">
        <v>9146</v>
      </c>
      <c r="L9" t="str">
        <f t="shared" si="5"/>
        <v>lectura_E_act_P2</v>
      </c>
      <c r="N9" s="164" t="s">
        <v>9090</v>
      </c>
      <c r="O9" s="156">
        <f t="shared" si="10"/>
        <v>2000</v>
      </c>
      <c r="P9" s="156">
        <f t="shared" si="10"/>
        <v>2000</v>
      </c>
      <c r="Q9" s="156">
        <f t="shared" si="10"/>
        <v>2000</v>
      </c>
      <c r="R9" s="156">
        <f t="shared" si="10"/>
        <v>2000</v>
      </c>
      <c r="S9" s="156">
        <f t="shared" si="10"/>
        <v>2000</v>
      </c>
      <c r="T9" s="156">
        <f t="shared" si="10"/>
        <v>2000</v>
      </c>
      <c r="U9" s="156">
        <f t="shared" si="10"/>
        <v>2000</v>
      </c>
      <c r="V9" s="156">
        <f t="shared" si="10"/>
        <v>2000</v>
      </c>
      <c r="W9" s="205">
        <f t="shared" si="6"/>
        <v>2000</v>
      </c>
      <c r="X9" s="205">
        <f t="shared" si="7"/>
        <v>2000</v>
      </c>
      <c r="Y9" s="205">
        <f t="shared" si="8"/>
        <v>150</v>
      </c>
      <c r="Z9" s="205">
        <f t="shared" si="11"/>
        <v>150</v>
      </c>
      <c r="AA9" s="205">
        <f t="shared" si="11"/>
        <v>150</v>
      </c>
      <c r="AD9" s="187" t="s">
        <v>9130</v>
      </c>
      <c r="AE9" s="188">
        <v>5000</v>
      </c>
      <c r="AF9" s="188">
        <v>5000</v>
      </c>
      <c r="AG9" s="189">
        <v>15000</v>
      </c>
      <c r="AH9" s="189">
        <v>2460</v>
      </c>
      <c r="AI9" s="189">
        <v>7500</v>
      </c>
      <c r="AJ9" s="189">
        <v>7500</v>
      </c>
      <c r="AK9" s="189">
        <v>500</v>
      </c>
      <c r="AL9" s="190">
        <v>6500</v>
      </c>
      <c r="AN9" s="166" t="s">
        <v>9130</v>
      </c>
      <c r="AO9" s="202">
        <v>3000</v>
      </c>
      <c r="AP9" s="202">
        <v>3000</v>
      </c>
      <c r="AS9" s="173" t="s">
        <v>9121</v>
      </c>
      <c r="AT9" s="193">
        <v>153</v>
      </c>
      <c r="AU9" s="193">
        <v>153</v>
      </c>
      <c r="AV9" s="193">
        <v>153</v>
      </c>
    </row>
    <row r="10" spans="1:48" x14ac:dyDescent="0.25">
      <c r="A10" s="164" t="s">
        <v>9091</v>
      </c>
      <c r="B10" s="156" t="s">
        <v>9135</v>
      </c>
      <c r="C10" s="156" t="s">
        <v>9120</v>
      </c>
      <c r="D10" s="156" t="s">
        <v>9135</v>
      </c>
      <c r="G10" s="167" t="s">
        <v>9137</v>
      </c>
      <c r="H10" t="str">
        <f t="shared" si="9"/>
        <v>lectura_Pot_R2</v>
      </c>
      <c r="J10" s="173" t="s">
        <v>9123</v>
      </c>
      <c r="K10" s="174" t="s">
        <v>9146</v>
      </c>
      <c r="L10" t="str">
        <f t="shared" si="5"/>
        <v>lectura_E_act_V2</v>
      </c>
      <c r="N10" s="164" t="s">
        <v>9091</v>
      </c>
      <c r="O10" s="156">
        <f t="shared" si="10"/>
        <v>3000</v>
      </c>
      <c r="P10" s="156">
        <f t="shared" si="10"/>
        <v>3000</v>
      </c>
      <c r="Q10" s="156">
        <f t="shared" si="10"/>
        <v>3000</v>
      </c>
      <c r="R10" s="156">
        <f t="shared" si="10"/>
        <v>3000</v>
      </c>
      <c r="S10" s="156">
        <f t="shared" si="10"/>
        <v>3000</v>
      </c>
      <c r="T10" s="156">
        <f t="shared" si="10"/>
        <v>3000</v>
      </c>
      <c r="U10" s="156">
        <f t="shared" si="10"/>
        <v>3000</v>
      </c>
      <c r="V10" s="156">
        <f t="shared" si="10"/>
        <v>3000</v>
      </c>
      <c r="W10" s="205">
        <f t="shared" si="6"/>
        <v>3000</v>
      </c>
      <c r="X10" s="205">
        <f t="shared" si="7"/>
        <v>3000</v>
      </c>
      <c r="Y10" s="205">
        <f t="shared" si="8"/>
        <v>152</v>
      </c>
      <c r="Z10" s="205">
        <f t="shared" si="11"/>
        <v>152</v>
      </c>
      <c r="AA10" s="205">
        <f t="shared" si="11"/>
        <v>152</v>
      </c>
      <c r="AD10" s="198" t="s">
        <v>9165</v>
      </c>
      <c r="AE10" s="193">
        <v>50</v>
      </c>
      <c r="AF10" s="181">
        <v>100</v>
      </c>
      <c r="AG10" s="181">
        <v>100</v>
      </c>
      <c r="AH10" s="181">
        <v>100</v>
      </c>
      <c r="AI10" s="181">
        <v>100</v>
      </c>
      <c r="AJ10" s="181">
        <v>50</v>
      </c>
      <c r="AK10" s="181">
        <v>50</v>
      </c>
      <c r="AL10" s="194">
        <v>1200</v>
      </c>
      <c r="AN10" s="166" t="s">
        <v>9142</v>
      </c>
      <c r="AO10" s="202">
        <v>200</v>
      </c>
      <c r="AP10" s="202">
        <v>200</v>
      </c>
      <c r="AS10" s="173" t="s">
        <v>9122</v>
      </c>
      <c r="AT10" s="193">
        <v>154</v>
      </c>
      <c r="AU10" s="193">
        <v>154</v>
      </c>
      <c r="AV10" s="193">
        <v>154</v>
      </c>
    </row>
    <row r="11" spans="1:48" ht="15.75" thickBot="1" x14ac:dyDescent="0.3">
      <c r="A11" s="87" t="s">
        <v>9107</v>
      </c>
      <c r="B11" s="156"/>
      <c r="C11" s="156" t="s">
        <v>9122</v>
      </c>
      <c r="D11" s="156" t="s">
        <v>9139</v>
      </c>
      <c r="G11" s="166" t="s">
        <v>9139</v>
      </c>
      <c r="H11" t="str">
        <f t="shared" si="9"/>
        <v>lectura_E_act_P2</v>
      </c>
      <c r="J11" s="173" t="s">
        <v>9124</v>
      </c>
      <c r="K11" s="174" t="s">
        <v>9146</v>
      </c>
      <c r="L11" t="str">
        <f t="shared" si="5"/>
        <v>lectura_E_act_R3</v>
      </c>
      <c r="N11" s="87" t="s">
        <v>9107</v>
      </c>
      <c r="O11" s="156"/>
      <c r="P11" s="156"/>
      <c r="Q11" s="156"/>
      <c r="R11" s="156"/>
      <c r="S11" s="156"/>
      <c r="T11" s="156"/>
      <c r="U11" s="156"/>
      <c r="V11" s="156"/>
      <c r="W11" s="205">
        <f t="shared" si="6"/>
        <v>250</v>
      </c>
      <c r="X11" s="205">
        <f t="shared" si="7"/>
        <v>250</v>
      </c>
      <c r="Y11" s="205">
        <f t="shared" si="8"/>
        <v>154</v>
      </c>
      <c r="Z11" s="205">
        <f t="shared" si="11"/>
        <v>154</v>
      </c>
      <c r="AA11" s="205">
        <f t="shared" si="11"/>
        <v>154</v>
      </c>
      <c r="AD11" s="199" t="s">
        <v>9166</v>
      </c>
      <c r="AE11" s="195">
        <v>100</v>
      </c>
      <c r="AF11" s="188">
        <v>200</v>
      </c>
      <c r="AG11" s="196">
        <v>300</v>
      </c>
      <c r="AH11" s="188">
        <v>300</v>
      </c>
      <c r="AI11" s="196">
        <v>350</v>
      </c>
      <c r="AJ11" s="196">
        <v>50</v>
      </c>
      <c r="AK11" s="196">
        <v>1000</v>
      </c>
      <c r="AL11" s="197">
        <v>50</v>
      </c>
      <c r="AN11" s="167" t="s">
        <v>9137</v>
      </c>
      <c r="AO11" s="202">
        <v>110</v>
      </c>
      <c r="AP11" s="202">
        <v>110</v>
      </c>
      <c r="AS11" s="173" t="s">
        <v>9123</v>
      </c>
      <c r="AT11" s="193">
        <v>155</v>
      </c>
      <c r="AU11" s="193">
        <v>155</v>
      </c>
      <c r="AV11" s="193">
        <v>155</v>
      </c>
    </row>
    <row r="12" spans="1:48" x14ac:dyDescent="0.25">
      <c r="A12" s="87" t="s">
        <v>9108</v>
      </c>
      <c r="B12" s="156"/>
      <c r="C12" s="156" t="s">
        <v>9121</v>
      </c>
      <c r="D12" s="156" t="s">
        <v>9142</v>
      </c>
      <c r="G12" s="166" t="s">
        <v>9136</v>
      </c>
      <c r="H12" t="str">
        <f t="shared" si="9"/>
        <v>lectura_Pot_P2</v>
      </c>
      <c r="J12" s="173" t="s">
        <v>9125</v>
      </c>
      <c r="K12" s="174" t="s">
        <v>9146</v>
      </c>
      <c r="L12" t="str">
        <f t="shared" si="5"/>
        <v>lectura_E_act_P3</v>
      </c>
      <c r="N12" s="87" t="s">
        <v>9108</v>
      </c>
      <c r="O12" s="156"/>
      <c r="P12" s="156"/>
      <c r="Q12" s="156"/>
      <c r="R12" s="156"/>
      <c r="S12" s="156"/>
      <c r="T12" s="156"/>
      <c r="U12" s="156"/>
      <c r="V12" s="156"/>
      <c r="W12" s="205">
        <f t="shared" si="6"/>
        <v>200</v>
      </c>
      <c r="X12" s="205">
        <f t="shared" si="7"/>
        <v>200</v>
      </c>
      <c r="Y12" s="205">
        <f t="shared" si="8"/>
        <v>153</v>
      </c>
      <c r="Z12" s="205">
        <f t="shared" si="11"/>
        <v>153</v>
      </c>
      <c r="AA12" s="205">
        <f t="shared" si="11"/>
        <v>153</v>
      </c>
      <c r="AN12" s="166" t="s">
        <v>9139</v>
      </c>
      <c r="AO12" s="202">
        <v>250</v>
      </c>
      <c r="AP12" s="202">
        <v>250</v>
      </c>
      <c r="AS12" s="173" t="s">
        <v>9124</v>
      </c>
      <c r="AT12" s="193">
        <v>156</v>
      </c>
      <c r="AU12" s="193">
        <v>156</v>
      </c>
      <c r="AV12" s="193">
        <v>156</v>
      </c>
    </row>
    <row r="13" spans="1:48" x14ac:dyDescent="0.25">
      <c r="A13" s="87" t="s">
        <v>9109</v>
      </c>
      <c r="B13" s="156"/>
      <c r="C13" s="156" t="s">
        <v>9123</v>
      </c>
      <c r="D13" s="156" t="s">
        <v>9140</v>
      </c>
      <c r="G13" s="166" t="s">
        <v>9140</v>
      </c>
      <c r="H13" t="str">
        <f t="shared" si="9"/>
        <v>lectura_E_act_V2</v>
      </c>
      <c r="J13" s="173" t="s">
        <v>9126</v>
      </c>
      <c r="K13" s="174" t="s">
        <v>9146</v>
      </c>
      <c r="L13" t="str">
        <f t="shared" si="5"/>
        <v>lectura_E_act_V3</v>
      </c>
      <c r="N13" s="87" t="s">
        <v>9109</v>
      </c>
      <c r="O13" s="156"/>
      <c r="P13" s="156"/>
      <c r="Q13" s="156"/>
      <c r="R13" s="156"/>
      <c r="S13" s="156"/>
      <c r="T13" s="156"/>
      <c r="U13" s="156"/>
      <c r="V13" s="156"/>
      <c r="W13" s="205">
        <f t="shared" si="6"/>
        <v>300</v>
      </c>
      <c r="X13" s="205">
        <f t="shared" si="7"/>
        <v>300</v>
      </c>
      <c r="Y13" s="205">
        <f t="shared" si="8"/>
        <v>155</v>
      </c>
      <c r="Z13" s="205">
        <f t="shared" si="11"/>
        <v>155</v>
      </c>
      <c r="AA13" s="205">
        <f t="shared" si="11"/>
        <v>155</v>
      </c>
      <c r="AN13" s="166" t="s">
        <v>9136</v>
      </c>
      <c r="AO13" s="202">
        <v>115</v>
      </c>
      <c r="AP13" s="202">
        <v>115</v>
      </c>
      <c r="AS13" s="173" t="s">
        <v>9125</v>
      </c>
      <c r="AT13" s="193">
        <v>157</v>
      </c>
      <c r="AU13" s="193">
        <v>157</v>
      </c>
      <c r="AV13" s="193">
        <v>157</v>
      </c>
    </row>
    <row r="14" spans="1:48" ht="15.75" thickBot="1" x14ac:dyDescent="0.3">
      <c r="A14" s="164" t="s">
        <v>9110</v>
      </c>
      <c r="B14" s="156"/>
      <c r="C14" s="156" t="s">
        <v>9125</v>
      </c>
      <c r="D14" s="156" t="s">
        <v>9143</v>
      </c>
      <c r="G14" s="168" t="s">
        <v>9138</v>
      </c>
      <c r="H14" t="str">
        <f t="shared" si="9"/>
        <v>lectura_Pot_V2</v>
      </c>
      <c r="J14" s="173" t="s">
        <v>9127</v>
      </c>
      <c r="K14" s="174" t="s">
        <v>9146</v>
      </c>
      <c r="L14" t="str">
        <f t="shared" si="5"/>
        <v>lectura_E_act_R4</v>
      </c>
      <c r="N14" s="164" t="s">
        <v>9110</v>
      </c>
      <c r="O14" s="156"/>
      <c r="P14" s="156"/>
      <c r="Q14" s="156"/>
      <c r="R14" s="156"/>
      <c r="S14" s="156"/>
      <c r="T14" s="156"/>
      <c r="U14" s="156"/>
      <c r="V14" s="156"/>
      <c r="W14" s="205">
        <f t="shared" si="6"/>
        <v>255</v>
      </c>
      <c r="X14" s="205">
        <f t="shared" si="7"/>
        <v>255</v>
      </c>
      <c r="Y14" s="205">
        <f t="shared" si="8"/>
        <v>157</v>
      </c>
      <c r="Z14" s="205">
        <f t="shared" si="11"/>
        <v>157</v>
      </c>
      <c r="AA14" s="205">
        <f t="shared" si="11"/>
        <v>157</v>
      </c>
      <c r="AN14" s="166" t="s">
        <v>9140</v>
      </c>
      <c r="AO14" s="202">
        <v>300</v>
      </c>
      <c r="AP14" s="202">
        <v>300</v>
      </c>
      <c r="AS14" s="173" t="s">
        <v>9126</v>
      </c>
      <c r="AT14" s="193">
        <v>158</v>
      </c>
      <c r="AU14" s="193">
        <v>158</v>
      </c>
      <c r="AV14" s="193">
        <v>158</v>
      </c>
    </row>
    <row r="15" spans="1:48" ht="15.75" thickBot="1" x14ac:dyDescent="0.3">
      <c r="A15" s="164" t="s">
        <v>9111</v>
      </c>
      <c r="B15" s="156"/>
      <c r="C15" s="156" t="s">
        <v>9124</v>
      </c>
      <c r="D15" s="156" t="s">
        <v>9144</v>
      </c>
      <c r="G15" s="166" t="s">
        <v>9143</v>
      </c>
      <c r="H15" t="str">
        <f t="shared" si="9"/>
        <v>lectura_E_act_P3</v>
      </c>
      <c r="J15" s="173" t="s">
        <v>9128</v>
      </c>
      <c r="K15" s="174" t="s">
        <v>9146</v>
      </c>
      <c r="L15" t="str">
        <f t="shared" si="5"/>
        <v>lectura_E_act_P4</v>
      </c>
      <c r="N15" s="164" t="s">
        <v>9111</v>
      </c>
      <c r="O15" s="156"/>
      <c r="P15" s="156"/>
      <c r="Q15" s="156"/>
      <c r="R15" s="156"/>
      <c r="S15" s="156"/>
      <c r="T15" s="156"/>
      <c r="U15" s="156"/>
      <c r="V15" s="156"/>
      <c r="W15" s="205">
        <f t="shared" si="6"/>
        <v>210</v>
      </c>
      <c r="X15" s="205">
        <f t="shared" si="7"/>
        <v>210</v>
      </c>
      <c r="Y15" s="205">
        <f t="shared" si="8"/>
        <v>156</v>
      </c>
      <c r="Z15" s="205">
        <f t="shared" si="11"/>
        <v>156</v>
      </c>
      <c r="AA15" s="205">
        <f t="shared" si="11"/>
        <v>156</v>
      </c>
      <c r="AN15" s="168" t="s">
        <v>9138</v>
      </c>
      <c r="AO15" s="203">
        <v>105</v>
      </c>
      <c r="AP15" s="203">
        <v>105</v>
      </c>
      <c r="AS15" s="173" t="s">
        <v>9127</v>
      </c>
      <c r="AT15" s="193">
        <v>159</v>
      </c>
      <c r="AU15" s="193">
        <v>159</v>
      </c>
      <c r="AV15" s="193">
        <v>159</v>
      </c>
    </row>
    <row r="16" spans="1:48" x14ac:dyDescent="0.25">
      <c r="A16" s="164" t="s">
        <v>9112</v>
      </c>
      <c r="B16" s="156"/>
      <c r="C16" s="156" t="s">
        <v>9126</v>
      </c>
      <c r="D16" s="156" t="s">
        <v>9145</v>
      </c>
      <c r="G16" s="166" t="s">
        <v>9144</v>
      </c>
      <c r="H16" t="str">
        <f t="shared" si="9"/>
        <v>lectura_E_act_R3</v>
      </c>
      <c r="J16" s="173" t="s">
        <v>9129</v>
      </c>
      <c r="K16" s="174" t="s">
        <v>9146</v>
      </c>
      <c r="L16" t="str">
        <f t="shared" si="5"/>
        <v>lectura_E_act_V4</v>
      </c>
      <c r="N16" s="164" t="s">
        <v>9112</v>
      </c>
      <c r="O16" s="156"/>
      <c r="P16" s="156"/>
      <c r="Q16" s="156"/>
      <c r="R16" s="156"/>
      <c r="S16" s="156"/>
      <c r="T16" s="156"/>
      <c r="U16" s="156"/>
      <c r="V16" s="156"/>
      <c r="W16" s="205">
        <f t="shared" si="6"/>
        <v>320</v>
      </c>
      <c r="X16" s="205">
        <f t="shared" si="7"/>
        <v>320</v>
      </c>
      <c r="Y16" s="205">
        <f t="shared" si="8"/>
        <v>158</v>
      </c>
      <c r="Z16" s="205">
        <f t="shared" si="11"/>
        <v>158</v>
      </c>
      <c r="AA16" s="205">
        <f t="shared" si="11"/>
        <v>158</v>
      </c>
      <c r="AN16" s="166" t="s">
        <v>9143</v>
      </c>
      <c r="AO16" s="202">
        <v>255</v>
      </c>
      <c r="AP16" s="202">
        <v>255</v>
      </c>
      <c r="AS16" s="173" t="s">
        <v>9128</v>
      </c>
      <c r="AT16" s="193">
        <v>160</v>
      </c>
      <c r="AU16" s="193">
        <v>160</v>
      </c>
      <c r="AV16" s="193">
        <v>160</v>
      </c>
    </row>
    <row r="17" spans="1:48" x14ac:dyDescent="0.25">
      <c r="A17" s="87" t="s">
        <v>9113</v>
      </c>
      <c r="B17" s="156"/>
      <c r="C17" s="156" t="s">
        <v>9128</v>
      </c>
      <c r="D17" s="156"/>
      <c r="G17" s="166" t="s">
        <v>9145</v>
      </c>
      <c r="H17" t="str">
        <f t="shared" si="9"/>
        <v>lectura_E_act_V3</v>
      </c>
      <c r="N17" s="87" t="s">
        <v>9113</v>
      </c>
      <c r="O17" s="156"/>
      <c r="P17" s="156"/>
      <c r="Q17" s="156"/>
      <c r="R17" s="156"/>
      <c r="S17" s="156"/>
      <c r="T17" s="156"/>
      <c r="U17" s="156"/>
      <c r="V17" s="156"/>
      <c r="W17" s="205"/>
      <c r="X17" s="205"/>
      <c r="Y17" s="205">
        <f t="shared" si="8"/>
        <v>160</v>
      </c>
      <c r="Z17" s="205">
        <f t="shared" si="11"/>
        <v>160</v>
      </c>
      <c r="AA17" s="205">
        <f t="shared" si="11"/>
        <v>160</v>
      </c>
      <c r="AN17" s="166" t="s">
        <v>9144</v>
      </c>
      <c r="AO17" s="202">
        <v>210</v>
      </c>
      <c r="AP17" s="202">
        <v>210</v>
      </c>
      <c r="AS17" s="173" t="s">
        <v>9129</v>
      </c>
      <c r="AT17" s="193">
        <v>161</v>
      </c>
      <c r="AU17" s="193">
        <v>161</v>
      </c>
      <c r="AV17" s="193">
        <v>161</v>
      </c>
    </row>
    <row r="18" spans="1:48" x14ac:dyDescent="0.25">
      <c r="A18" s="87" t="s">
        <v>9114</v>
      </c>
      <c r="B18" s="156"/>
      <c r="C18" s="156" t="s">
        <v>9127</v>
      </c>
      <c r="D18" s="156"/>
      <c r="N18" s="87" t="s">
        <v>9114</v>
      </c>
      <c r="O18" s="156"/>
      <c r="P18" s="156"/>
      <c r="Q18" s="156"/>
      <c r="R18" s="156"/>
      <c r="S18" s="156"/>
      <c r="T18" s="156"/>
      <c r="U18" s="156"/>
      <c r="V18" s="156"/>
      <c r="W18" s="205"/>
      <c r="X18" s="205"/>
      <c r="Y18" s="205">
        <f t="shared" si="8"/>
        <v>159</v>
      </c>
      <c r="Z18" s="205">
        <f t="shared" si="11"/>
        <v>159</v>
      </c>
      <c r="AA18" s="205">
        <f t="shared" si="11"/>
        <v>159</v>
      </c>
      <c r="AN18" s="166" t="s">
        <v>9145</v>
      </c>
      <c r="AO18" s="202">
        <v>320</v>
      </c>
      <c r="AP18" s="202">
        <v>320</v>
      </c>
      <c r="AT18" s="193"/>
      <c r="AU18" s="193"/>
      <c r="AV18" s="193"/>
    </row>
    <row r="19" spans="1:48" x14ac:dyDescent="0.25">
      <c r="A19" s="87" t="s">
        <v>9115</v>
      </c>
      <c r="B19" s="156"/>
      <c r="C19" s="156" t="s">
        <v>9129</v>
      </c>
      <c r="D19" s="156"/>
      <c r="N19" s="87" t="s">
        <v>9115</v>
      </c>
      <c r="O19" s="156"/>
      <c r="P19" s="156"/>
      <c r="Q19" s="156"/>
      <c r="R19" s="156"/>
      <c r="S19" s="156"/>
      <c r="T19" s="156"/>
      <c r="U19" s="156"/>
      <c r="V19" s="156"/>
      <c r="W19" s="205"/>
      <c r="X19" s="205"/>
      <c r="Y19" s="205">
        <f t="shared" si="8"/>
        <v>161</v>
      </c>
      <c r="Z19" s="205">
        <f t="shared" si="11"/>
        <v>161</v>
      </c>
      <c r="AA19" s="205">
        <f t="shared" si="11"/>
        <v>161</v>
      </c>
    </row>
    <row r="20" spans="1:48" x14ac:dyDescent="0.25">
      <c r="A20" s="164" t="s">
        <v>9101</v>
      </c>
      <c r="B20" s="156" t="s">
        <v>9130</v>
      </c>
      <c r="C20" s="156" t="s">
        <v>9130</v>
      </c>
      <c r="D20" s="156" t="s">
        <v>9130</v>
      </c>
      <c r="N20" s="164" t="s">
        <v>9101</v>
      </c>
      <c r="O20" s="156">
        <f t="shared" ref="O20:V20" si="12">+VLOOKUP($B20,$AD$3:$AL$9,O$1,FALSE)</f>
        <v>5000</v>
      </c>
      <c r="P20" s="156">
        <f t="shared" si="12"/>
        <v>5000</v>
      </c>
      <c r="Q20" s="156">
        <f t="shared" si="12"/>
        <v>15000</v>
      </c>
      <c r="R20" s="156">
        <f t="shared" si="12"/>
        <v>2460</v>
      </c>
      <c r="S20" s="156">
        <f t="shared" si="12"/>
        <v>7500</v>
      </c>
      <c r="T20" s="156">
        <f t="shared" si="12"/>
        <v>7500</v>
      </c>
      <c r="U20" s="156">
        <f t="shared" si="12"/>
        <v>500</v>
      </c>
      <c r="V20" s="156">
        <f t="shared" si="12"/>
        <v>6500</v>
      </c>
      <c r="W20" s="205">
        <f>+VLOOKUP($D20,$AN$3:$AU$18,2,FALSE)</f>
        <v>3000</v>
      </c>
      <c r="X20" s="205">
        <f>+VLOOKUP($D20,$AN$3:$AU$18,3,FALSE)</f>
        <v>3000</v>
      </c>
      <c r="Y20" s="205">
        <f t="shared" si="8"/>
        <v>2500</v>
      </c>
      <c r="Z20" s="205">
        <f t="shared" si="11"/>
        <v>2500</v>
      </c>
      <c r="AA20" s="205">
        <f t="shared" si="11"/>
        <v>2500</v>
      </c>
    </row>
    <row r="22" spans="1:48" x14ac:dyDescent="0.25">
      <c r="N22" t="s">
        <v>9165</v>
      </c>
      <c r="O22" s="38">
        <f>+AE10</f>
        <v>50</v>
      </c>
      <c r="P22" s="38">
        <f t="shared" ref="P22:V22" si="13">+AF10</f>
        <v>100</v>
      </c>
      <c r="Q22" s="38">
        <f t="shared" si="13"/>
        <v>100</v>
      </c>
      <c r="R22" s="38">
        <f t="shared" si="13"/>
        <v>100</v>
      </c>
      <c r="S22" s="38">
        <f t="shared" si="13"/>
        <v>100</v>
      </c>
      <c r="T22" s="38">
        <f t="shared" si="13"/>
        <v>50</v>
      </c>
      <c r="U22" s="38">
        <f t="shared" si="13"/>
        <v>50</v>
      </c>
      <c r="V22" s="38">
        <f t="shared" si="13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9166</v>
      </c>
      <c r="O23" s="38">
        <f t="shared" ref="O23:V23" si="14">+AE11</f>
        <v>100</v>
      </c>
      <c r="P23" s="38">
        <f t="shared" si="14"/>
        <v>200</v>
      </c>
      <c r="Q23" s="38">
        <f t="shared" si="14"/>
        <v>300</v>
      </c>
      <c r="R23" s="38">
        <f t="shared" si="14"/>
        <v>300</v>
      </c>
      <c r="S23" s="38">
        <f t="shared" si="14"/>
        <v>350</v>
      </c>
      <c r="T23" s="38">
        <f t="shared" si="14"/>
        <v>50</v>
      </c>
      <c r="U23" s="38">
        <f t="shared" si="14"/>
        <v>1000</v>
      </c>
      <c r="V23" s="38">
        <f t="shared" si="14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Z172"/>
  <sheetViews>
    <sheetView topLeftCell="AO1" zoomScale="85" zoomScaleNormal="85" workbookViewId="0">
      <pane ySplit="2" topLeftCell="A145" activePane="bottomLeft" state="frozen"/>
      <selection pane="bottomLeft" activeCell="BE166" sqref="BE166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s="141" t="s">
        <v>237</v>
      </c>
      <c r="AZ1" s="141" t="s">
        <v>237</v>
      </c>
      <c r="BA1" s="141" t="s">
        <v>237</v>
      </c>
      <c r="BB1" s="141" t="s">
        <v>237</v>
      </c>
      <c r="BD1" s="38" t="s">
        <v>9169</v>
      </c>
      <c r="BE1" s="38" t="s">
        <v>9169</v>
      </c>
      <c r="BF1" s="38" t="s">
        <v>9169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142" t="s">
        <v>361</v>
      </c>
      <c r="AZ2" s="142" t="s">
        <v>362</v>
      </c>
      <c r="BA2" s="142" t="s">
        <v>366</v>
      </c>
      <c r="BB2" s="142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200001313</v>
      </c>
      <c r="B3" s="140">
        <f>+'CARGA DE DATOS'!C3</f>
        <v>610000000002325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S6020A21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+INDEX(Gr.Estr.Reg.!$A:$C,MATCH($L3,Gr.Estr.Reg.!$C:$C,0),1)</f>
        <v>6000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DATOS'!$D3,Gr.Estr.Reg.!$C:$D,2,FALSE),'Unidades de Lectura'!$J:$L,3,FALSE),VLOOKUP('CARGA DE DATOS'!$K3&amp;VLOOKUP('CARGA DE DATOS'!$D3,Gr.Estr.Reg.!$C:$H,6,FALSE),'Unidades de Lectura'!$H:$L,5,FALSE))</f>
        <v>GROCC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143" t="s">
        <v>1989</v>
      </c>
      <c r="AZ3" s="143" t="str">
        <f>+IF('CARGA DE DATOS'!AY3="","false","true")</f>
        <v>false</v>
      </c>
      <c r="BA3" s="143" t="s">
        <v>389</v>
      </c>
      <c r="BB3" s="143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S6020</v>
      </c>
      <c r="CL3" s="40">
        <f>+VLOOKUP(L3,Gr.Estr.Reg.!$C:$G,5,FALSE)</f>
        <v>106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200001313</v>
      </c>
      <c r="B4" s="140">
        <f>+'CARGA DE DATOS'!C4</f>
        <v>610000000002325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S6020A21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+INDEX(Gr.Estr.Reg.!$A:$C,MATCH($L4,Gr.Estr.Reg.!$C:$C,0),1)</f>
        <v>6000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DATOS'!$D4,Gr.Estr.Reg.!$C:$D,2,FALSE),'Unidades de Lectura'!$J:$L,3,FALSE),VLOOKUP('CARGA DE DATOS'!$K4&amp;VLOOKUP('CARGA DE DATOS'!$D4,Gr.Estr.Reg.!$C:$H,6,FALSE),'Unidades de Lectura'!$H:$L,5,FALSE))</f>
        <v>GROCC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143" t="s">
        <v>1989</v>
      </c>
      <c r="AZ4" s="143" t="str">
        <f>+IF('CARGA DE DATOS'!AY4="","false","true")</f>
        <v>false</v>
      </c>
      <c r="BA4" s="143" t="s">
        <v>389</v>
      </c>
      <c r="BB4" s="143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S6020</v>
      </c>
      <c r="CL4" s="40">
        <f>+VLOOKUP(L4,Gr.Estr.Reg.!$C:$G,5,FALSE)</f>
        <v>106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200001313</v>
      </c>
      <c r="B5" s="140">
        <f>+'CARGA DE DATOS'!C5</f>
        <v>610000000002325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S6020A21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+INDEX(Gr.Estr.Reg.!$A:$C,MATCH($L5,Gr.Estr.Reg.!$C:$C,0),1)</f>
        <v>6000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DATOS'!$D5,Gr.Estr.Reg.!$C:$D,2,FALSE),'Unidades de Lectura'!$J:$L,3,FALSE),VLOOKUP('CARGA DE DATOS'!$K5&amp;VLOOKUP('CARGA DE DATOS'!$D5,Gr.Estr.Reg.!$C:$H,6,FALSE),'Unidades de Lectura'!$H:$L,5,FALSE))</f>
        <v>GROCC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143" t="s">
        <v>1989</v>
      </c>
      <c r="AZ5" s="143" t="str">
        <f>+IF('CARGA DE DATOS'!AY5="","false","true")</f>
        <v>false</v>
      </c>
      <c r="BA5" s="143" t="s">
        <v>389</v>
      </c>
      <c r="BB5" s="143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S6020</v>
      </c>
      <c r="CL5" s="40">
        <f>+VLOOKUP(L5,Gr.Estr.Reg.!$C:$G,5,FALSE)</f>
        <v>106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200001313</v>
      </c>
      <c r="B6" s="140">
        <f>+'CARGA DE DATOS'!C6</f>
        <v>610000000002325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S6020A21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+INDEX(Gr.Estr.Reg.!$A:$C,MATCH($L6,Gr.Estr.Reg.!$C:$C,0),1)</f>
        <v>6000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DATOS'!$D6,Gr.Estr.Reg.!$C:$D,2,FALSE),'Unidades de Lectura'!$J:$L,3,FALSE),VLOOKUP('CARGA DE DATOS'!$K6&amp;VLOOKUP('CARGA DE DATOS'!$D6,Gr.Estr.Reg.!$C:$H,6,FALSE),'Unidades de Lectura'!$H:$L,5,FALSE))</f>
        <v>GROCC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143" t="s">
        <v>1989</v>
      </c>
      <c r="AZ6" s="143" t="str">
        <f>+IF('CARGA DE DATOS'!AY6="","false","true")</f>
        <v>false</v>
      </c>
      <c r="BA6" s="143" t="s">
        <v>389</v>
      </c>
      <c r="BB6" s="143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S6020</v>
      </c>
      <c r="CL6" s="40">
        <f>+VLOOKUP(L6,Gr.Estr.Reg.!$C:$G,5,FALSE)</f>
        <v>106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200001313</v>
      </c>
      <c r="B7" s="140">
        <f>+'CARGA DE DATOS'!C7</f>
        <v>610000000002325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S6020A21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+INDEX(Gr.Estr.Reg.!$A:$C,MATCH($L7,Gr.Estr.Reg.!$C:$C,0),1)</f>
        <v>6000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DATOS'!$D7,Gr.Estr.Reg.!$C:$D,2,FALSE),'Unidades de Lectura'!$J:$L,3,FALSE),VLOOKUP('CARGA DE DATOS'!$K7&amp;VLOOKUP('CARGA DE DATOS'!$D7,Gr.Estr.Reg.!$C:$H,6,FALSE),'Unidades de Lectura'!$H:$L,5,FALSE))</f>
        <v>GROCC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143" t="s">
        <v>1989</v>
      </c>
      <c r="AZ7" s="143" t="str">
        <f>+IF('CARGA DE DATOS'!AY7="","false","true")</f>
        <v>false</v>
      </c>
      <c r="BA7" s="143" t="s">
        <v>389</v>
      </c>
      <c r="BB7" s="143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S6020</v>
      </c>
      <c r="CL7" s="40">
        <f>+VLOOKUP(L7,Gr.Estr.Reg.!$C:$G,5,FALSE)</f>
        <v>106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200001313</v>
      </c>
      <c r="B8" s="140">
        <f>+'CARGA DE DATOS'!C8</f>
        <v>610000000002325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S6020A21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+INDEX(Gr.Estr.Reg.!$A:$C,MATCH($L8,Gr.Estr.Reg.!$C:$C,0),1)</f>
        <v>6000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DATOS'!$D8,Gr.Estr.Reg.!$C:$D,2,FALSE),'Unidades de Lectura'!$J:$L,3,FALSE),VLOOKUP('CARGA DE DATOS'!$K8&amp;VLOOKUP('CARGA DE DATOS'!$D8,Gr.Estr.Reg.!$C:$H,6,FALSE),'Unidades de Lectura'!$H:$L,5,FALSE))</f>
        <v>GROCC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143" t="s">
        <v>1989</v>
      </c>
      <c r="AZ8" s="143" t="str">
        <f>+IF('CARGA DE DATOS'!AY8="","false","true")</f>
        <v>false</v>
      </c>
      <c r="BA8" s="143" t="s">
        <v>389</v>
      </c>
      <c r="BB8" s="143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S6020</v>
      </c>
      <c r="CL8" s="40">
        <f>+VLOOKUP(L8,Gr.Estr.Reg.!$C:$G,5,FALSE)</f>
        <v>106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200001313</v>
      </c>
      <c r="B9" s="140">
        <f>+'CARGA DE DATOS'!C9</f>
        <v>610000000002325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S6020A21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+INDEX(Gr.Estr.Reg.!$A:$C,MATCH($L9,Gr.Estr.Reg.!$C:$C,0),1)</f>
        <v>6000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DATOS'!$D9,Gr.Estr.Reg.!$C:$D,2,FALSE),'Unidades de Lectura'!$J:$L,3,FALSE),VLOOKUP('CARGA DE DATOS'!$K9&amp;VLOOKUP('CARGA DE DATOS'!$D9,Gr.Estr.Reg.!$C:$H,6,FALSE),'Unidades de Lectura'!$H:$L,5,FALSE))</f>
        <v>GROCC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143" t="s">
        <v>1989</v>
      </c>
      <c r="AZ9" s="143" t="str">
        <f>+IF('CARGA DE DATOS'!AY9="","false","true")</f>
        <v>false</v>
      </c>
      <c r="BA9" s="143" t="s">
        <v>389</v>
      </c>
      <c r="BB9" s="143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S6020</v>
      </c>
      <c r="CL9" s="40">
        <f>+VLOOKUP(L9,Gr.Estr.Reg.!$C:$G,5,FALSE)</f>
        <v>106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
sólo 13,2 kV</v>
      </c>
    </row>
    <row r="10" spans="1:104" s="40" customFormat="1" x14ac:dyDescent="0.25">
      <c r="A10" s="140">
        <f>+IF('CARGA DE DATOS'!B10="","",'CARGA DE DATOS'!B10)</f>
        <v>200001313</v>
      </c>
      <c r="B10" s="140">
        <f>+'CARGA DE DATOS'!C10</f>
        <v>610000000002325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S6020A21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+INDEX(Gr.Estr.Reg.!$A:$C,MATCH($L10,Gr.Estr.Reg.!$C:$C,0),1)</f>
        <v>6000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DATOS'!$D10,Gr.Estr.Reg.!$C:$D,2,FALSE),'Unidades de Lectura'!$J:$L,3,FALSE),VLOOKUP('CARGA DE DATOS'!$K10&amp;VLOOKUP('CARGA DE DATOS'!$D10,Gr.Estr.Reg.!$C:$H,6,FALSE),'Unidades de Lectura'!$H:$L,5,FALSE))</f>
        <v>GROCC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143" t="s">
        <v>1989</v>
      </c>
      <c r="AZ10" s="143" t="str">
        <f>+IF('CARGA DE DATOS'!AY10="","false","true")</f>
        <v>false</v>
      </c>
      <c r="BA10" s="143" t="s">
        <v>389</v>
      </c>
      <c r="BB10" s="143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S6020</v>
      </c>
      <c r="CL10" s="40">
        <f>+VLOOKUP(L10,Gr.Estr.Reg.!$C:$G,5,FALSE)</f>
        <v>106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
sólo 13,2 kV</v>
      </c>
    </row>
    <row r="11" spans="1:104" s="40" customFormat="1" x14ac:dyDescent="0.25">
      <c r="A11" s="140">
        <f>+IF('CARGA DE DATOS'!B11="","",'CARGA DE DATOS'!B11)</f>
        <v>200001313</v>
      </c>
      <c r="B11" s="140">
        <f>+'CARGA DE DATOS'!C11</f>
        <v>610000000002325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S6020A21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+INDEX(Gr.Estr.Reg.!$A:$C,MATCH($L11,Gr.Estr.Reg.!$C:$C,0),1)</f>
        <v>6000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DATOS'!$D11,Gr.Estr.Reg.!$C:$D,2,FALSE),'Unidades de Lectura'!$J:$L,3,FALSE),VLOOKUP('CARGA DE DATOS'!$K11&amp;VLOOKUP('CARGA DE DATOS'!$D11,Gr.Estr.Reg.!$C:$H,6,FALSE),'Unidades de Lectura'!$H:$L,5,FALSE))</f>
        <v>GROCC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143" t="s">
        <v>1989</v>
      </c>
      <c r="AZ11" s="143" t="str">
        <f>+IF('CARGA DE DATOS'!AY11="","false","true")</f>
        <v>false</v>
      </c>
      <c r="BA11" s="143" t="s">
        <v>389</v>
      </c>
      <c r="BB11" s="143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S6020</v>
      </c>
      <c r="CL11" s="40">
        <f>+VLOOKUP(L11,Gr.Estr.Reg.!$C:$G,5,FALSE)</f>
        <v>106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
sólo 13,2 kV</v>
      </c>
    </row>
    <row r="12" spans="1:104" s="40" customFormat="1" x14ac:dyDescent="0.25">
      <c r="A12" s="140">
        <f>+IF('CARGA DE DATOS'!B12="","",'CARGA DE DATOS'!B12)</f>
        <v>200001313</v>
      </c>
      <c r="B12" s="140">
        <f>+'CARGA DE DATOS'!C12</f>
        <v>610000000002325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S6020A21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+INDEX(Gr.Estr.Reg.!$A:$C,MATCH($L12,Gr.Estr.Reg.!$C:$C,0),1)</f>
        <v>6000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DATOS'!$D12,Gr.Estr.Reg.!$C:$D,2,FALSE),'Unidades de Lectura'!$J:$L,3,FALSE),VLOOKUP('CARGA DE DATOS'!$K12&amp;VLOOKUP('CARGA DE DATOS'!$D12,Gr.Estr.Reg.!$C:$H,6,FALSE),'Unidades de Lectura'!$H:$L,5,FALSE))</f>
        <v>GROCC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143" t="s">
        <v>1989</v>
      </c>
      <c r="AZ12" s="143" t="str">
        <f>+IF('CARGA DE DATOS'!AY12="","false","true")</f>
        <v>false</v>
      </c>
      <c r="BA12" s="143" t="s">
        <v>389</v>
      </c>
      <c r="BB12" s="143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S6020</v>
      </c>
      <c r="CL12" s="40">
        <f>+VLOOKUP(L12,Gr.Estr.Reg.!$C:$G,5,FALSE)</f>
        <v>106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
sólo 13,2 kV</v>
      </c>
    </row>
    <row r="13" spans="1:104" s="40" customFormat="1" x14ac:dyDescent="0.25">
      <c r="A13" s="140">
        <f>+IF('CARGA DE DATOS'!B13="","",'CARGA DE DATOS'!B13)</f>
        <v>200001313</v>
      </c>
      <c r="B13" s="140">
        <f>+'CARGA DE DATOS'!C13</f>
        <v>610000000002325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S6020A21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+INDEX(Gr.Estr.Reg.!$A:$C,MATCH($L13,Gr.Estr.Reg.!$C:$C,0),1)</f>
        <v>6000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DATOS'!$D13,Gr.Estr.Reg.!$C:$D,2,FALSE),'Unidades de Lectura'!$J:$L,3,FALSE),VLOOKUP('CARGA DE DATOS'!$K13&amp;VLOOKUP('CARGA DE DATOS'!$D13,Gr.Estr.Reg.!$C:$H,6,FALSE),'Unidades de Lectura'!$H:$L,5,FALSE))</f>
        <v>GROCC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143" t="s">
        <v>1989</v>
      </c>
      <c r="AZ13" s="143" t="str">
        <f>+IF('CARGA DE DATOS'!AY13="","false","true")</f>
        <v>false</v>
      </c>
      <c r="BA13" s="143" t="s">
        <v>389</v>
      </c>
      <c r="BB13" s="143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S6020</v>
      </c>
      <c r="CL13" s="40">
        <f>+VLOOKUP(L13,Gr.Estr.Reg.!$C:$G,5,FALSE)</f>
        <v>106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200001313</v>
      </c>
      <c r="B14" s="140">
        <f>+'CARGA DE DATOS'!C14</f>
        <v>610000000002325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S6020A21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+INDEX(Gr.Estr.Reg.!$A:$C,MATCH($L14,Gr.Estr.Reg.!$C:$C,0),1)</f>
        <v>6000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DATOS'!$D14,Gr.Estr.Reg.!$C:$D,2,FALSE),'Unidades de Lectura'!$J:$L,3,FALSE),VLOOKUP('CARGA DE DATOS'!$K14&amp;VLOOKUP('CARGA DE DATOS'!$D14,Gr.Estr.Reg.!$C:$H,6,FALSE),'Unidades de Lectura'!$H:$L,5,FALSE))</f>
        <v>GROCC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143" t="s">
        <v>1989</v>
      </c>
      <c r="AZ14" s="143" t="str">
        <f>+IF('CARGA DE DATOS'!AY14="","false","true")</f>
        <v>false</v>
      </c>
      <c r="BA14" s="143" t="s">
        <v>389</v>
      </c>
      <c r="BB14" s="143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S6020</v>
      </c>
      <c r="CL14" s="40">
        <f>+VLOOKUP(L14,Gr.Estr.Reg.!$C:$G,5,FALSE)</f>
        <v>106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200001313</v>
      </c>
      <c r="B15" s="140">
        <f>+'CARGA DE DATOS'!C15</f>
        <v>610000000002325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S6020A21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+INDEX(Gr.Estr.Reg.!$A:$C,MATCH($L15,Gr.Estr.Reg.!$C:$C,0),1)</f>
        <v>6000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DATOS'!$D15,Gr.Estr.Reg.!$C:$D,2,FALSE),'Unidades de Lectura'!$J:$L,3,FALSE),VLOOKUP('CARGA DE DATOS'!$K15&amp;VLOOKUP('CARGA DE DATOS'!$D15,Gr.Estr.Reg.!$C:$H,6,FALSE),'Unidades de Lectura'!$H:$L,5,FALSE))</f>
        <v>GROCC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143" t="s">
        <v>1989</v>
      </c>
      <c r="AZ15" s="143" t="str">
        <f>+IF('CARGA DE DATOS'!AY15="","false","true")</f>
        <v>false</v>
      </c>
      <c r="BA15" s="143" t="s">
        <v>389</v>
      </c>
      <c r="BB15" s="143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S6020</v>
      </c>
      <c r="CL15" s="40">
        <f>+VLOOKUP(L15,Gr.Estr.Reg.!$C:$G,5,FALSE)</f>
        <v>106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200001313</v>
      </c>
      <c r="B16" s="140">
        <f>+'CARGA DE DATOS'!C16</f>
        <v>610000000002325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S6020A21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+INDEX(Gr.Estr.Reg.!$A:$C,MATCH($L16,Gr.Estr.Reg.!$C:$C,0),1)</f>
        <v>6000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DATOS'!$D16,Gr.Estr.Reg.!$C:$D,2,FALSE),'Unidades de Lectura'!$J:$L,3,FALSE),VLOOKUP('CARGA DE DATOS'!$K16&amp;VLOOKUP('CARGA DE DATOS'!$D16,Gr.Estr.Reg.!$C:$H,6,FALSE),'Unidades de Lectura'!$H:$L,5,FALSE))</f>
        <v>GROCC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143" t="s">
        <v>1989</v>
      </c>
      <c r="AZ16" s="143" t="str">
        <f>+IF('CARGA DE DATOS'!AY16="","false","true")</f>
        <v>false</v>
      </c>
      <c r="BA16" s="143" t="s">
        <v>389</v>
      </c>
      <c r="BB16" s="143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S6020</v>
      </c>
      <c r="CL16" s="40">
        <f>+VLOOKUP(L16,Gr.Estr.Reg.!$C:$G,5,FALSE)</f>
        <v>106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200001313</v>
      </c>
      <c r="B17" s="140">
        <f>+'CARGA DE DATOS'!C17</f>
        <v>610000000002325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+INDEX(Gr.Estr.Reg.!$A:$C,MATCH($L17,Gr.Estr.Reg.!$C:$C,0),1)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DATOS'!$D17,Gr.Estr.Reg.!$C:$D,2,FALSE),'Unidades de Lectura'!$J:$L,3,FALSE),VLOOKUP('CARGA DE DATOS'!$K17&amp;VLOOKUP('CARGA DE DATOS'!$D17,Gr.Estr.Reg.!$C:$H,6,FALSE),'Unidades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143" t="s">
        <v>1989</v>
      </c>
      <c r="AZ17" s="143" t="str">
        <f>+IF('CARGA DE DATOS'!AY17="","false","true")</f>
        <v>false</v>
      </c>
      <c r="BA17" s="143" t="s">
        <v>389</v>
      </c>
      <c r="BB17" s="143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+VLOOKUP(L17,Gr.Estr.Reg.!$C:$G,5,FALSE)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200001313</v>
      </c>
      <c r="B18" s="140">
        <f>+'CARGA DE DATOS'!C18</f>
        <v>610000000002325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+INDEX(Gr.Estr.Reg.!$A:$C,MATCH($L18,Gr.Estr.Reg.!$C:$C,0),1)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DATOS'!$D18,Gr.Estr.Reg.!$C:$D,2,FALSE),'Unidades de Lectura'!$J:$L,3,FALSE),VLOOKUP('CARGA DE DATOS'!$K18&amp;VLOOKUP('CARGA DE DATOS'!$D18,Gr.Estr.Reg.!$C:$H,6,FALSE),'Unidades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143" t="s">
        <v>1989</v>
      </c>
      <c r="AZ18" s="143" t="str">
        <f>+IF('CARGA DE DATOS'!AY18="","false","true")</f>
        <v>false</v>
      </c>
      <c r="BA18" s="143" t="s">
        <v>389</v>
      </c>
      <c r="BB18" s="143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+VLOOKUP(L18,Gr.Estr.Reg.!$C:$G,5,FALSE)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200001313</v>
      </c>
      <c r="B19" s="140">
        <f>+'CARGA DE DATOS'!C19</f>
        <v>610000000002325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+INDEX(Gr.Estr.Reg.!$A:$C,MATCH($L19,Gr.Estr.Reg.!$C:$C,0),1)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DATOS'!$D19,Gr.Estr.Reg.!$C:$D,2,FALSE),'Unidades de Lectura'!$J:$L,3,FALSE),VLOOKUP('CARGA DE DATOS'!$K19&amp;VLOOKUP('CARGA DE DATOS'!$D19,Gr.Estr.Reg.!$C:$H,6,FALSE),'Unidades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143" t="s">
        <v>1989</v>
      </c>
      <c r="AZ19" s="143" t="str">
        <f>+IF('CARGA DE DATOS'!AY19="","false","true")</f>
        <v>false</v>
      </c>
      <c r="BA19" s="143" t="s">
        <v>389</v>
      </c>
      <c r="BB19" s="143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+VLOOKUP(L19,Gr.Estr.Reg.!$C:$G,5,FALSE)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200001313</v>
      </c>
      <c r="B20" s="140">
        <f>+'CARGA DE DATOS'!C20</f>
        <v>610000000002325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+INDEX(Gr.Estr.Reg.!$A:$C,MATCH($L20,Gr.Estr.Reg.!$C:$C,0),1)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DATOS'!$D20,Gr.Estr.Reg.!$C:$D,2,FALSE),'Unidades de Lectura'!$J:$L,3,FALSE),VLOOKUP('CARGA DE DATOS'!$K20&amp;VLOOKUP('CARGA DE DATOS'!$D20,Gr.Estr.Reg.!$C:$H,6,FALSE),'Unidades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143" t="s">
        <v>1989</v>
      </c>
      <c r="AZ20" s="143" t="str">
        <f>+IF('CARGA DE DATOS'!AY20="","false","true")</f>
        <v>false</v>
      </c>
      <c r="BA20" s="143" t="s">
        <v>389</v>
      </c>
      <c r="BB20" s="143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+VLOOKUP(L20,Gr.Estr.Reg.!$C:$G,5,FALSE)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200001313</v>
      </c>
      <c r="B21" s="140">
        <f>+'CARGA DE DATOS'!C21</f>
        <v>610000000002325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+INDEX(Gr.Estr.Reg.!$A:$C,MATCH($L21,Gr.Estr.Reg.!$C:$C,0),1)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DATOS'!$D21,Gr.Estr.Reg.!$C:$D,2,FALSE),'Unidades de Lectura'!$J:$L,3,FALSE),VLOOKUP('CARGA DE DATOS'!$K21&amp;VLOOKUP('CARGA DE DATOS'!$D21,Gr.Estr.Reg.!$C:$H,6,FALSE),'Unidades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143" t="s">
        <v>1989</v>
      </c>
      <c r="AZ21" s="143" t="str">
        <f>+IF('CARGA DE DATOS'!AY21="","false","true")</f>
        <v>false</v>
      </c>
      <c r="BA21" s="143" t="s">
        <v>389</v>
      </c>
      <c r="BB21" s="143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+VLOOKUP(L21,Gr.Estr.Reg.!$C:$G,5,FALSE)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200001313</v>
      </c>
      <c r="B22" s="140">
        <f>+'CARGA DE DATOS'!C22</f>
        <v>610000000002325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+INDEX(Gr.Estr.Reg.!$A:$C,MATCH($L22,Gr.Estr.Reg.!$C:$C,0),1)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DATOS'!$D22,Gr.Estr.Reg.!$C:$D,2,FALSE),'Unidades de Lectura'!$J:$L,3,FALSE),VLOOKUP('CARGA DE DATOS'!$K22&amp;VLOOKUP('CARGA DE DATOS'!$D22,Gr.Estr.Reg.!$C:$H,6,FALSE),'Unidades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143" t="s">
        <v>1989</v>
      </c>
      <c r="AZ22" s="143" t="str">
        <f>+IF('CARGA DE DATOS'!AY22="","false","true")</f>
        <v>false</v>
      </c>
      <c r="BA22" s="143" t="s">
        <v>389</v>
      </c>
      <c r="BB22" s="143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+VLOOKUP(L22,Gr.Estr.Reg.!$C:$G,5,FALSE)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200001313</v>
      </c>
      <c r="B23" s="140">
        <f>+'CARGA DE DATOS'!C23</f>
        <v>610000000002325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+INDEX(Gr.Estr.Reg.!$A:$C,MATCH($L23,Gr.Estr.Reg.!$C:$C,0),1)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DATOS'!$D23,Gr.Estr.Reg.!$C:$D,2,FALSE),'Unidades de Lectura'!$J:$L,3,FALSE),VLOOKUP('CARGA DE DATOS'!$K23&amp;VLOOKUP('CARGA DE DATOS'!$D23,Gr.Estr.Reg.!$C:$H,6,FALSE),'Unidades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143" t="s">
        <v>1989</v>
      </c>
      <c r="AZ23" s="143" t="str">
        <f>+IF('CARGA DE DATOS'!AY23="","false","true")</f>
        <v>false</v>
      </c>
      <c r="BA23" s="143" t="s">
        <v>389</v>
      </c>
      <c r="BB23" s="143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+VLOOKUP(L23,Gr.Estr.Reg.!$C:$G,5,FALSE)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
sólo 13,2 kV</v>
      </c>
    </row>
    <row r="24" spans="1:104" s="40" customFormat="1" x14ac:dyDescent="0.25">
      <c r="A24" s="140">
        <f>+IF('CARGA DE DATOS'!B24="","",'CARGA DE DATOS'!B24)</f>
        <v>200001313</v>
      </c>
      <c r="B24" s="140">
        <f>+'CARGA DE DATOS'!C24</f>
        <v>610000000002325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S6020A21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+INDEX(Gr.Estr.Reg.!$A:$C,MATCH($L24,Gr.Estr.Reg.!$C:$C,0),1)</f>
        <v>6000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DATOS'!$D24,Gr.Estr.Reg.!$C:$D,2,FALSE),'Unidades de Lectura'!$J:$L,3,FALSE),VLOOKUP('CARGA DE DATOS'!$K24&amp;VLOOKUP('CARGA DE DATOS'!$D24,Gr.Estr.Reg.!$C:$H,6,FALSE),'Unidades de Lectura'!$H:$L,5,FALSE))</f>
        <v>GROCC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143" t="s">
        <v>1989</v>
      </c>
      <c r="AZ24" s="143" t="str">
        <f>+IF('CARGA DE DATOS'!AY24="","false","true")</f>
        <v>false</v>
      </c>
      <c r="BA24" s="143" t="s">
        <v>389</v>
      </c>
      <c r="BB24" s="143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S6020</v>
      </c>
      <c r="CL24" s="40">
        <f>+VLOOKUP(L24,Gr.Estr.Reg.!$C:$G,5,FALSE)</f>
        <v>106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200001313</v>
      </c>
      <c r="B25" s="140">
        <f>+'CARGA DE DATOS'!C25</f>
        <v>610000000002325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S6020A21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+INDEX(Gr.Estr.Reg.!$A:$C,MATCH($L25,Gr.Estr.Reg.!$C:$C,0),1)</f>
        <v>6000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DATOS'!$D25,Gr.Estr.Reg.!$C:$D,2,FALSE),'Unidades de Lectura'!$J:$L,3,FALSE),VLOOKUP('CARGA DE DATOS'!$K25&amp;VLOOKUP('CARGA DE DATOS'!$D25,Gr.Estr.Reg.!$C:$H,6,FALSE),'Unidades de Lectura'!$H:$L,5,FALSE))</f>
        <v>GROCC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143" t="s">
        <v>1989</v>
      </c>
      <c r="AZ25" s="143" t="str">
        <f>+IF('CARGA DE DATOS'!AY25="","false","true")</f>
        <v>false</v>
      </c>
      <c r="BA25" s="143" t="s">
        <v>389</v>
      </c>
      <c r="BB25" s="143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S6020</v>
      </c>
      <c r="CL25" s="40">
        <f>+VLOOKUP(L25,Gr.Estr.Reg.!$C:$G,5,FALSE)</f>
        <v>106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200001313</v>
      </c>
      <c r="B26" s="140">
        <f>+'CARGA DE DATOS'!C26</f>
        <v>610000000002325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S6020A21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+INDEX(Gr.Estr.Reg.!$A:$C,MATCH($L26,Gr.Estr.Reg.!$C:$C,0),1)</f>
        <v>6000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DATOS'!$D26,Gr.Estr.Reg.!$C:$D,2,FALSE),'Unidades de Lectura'!$J:$L,3,FALSE),VLOOKUP('CARGA DE DATOS'!$K26&amp;VLOOKUP('CARGA DE DATOS'!$D26,Gr.Estr.Reg.!$C:$H,6,FALSE),'Unidades de Lectura'!$H:$L,5,FALSE))</f>
        <v>GROCC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143" t="s">
        <v>1989</v>
      </c>
      <c r="AZ26" s="143" t="str">
        <f>+IF('CARGA DE DATOS'!AY26="","false","true")</f>
        <v>false</v>
      </c>
      <c r="BA26" s="143" t="s">
        <v>389</v>
      </c>
      <c r="BB26" s="143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S6020</v>
      </c>
      <c r="CL26" s="40">
        <f>+VLOOKUP(L26,Gr.Estr.Reg.!$C:$G,5,FALSE)</f>
        <v>106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200001313</v>
      </c>
      <c r="B27" s="140">
        <f>+'CARGA DE DATOS'!C27</f>
        <v>610000000002325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S6020A21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+INDEX(Gr.Estr.Reg.!$A:$C,MATCH($L27,Gr.Estr.Reg.!$C:$C,0),1)</f>
        <v>6000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DATOS'!$D27,Gr.Estr.Reg.!$C:$D,2,FALSE),'Unidades de Lectura'!$J:$L,3,FALSE),VLOOKUP('CARGA DE DATOS'!$K27&amp;VLOOKUP('CARGA DE DATOS'!$D27,Gr.Estr.Reg.!$C:$H,6,FALSE),'Unidades de Lectura'!$H:$L,5,FALSE))</f>
        <v>GROCC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143" t="s">
        <v>1989</v>
      </c>
      <c r="AZ27" s="143" t="str">
        <f>+IF('CARGA DE DATOS'!AY27="","false","true")</f>
        <v>false</v>
      </c>
      <c r="BA27" s="143" t="s">
        <v>389</v>
      </c>
      <c r="BB27" s="143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S6020</v>
      </c>
      <c r="CL27" s="40">
        <f>+VLOOKUP(L27,Gr.Estr.Reg.!$C:$G,5,FALSE)</f>
        <v>106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200001313</v>
      </c>
      <c r="B28" s="140">
        <f>+'CARGA DE DATOS'!C28</f>
        <v>610000000002325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S6020A21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+INDEX(Gr.Estr.Reg.!$A:$C,MATCH($L28,Gr.Estr.Reg.!$C:$C,0),1)</f>
        <v>6000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DATOS'!$D28,Gr.Estr.Reg.!$C:$D,2,FALSE),'Unidades de Lectura'!$J:$L,3,FALSE),VLOOKUP('CARGA DE DATOS'!$K28&amp;VLOOKUP('CARGA DE DATOS'!$D28,Gr.Estr.Reg.!$C:$H,6,FALSE),'Unidades de Lectura'!$H:$L,5,FALSE))</f>
        <v>GROCC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143" t="s">
        <v>1989</v>
      </c>
      <c r="AZ28" s="143" t="str">
        <f>+IF('CARGA DE DATOS'!AY28="","false","true")</f>
        <v>false</v>
      </c>
      <c r="BA28" s="143" t="s">
        <v>389</v>
      </c>
      <c r="BB28" s="143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S6020</v>
      </c>
      <c r="CL28" s="40">
        <f>+VLOOKUP(L28,Gr.Estr.Reg.!$C:$G,5,FALSE)</f>
        <v>106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200001313</v>
      </c>
      <c r="B29" s="140">
        <f>+'CARGA DE DATOS'!C29</f>
        <v>610000000002325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S6020A21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+INDEX(Gr.Estr.Reg.!$A:$C,MATCH($L29,Gr.Estr.Reg.!$C:$C,0),1)</f>
        <v>6000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DATOS'!$D29,Gr.Estr.Reg.!$C:$D,2,FALSE),'Unidades de Lectura'!$J:$L,3,FALSE),VLOOKUP('CARGA DE DATOS'!$K29&amp;VLOOKUP('CARGA DE DATOS'!$D29,Gr.Estr.Reg.!$C:$H,6,FALSE),'Unidades de Lectura'!$H:$L,5,FALSE))</f>
        <v>GROCC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143" t="s">
        <v>1989</v>
      </c>
      <c r="AZ29" s="143" t="str">
        <f>+IF('CARGA DE DATOS'!AY29="","false","true")</f>
        <v>false</v>
      </c>
      <c r="BA29" s="143" t="s">
        <v>389</v>
      </c>
      <c r="BB29" s="143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S6020</v>
      </c>
      <c r="CL29" s="40">
        <f>+VLOOKUP(L29,Gr.Estr.Reg.!$C:$G,5,FALSE)</f>
        <v>106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200001313</v>
      </c>
      <c r="B30" s="140">
        <f>+'CARGA DE DATOS'!C30</f>
        <v>610000000002325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S6020A21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+INDEX(Gr.Estr.Reg.!$A:$C,MATCH($L30,Gr.Estr.Reg.!$C:$C,0),1)</f>
        <v>6000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DATOS'!$D30,Gr.Estr.Reg.!$C:$D,2,FALSE),'Unidades de Lectura'!$J:$L,3,FALSE),VLOOKUP('CARGA DE DATOS'!$K30&amp;VLOOKUP('CARGA DE DATOS'!$D30,Gr.Estr.Reg.!$C:$H,6,FALSE),'Unidades de Lectura'!$H:$L,5,FALSE))</f>
        <v>GROCC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143" t="s">
        <v>1989</v>
      </c>
      <c r="AZ30" s="143" t="str">
        <f>+IF('CARGA DE DATOS'!AY30="","false","true")</f>
        <v>false</v>
      </c>
      <c r="BA30" s="143" t="s">
        <v>389</v>
      </c>
      <c r="BB30" s="143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S6020</v>
      </c>
      <c r="CL30" s="40">
        <f>+VLOOKUP(L30,Gr.Estr.Reg.!$C:$G,5,FALSE)</f>
        <v>106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
sólo 13,2 kV</v>
      </c>
    </row>
    <row r="31" spans="1:104" s="40" customFormat="1" x14ac:dyDescent="0.25">
      <c r="A31" s="140">
        <f>+IF('CARGA DE DATOS'!B31="","",'CARGA DE DATOS'!B31)</f>
        <v>200001313</v>
      </c>
      <c r="B31" s="140">
        <f>+'CARGA DE DATOS'!C31</f>
        <v>610000000002325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S6020A21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+INDEX(Gr.Estr.Reg.!$A:$C,MATCH($L31,Gr.Estr.Reg.!$C:$C,0),1)</f>
        <v>6000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DATOS'!$D31,Gr.Estr.Reg.!$C:$D,2,FALSE),'Unidades de Lectura'!$J:$L,3,FALSE),VLOOKUP('CARGA DE DATOS'!$K31&amp;VLOOKUP('CARGA DE DATOS'!$D31,Gr.Estr.Reg.!$C:$H,6,FALSE),'Unidades de Lectura'!$H:$L,5,FALSE))</f>
        <v>GROCC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143" t="s">
        <v>1989</v>
      </c>
      <c r="AZ31" s="143" t="str">
        <f>+IF('CARGA DE DATOS'!AY31="","false","true")</f>
        <v>false</v>
      </c>
      <c r="BA31" s="143" t="s">
        <v>389</v>
      </c>
      <c r="BB31" s="143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S6020</v>
      </c>
      <c r="CL31" s="40">
        <f>+VLOOKUP(L31,Gr.Estr.Reg.!$C:$G,5,FALSE)</f>
        <v>106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
sólo 13,2 kV</v>
      </c>
    </row>
    <row r="32" spans="1:104" s="40" customFormat="1" x14ac:dyDescent="0.25">
      <c r="A32" s="140">
        <f>+IF('CARGA DE DATOS'!B32="","",'CARGA DE DATOS'!B32)</f>
        <v>200001313</v>
      </c>
      <c r="B32" s="140">
        <f>+'CARGA DE DATOS'!C32</f>
        <v>610000000002325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+INDEX(Gr.Estr.Reg.!$A:$C,MATCH($L32,Gr.Estr.Reg.!$C:$C,0),1)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DATOS'!$D32,Gr.Estr.Reg.!$C:$D,2,FALSE),'Unidades de Lectura'!$J:$L,3,FALSE),VLOOKUP('CARGA DE DATOS'!$K32&amp;VLOOKUP('CARGA DE DATOS'!$D32,Gr.Estr.Reg.!$C:$H,6,FALSE),'Unidades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143" t="s">
        <v>1989</v>
      </c>
      <c r="AZ32" s="143" t="str">
        <f>+IF('CARGA DE DATOS'!AY32="","false","true")</f>
        <v>false</v>
      </c>
      <c r="BA32" s="143" t="s">
        <v>389</v>
      </c>
      <c r="BB32" s="143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+VLOOKUP(L32,Gr.Estr.Reg.!$C:$G,5,FALSE)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
sólo 13,2 kV</v>
      </c>
    </row>
    <row r="33" spans="1:104" s="40" customFormat="1" x14ac:dyDescent="0.25">
      <c r="A33" s="140">
        <f>+IF('CARGA DE DATOS'!B33="","",'CARGA DE DATOS'!B33)</f>
        <v>200001313</v>
      </c>
      <c r="B33" s="140">
        <f>+'CARGA DE DATOS'!C33</f>
        <v>610000000002325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+INDEX(Gr.Estr.Reg.!$A:$C,MATCH($L33,Gr.Estr.Reg.!$C:$C,0),1)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DATOS'!$D33,Gr.Estr.Reg.!$C:$D,2,FALSE),'Unidades de Lectura'!$J:$L,3,FALSE),VLOOKUP('CARGA DE DATOS'!$K33&amp;VLOOKUP('CARGA DE DATOS'!$D33,Gr.Estr.Reg.!$C:$H,6,FALSE),'Unidades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143" t="s">
        <v>1989</v>
      </c>
      <c r="AZ33" s="143" t="str">
        <f>+IF('CARGA DE DATOS'!AY33="","false","true")</f>
        <v>false</v>
      </c>
      <c r="BA33" s="143" t="s">
        <v>389</v>
      </c>
      <c r="BB33" s="143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+VLOOKUP(L33,Gr.Estr.Reg.!$C:$G,5,FALSE)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
sólo 13,2 kV</v>
      </c>
    </row>
    <row r="34" spans="1:104" s="40" customFormat="1" x14ac:dyDescent="0.25">
      <c r="A34" s="140">
        <f>+IF('CARGA DE DATOS'!B34="","",'CARGA DE DATOS'!B34)</f>
        <v>200001313</v>
      </c>
      <c r="B34" s="140">
        <f>+'CARGA DE DATOS'!C34</f>
        <v>610000000002325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+INDEX(Gr.Estr.Reg.!$A:$C,MATCH($L34,Gr.Estr.Reg.!$C:$C,0),1)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DATOS'!$D34,Gr.Estr.Reg.!$C:$D,2,FALSE),'Unidades de Lectura'!$J:$L,3,FALSE),VLOOKUP('CARGA DE DATOS'!$K34&amp;VLOOKUP('CARGA DE DATOS'!$D34,Gr.Estr.Reg.!$C:$H,6,FALSE),'Unidades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143" t="s">
        <v>1989</v>
      </c>
      <c r="AZ34" s="143" t="str">
        <f>+IF('CARGA DE DATOS'!AY34="","false","true")</f>
        <v>false</v>
      </c>
      <c r="BA34" s="143" t="s">
        <v>389</v>
      </c>
      <c r="BB34" s="143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+VLOOKUP(L34,Gr.Estr.Reg.!$C:$G,5,FALSE)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200001313</v>
      </c>
      <c r="B35" s="140">
        <f>+'CARGA DE DATOS'!C35</f>
        <v>610000000002325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+INDEX(Gr.Estr.Reg.!$A:$C,MATCH($L35,Gr.Estr.Reg.!$C:$C,0),1)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DATOS'!$D35,Gr.Estr.Reg.!$C:$D,2,FALSE),'Unidades de Lectura'!$J:$L,3,FALSE),VLOOKUP('CARGA DE DATOS'!$K35&amp;VLOOKUP('CARGA DE DATOS'!$D35,Gr.Estr.Reg.!$C:$H,6,FALSE),'Unidades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143" t="s">
        <v>1989</v>
      </c>
      <c r="AZ35" s="143" t="str">
        <f>+IF('CARGA DE DATOS'!AY35="","false","true")</f>
        <v>false</v>
      </c>
      <c r="BA35" s="143" t="s">
        <v>389</v>
      </c>
      <c r="BB35" s="143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+VLOOKUP(L35,Gr.Estr.Reg.!$C:$G,5,FALSE)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200001313</v>
      </c>
      <c r="B36" s="140">
        <f>+'CARGA DE DATOS'!C36</f>
        <v>610000000002325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S6020A21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+INDEX(Gr.Estr.Reg.!$A:$C,MATCH($L36,Gr.Estr.Reg.!$C:$C,0),1)</f>
        <v>6000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DATOS'!$D36,Gr.Estr.Reg.!$C:$D,2,FALSE),'Unidades de Lectura'!$J:$L,3,FALSE),VLOOKUP('CARGA DE DATOS'!$K36&amp;VLOOKUP('CARGA DE DATOS'!$D36,Gr.Estr.Reg.!$C:$H,6,FALSE),'Unidades de Lectura'!$H:$L,5,FALSE))</f>
        <v>GROCC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143" t="s">
        <v>1989</v>
      </c>
      <c r="AZ36" s="143" t="str">
        <f>+IF('CARGA DE DATOS'!AY36="","false","true")</f>
        <v>false</v>
      </c>
      <c r="BA36" s="143" t="s">
        <v>389</v>
      </c>
      <c r="BB36" s="143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S6020</v>
      </c>
      <c r="CL36" s="40">
        <f>+VLOOKUP(L36,Gr.Estr.Reg.!$C:$G,5,FALSE)</f>
        <v>106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200001313</v>
      </c>
      <c r="B37" s="140">
        <f>+'CARGA DE DATOS'!C37</f>
        <v>610000000002325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S6020A21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+INDEX(Gr.Estr.Reg.!$A:$C,MATCH($L37,Gr.Estr.Reg.!$C:$C,0),1)</f>
        <v>6000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DATOS'!$D37,Gr.Estr.Reg.!$C:$D,2,FALSE),'Unidades de Lectura'!$J:$L,3,FALSE),VLOOKUP('CARGA DE DATOS'!$K37&amp;VLOOKUP('CARGA DE DATOS'!$D37,Gr.Estr.Reg.!$C:$H,6,FALSE),'Unidades de Lectura'!$H:$L,5,FALSE))</f>
        <v>GROCC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143" t="s">
        <v>1989</v>
      </c>
      <c r="AZ37" s="143" t="str">
        <f>+IF('CARGA DE DATOS'!AY37="","false","true")</f>
        <v>false</v>
      </c>
      <c r="BA37" s="143" t="s">
        <v>389</v>
      </c>
      <c r="BB37" s="143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S6020</v>
      </c>
      <c r="CL37" s="40">
        <f>+VLOOKUP(L37,Gr.Estr.Reg.!$C:$G,5,FALSE)</f>
        <v>106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200001313</v>
      </c>
      <c r="B38" s="140">
        <f>+'CARGA DE DATOS'!C38</f>
        <v>610000000002325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S6020A21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+INDEX(Gr.Estr.Reg.!$A:$C,MATCH($L38,Gr.Estr.Reg.!$C:$C,0),1)</f>
        <v>6000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DATOS'!$D38,Gr.Estr.Reg.!$C:$D,2,FALSE),'Unidades de Lectura'!$J:$L,3,FALSE),VLOOKUP('CARGA DE DATOS'!$K38&amp;VLOOKUP('CARGA DE DATOS'!$D38,Gr.Estr.Reg.!$C:$H,6,FALSE),'Unidades de Lectura'!$H:$L,5,FALSE))</f>
        <v>GROCC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143" t="s">
        <v>1989</v>
      </c>
      <c r="AZ38" s="143" t="str">
        <f>+IF('CARGA DE DATOS'!AY38="","false","true")</f>
        <v>false</v>
      </c>
      <c r="BA38" s="143" t="s">
        <v>389</v>
      </c>
      <c r="BB38" s="143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S6020</v>
      </c>
      <c r="CL38" s="40">
        <f>+VLOOKUP(L38,Gr.Estr.Reg.!$C:$G,5,FALSE)</f>
        <v>106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200001313</v>
      </c>
      <c r="B39" s="140">
        <f>+'CARGA DE DATOS'!C39</f>
        <v>610000000002325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S6020A21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+INDEX(Gr.Estr.Reg.!$A:$C,MATCH($L39,Gr.Estr.Reg.!$C:$C,0),1)</f>
        <v>6000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DATOS'!$D39,Gr.Estr.Reg.!$C:$D,2,FALSE),'Unidades de Lectura'!$J:$L,3,FALSE),VLOOKUP('CARGA DE DATOS'!$K39&amp;VLOOKUP('CARGA DE DATOS'!$D39,Gr.Estr.Reg.!$C:$H,6,FALSE),'Unidades de Lectura'!$H:$L,5,FALSE))</f>
        <v>GROCC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143" t="s">
        <v>1989</v>
      </c>
      <c r="AZ39" s="143" t="str">
        <f>+IF('CARGA DE DATOS'!AY39="","false","true")</f>
        <v>false</v>
      </c>
      <c r="BA39" s="143" t="s">
        <v>389</v>
      </c>
      <c r="BB39" s="143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S6020</v>
      </c>
      <c r="CL39" s="40">
        <f>+VLOOKUP(L39,Gr.Estr.Reg.!$C:$G,5,FALSE)</f>
        <v>106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200001313</v>
      </c>
      <c r="B40" s="140">
        <f>+'CARGA DE DATOS'!C40</f>
        <v>610000000002325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S6020A21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+INDEX(Gr.Estr.Reg.!$A:$C,MATCH($L40,Gr.Estr.Reg.!$C:$C,0),1)</f>
        <v>6000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DATOS'!$D40,Gr.Estr.Reg.!$C:$D,2,FALSE),'Unidades de Lectura'!$J:$L,3,FALSE),VLOOKUP('CARGA DE DATOS'!$K40&amp;VLOOKUP('CARGA DE DATOS'!$D40,Gr.Estr.Reg.!$C:$H,6,FALSE),'Unidades de Lectura'!$H:$L,5,FALSE))</f>
        <v>GROCC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143" t="s">
        <v>1989</v>
      </c>
      <c r="AZ40" s="143" t="str">
        <f>+IF('CARGA DE DATOS'!AY40="","false","true")</f>
        <v>false</v>
      </c>
      <c r="BA40" s="143" t="s">
        <v>389</v>
      </c>
      <c r="BB40" s="143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S6020</v>
      </c>
      <c r="CL40" s="40">
        <f>+VLOOKUP(L40,Gr.Estr.Reg.!$C:$G,5,FALSE)</f>
        <v>106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
sólo 13,2 kV</v>
      </c>
    </row>
    <row r="41" spans="1:104" s="40" customFormat="1" x14ac:dyDescent="0.25">
      <c r="A41" s="140">
        <f>+IF('CARGA DE DATOS'!B41="","",'CARGA DE DATOS'!B41)</f>
        <v>200001313</v>
      </c>
      <c r="B41" s="140">
        <f>+'CARGA DE DATOS'!C41</f>
        <v>610000000002325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S6020A21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+INDEX(Gr.Estr.Reg.!$A:$C,MATCH($L41,Gr.Estr.Reg.!$C:$C,0),1)</f>
        <v>6000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DATOS'!$D41,Gr.Estr.Reg.!$C:$D,2,FALSE),'Unidades de Lectura'!$J:$L,3,FALSE),VLOOKUP('CARGA DE DATOS'!$K41&amp;VLOOKUP('CARGA DE DATOS'!$D41,Gr.Estr.Reg.!$C:$H,6,FALSE),'Unidades de Lectura'!$H:$L,5,FALSE))</f>
        <v>GROCC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143" t="s">
        <v>1989</v>
      </c>
      <c r="AZ41" s="143" t="str">
        <f>+IF('CARGA DE DATOS'!AY41="","false","true")</f>
        <v>false</v>
      </c>
      <c r="BA41" s="143" t="s">
        <v>389</v>
      </c>
      <c r="BB41" s="143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S6020</v>
      </c>
      <c r="CL41" s="40">
        <f>+VLOOKUP(L41,Gr.Estr.Reg.!$C:$G,5,FALSE)</f>
        <v>106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
sólo 13,2 kV</v>
      </c>
    </row>
    <row r="42" spans="1:104" s="40" customFormat="1" x14ac:dyDescent="0.25">
      <c r="A42" s="140">
        <f>+IF('CARGA DE DATOS'!B42="","",'CARGA DE DATOS'!B42)</f>
        <v>200001313</v>
      </c>
      <c r="B42" s="140">
        <f>+'CARGA DE DATOS'!C42</f>
        <v>610000000002325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S6020A21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+INDEX(Gr.Estr.Reg.!$A:$C,MATCH($L42,Gr.Estr.Reg.!$C:$C,0),1)</f>
        <v>6000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DATOS'!$D42,Gr.Estr.Reg.!$C:$D,2,FALSE),'Unidades de Lectura'!$J:$L,3,FALSE),VLOOKUP('CARGA DE DATOS'!$K42&amp;VLOOKUP('CARGA DE DATOS'!$D42,Gr.Estr.Reg.!$C:$H,6,FALSE),'Unidades de Lectura'!$H:$L,5,FALSE))</f>
        <v>GROCC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143" t="s">
        <v>1989</v>
      </c>
      <c r="AZ42" s="143" t="str">
        <f>+IF('CARGA DE DATOS'!AY42="","false","true")</f>
        <v>false</v>
      </c>
      <c r="BA42" s="143" t="s">
        <v>389</v>
      </c>
      <c r="BB42" s="143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S6020</v>
      </c>
      <c r="CL42" s="40">
        <f>+VLOOKUP(L42,Gr.Estr.Reg.!$C:$G,5,FALSE)</f>
        <v>106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
sólo 13,2 kV</v>
      </c>
    </row>
    <row r="43" spans="1:104" s="40" customFormat="1" x14ac:dyDescent="0.25">
      <c r="A43" s="140">
        <f>+IF('CARGA DE DATOS'!B43="","",'CARGA DE DATOS'!B43)</f>
        <v>200001313</v>
      </c>
      <c r="B43" s="140">
        <f>+'CARGA DE DATOS'!C43</f>
        <v>610000000002325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S6020A21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+INDEX(Gr.Estr.Reg.!$A:$C,MATCH($L43,Gr.Estr.Reg.!$C:$C,0),1)</f>
        <v>6000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DATOS'!$D43,Gr.Estr.Reg.!$C:$D,2,FALSE),'Unidades de Lectura'!$J:$L,3,FALSE),VLOOKUP('CARGA DE DATOS'!$K43&amp;VLOOKUP('CARGA DE DATOS'!$D43,Gr.Estr.Reg.!$C:$H,6,FALSE),'Unidades de Lectura'!$H:$L,5,FALSE))</f>
        <v>GROCC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143" t="s">
        <v>1989</v>
      </c>
      <c r="AZ43" s="143" t="str">
        <f>+IF('CARGA DE DATOS'!AY43="","false","true")</f>
        <v>false</v>
      </c>
      <c r="BA43" s="143" t="s">
        <v>389</v>
      </c>
      <c r="BB43" s="143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S6020</v>
      </c>
      <c r="CL43" s="40">
        <f>+VLOOKUP(L43,Gr.Estr.Reg.!$C:$G,5,FALSE)</f>
        <v>106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
sólo 13,2 kV</v>
      </c>
    </row>
    <row r="44" spans="1:104" s="40" customFormat="1" x14ac:dyDescent="0.25">
      <c r="A44" s="140">
        <f>+IF('CARGA DE DATOS'!B44="","",'CARGA DE DATOS'!B44)</f>
        <v>200001313</v>
      </c>
      <c r="B44" s="140">
        <f>+'CARGA DE DATOS'!C44</f>
        <v>610000000002325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+INDEX(Gr.Estr.Reg.!$A:$C,MATCH($L44,Gr.Estr.Reg.!$C:$C,0),1)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DATOS'!$D44,Gr.Estr.Reg.!$C:$D,2,FALSE),'Unidades de Lectura'!$J:$L,3,FALSE),VLOOKUP('CARGA DE DATOS'!$K44&amp;VLOOKUP('CARGA DE DATOS'!$D44,Gr.Estr.Reg.!$C:$H,6,FALSE),'Unidades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143" t="s">
        <v>1989</v>
      </c>
      <c r="AZ44" s="143" t="str">
        <f>+IF('CARGA DE DATOS'!AY44="","false","true")</f>
        <v>false</v>
      </c>
      <c r="BA44" s="143" t="s">
        <v>389</v>
      </c>
      <c r="BB44" s="143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+VLOOKUP(L44,Gr.Estr.Reg.!$C:$G,5,FALSE)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
sólo 13,2 kV</v>
      </c>
    </row>
    <row r="45" spans="1:104" s="40" customFormat="1" x14ac:dyDescent="0.25">
      <c r="A45" s="140">
        <f>+IF('CARGA DE DATOS'!B45="","",'CARGA DE DATOS'!B45)</f>
        <v>200001313</v>
      </c>
      <c r="B45" s="140">
        <f>+'CARGA DE DATOS'!C45</f>
        <v>610000000002325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+INDEX(Gr.Estr.Reg.!$A:$C,MATCH($L45,Gr.Estr.Reg.!$C:$C,0),1)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DATOS'!$D45,Gr.Estr.Reg.!$C:$D,2,FALSE),'Unidades de Lectura'!$J:$L,3,FALSE),VLOOKUP('CARGA DE DATOS'!$K45&amp;VLOOKUP('CARGA DE DATOS'!$D45,Gr.Estr.Reg.!$C:$H,6,FALSE),'Unidades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143" t="s">
        <v>1989</v>
      </c>
      <c r="AZ45" s="143" t="str">
        <f>+IF('CARGA DE DATOS'!AY45="","false","true")</f>
        <v>false</v>
      </c>
      <c r="BA45" s="143" t="s">
        <v>389</v>
      </c>
      <c r="BB45" s="143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+VLOOKUP(L45,Gr.Estr.Reg.!$C:$G,5,FALSE)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
sólo 13,2 kV</v>
      </c>
    </row>
    <row r="46" spans="1:104" s="40" customFormat="1" x14ac:dyDescent="0.25">
      <c r="A46" s="140">
        <f>+IF('CARGA DE DATOS'!B46="","",'CARGA DE DATOS'!B46)</f>
        <v>200001313</v>
      </c>
      <c r="B46" s="140">
        <f>+'CARGA DE DATOS'!C46</f>
        <v>610000000002325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+INDEX(Gr.Estr.Reg.!$A:$C,MATCH($L46,Gr.Estr.Reg.!$C:$C,0),1)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DATOS'!$D46,Gr.Estr.Reg.!$C:$D,2,FALSE),'Unidades de Lectura'!$J:$L,3,FALSE),VLOOKUP('CARGA DE DATOS'!$K46&amp;VLOOKUP('CARGA DE DATOS'!$D46,Gr.Estr.Reg.!$C:$H,6,FALSE),'Unidades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143" t="s">
        <v>1989</v>
      </c>
      <c r="AZ46" s="143" t="str">
        <f>+IF('CARGA DE DATOS'!AY46="","false","true")</f>
        <v>false</v>
      </c>
      <c r="BA46" s="143" t="s">
        <v>389</v>
      </c>
      <c r="BB46" s="143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+VLOOKUP(L46,Gr.Estr.Reg.!$C:$G,5,FALSE)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
sólo 13,2 kV</v>
      </c>
    </row>
    <row r="47" spans="1:104" s="40" customFormat="1" x14ac:dyDescent="0.25">
      <c r="A47" s="140">
        <f>+IF('CARGA DE DATOS'!B47="","",'CARGA DE DATOS'!B47)</f>
        <v>200001313</v>
      </c>
      <c r="B47" s="140">
        <f>+'CARGA DE DATOS'!C47</f>
        <v>610000000002325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+INDEX(Gr.Estr.Reg.!$A:$C,MATCH($L47,Gr.Estr.Reg.!$C:$C,0),1)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DATOS'!$D47,Gr.Estr.Reg.!$C:$D,2,FALSE),'Unidades de Lectura'!$J:$L,3,FALSE),VLOOKUP('CARGA DE DATOS'!$K47&amp;VLOOKUP('CARGA DE DATOS'!$D47,Gr.Estr.Reg.!$C:$H,6,FALSE),'Unidades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143" t="s">
        <v>1989</v>
      </c>
      <c r="AZ47" s="143" t="str">
        <f>+IF('CARGA DE DATOS'!AY47="","false","true")</f>
        <v>false</v>
      </c>
      <c r="BA47" s="143" t="s">
        <v>389</v>
      </c>
      <c r="BB47" s="143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+VLOOKUP(L47,Gr.Estr.Reg.!$C:$G,5,FALSE)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
sólo 13,2 kV</v>
      </c>
    </row>
    <row r="48" spans="1:104" s="40" customFormat="1" x14ac:dyDescent="0.25">
      <c r="A48" s="140">
        <f>+IF('CARGA DE DATOS'!B48="","",'CARGA DE DATOS'!B48)</f>
        <v>200001313</v>
      </c>
      <c r="B48" s="140">
        <f>+'CARGA DE DATOS'!C48</f>
        <v>610000000002325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S6020A21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+INDEX(Gr.Estr.Reg.!$A:$C,MATCH($L48,Gr.Estr.Reg.!$C:$C,0),1)</f>
        <v>6000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DATOS'!$D48,Gr.Estr.Reg.!$C:$D,2,FALSE),'Unidades de Lectura'!$J:$L,3,FALSE),VLOOKUP('CARGA DE DATOS'!$K48&amp;VLOOKUP('CARGA DE DATOS'!$D48,Gr.Estr.Reg.!$C:$H,6,FALSE),'Unidades de Lectura'!$H:$L,5,FALSE))</f>
        <v>GROCC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143" t="s">
        <v>1989</v>
      </c>
      <c r="AZ48" s="143" t="str">
        <f>+IF('CARGA DE DATOS'!AY48="","false","true")</f>
        <v>false</v>
      </c>
      <c r="BA48" s="143" t="s">
        <v>389</v>
      </c>
      <c r="BB48" s="143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S6020</v>
      </c>
      <c r="CL48" s="40">
        <f>+VLOOKUP(L48,Gr.Estr.Reg.!$C:$G,5,FALSE)</f>
        <v>106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200001313</v>
      </c>
      <c r="B49" s="140">
        <f>+'CARGA DE DATOS'!C49</f>
        <v>610000000002325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S6020A21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+INDEX(Gr.Estr.Reg.!$A:$C,MATCH($L49,Gr.Estr.Reg.!$C:$C,0),1)</f>
        <v>6000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DATOS'!$D49,Gr.Estr.Reg.!$C:$D,2,FALSE),'Unidades de Lectura'!$J:$L,3,FALSE),VLOOKUP('CARGA DE DATOS'!$K49&amp;VLOOKUP('CARGA DE DATOS'!$D49,Gr.Estr.Reg.!$C:$H,6,FALSE),'Unidades de Lectura'!$H:$L,5,FALSE))</f>
        <v>GROCC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143" t="s">
        <v>1989</v>
      </c>
      <c r="AZ49" s="143" t="str">
        <f>+IF('CARGA DE DATOS'!AY49="","false","true")</f>
        <v>false</v>
      </c>
      <c r="BA49" s="143" t="s">
        <v>389</v>
      </c>
      <c r="BB49" s="143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S6020</v>
      </c>
      <c r="CL49" s="40">
        <f>+VLOOKUP(L49,Gr.Estr.Reg.!$C:$G,5,FALSE)</f>
        <v>106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
sólo 13,2 kV</v>
      </c>
    </row>
    <row r="50" spans="1:104" s="40" customFormat="1" x14ac:dyDescent="0.25">
      <c r="A50" s="140">
        <f>+IF('CARGA DE DATOS'!B50="","",'CARGA DE DATOS'!B50)</f>
        <v>200001313</v>
      </c>
      <c r="B50" s="140">
        <f>+'CARGA DE DATOS'!C50</f>
        <v>610000000002325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S6020A21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+INDEX(Gr.Estr.Reg.!$A:$C,MATCH($L50,Gr.Estr.Reg.!$C:$C,0),1)</f>
        <v>6000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DATOS'!$D50,Gr.Estr.Reg.!$C:$D,2,FALSE),'Unidades de Lectura'!$J:$L,3,FALSE),VLOOKUP('CARGA DE DATOS'!$K50&amp;VLOOKUP('CARGA DE DATOS'!$D50,Gr.Estr.Reg.!$C:$H,6,FALSE),'Unidades de Lectura'!$H:$L,5,FALSE))</f>
        <v>GROCC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143" t="s">
        <v>1989</v>
      </c>
      <c r="AZ50" s="143" t="str">
        <f>+IF('CARGA DE DATOS'!AY50="","false","true")</f>
        <v>false</v>
      </c>
      <c r="BA50" s="143" t="s">
        <v>389</v>
      </c>
      <c r="BB50" s="143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S6020</v>
      </c>
      <c r="CL50" s="40">
        <f>+VLOOKUP(L50,Gr.Estr.Reg.!$C:$G,5,FALSE)</f>
        <v>106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200001313</v>
      </c>
      <c r="B51" s="140">
        <f>+'CARGA DE DATOS'!C51</f>
        <v>610000000002325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S6020A21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+INDEX(Gr.Estr.Reg.!$A:$C,MATCH($L51,Gr.Estr.Reg.!$C:$C,0),1)</f>
        <v>6000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DATOS'!$D51,Gr.Estr.Reg.!$C:$D,2,FALSE),'Unidades de Lectura'!$J:$L,3,FALSE),VLOOKUP('CARGA DE DATOS'!$K51&amp;VLOOKUP('CARGA DE DATOS'!$D51,Gr.Estr.Reg.!$C:$H,6,FALSE),'Unidades de Lectura'!$H:$L,5,FALSE))</f>
        <v>GROCC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143" t="s">
        <v>1989</v>
      </c>
      <c r="AZ51" s="143" t="str">
        <f>+IF('CARGA DE DATOS'!AY51="","false","true")</f>
        <v>false</v>
      </c>
      <c r="BA51" s="143" t="s">
        <v>389</v>
      </c>
      <c r="BB51" s="143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S6020</v>
      </c>
      <c r="CL51" s="40">
        <f>+VLOOKUP(L51,Gr.Estr.Reg.!$C:$G,5,FALSE)</f>
        <v>106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
sólo 13,2 kV</v>
      </c>
    </row>
    <row r="52" spans="1:104" s="40" customFormat="1" x14ac:dyDescent="0.25">
      <c r="A52" s="140">
        <f>+IF('CARGA DE DATOS'!B52="","",'CARGA DE DATOS'!B52)</f>
        <v>200001313</v>
      </c>
      <c r="B52" s="140">
        <f>+'CARGA DE DATOS'!C52</f>
        <v>610000000002325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S6020A21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+INDEX(Gr.Estr.Reg.!$A:$C,MATCH($L52,Gr.Estr.Reg.!$C:$C,0),1)</f>
        <v>6000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DATOS'!$D52,Gr.Estr.Reg.!$C:$D,2,FALSE),'Unidades de Lectura'!$J:$L,3,FALSE),VLOOKUP('CARGA DE DATOS'!$K52&amp;VLOOKUP('CARGA DE DATOS'!$D52,Gr.Estr.Reg.!$C:$H,6,FALSE),'Unidades de Lectura'!$H:$L,5,FALSE))</f>
        <v>GROCC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143" t="s">
        <v>1989</v>
      </c>
      <c r="AZ52" s="143" t="str">
        <f>+IF('CARGA DE DATOS'!AY52="","false","true")</f>
        <v>false</v>
      </c>
      <c r="BA52" s="143" t="s">
        <v>389</v>
      </c>
      <c r="BB52" s="143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S6020</v>
      </c>
      <c r="CL52" s="40">
        <f>+VLOOKUP(L52,Gr.Estr.Reg.!$C:$G,5,FALSE)</f>
        <v>106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
sólo 13,2 kV</v>
      </c>
    </row>
    <row r="53" spans="1:104" s="40" customFormat="1" x14ac:dyDescent="0.25">
      <c r="A53" s="140">
        <f>+IF('CARGA DE DATOS'!B53="","",'CARGA DE DATOS'!B53)</f>
        <v>200001313</v>
      </c>
      <c r="B53" s="140">
        <f>+'CARGA DE DATOS'!C53</f>
        <v>610000000002325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S6020A21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+INDEX(Gr.Estr.Reg.!$A:$C,MATCH($L53,Gr.Estr.Reg.!$C:$C,0),1)</f>
        <v>6000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DATOS'!$D53,Gr.Estr.Reg.!$C:$D,2,FALSE),'Unidades de Lectura'!$J:$L,3,FALSE),VLOOKUP('CARGA DE DATOS'!$K53&amp;VLOOKUP('CARGA DE DATOS'!$D53,Gr.Estr.Reg.!$C:$H,6,FALSE),'Unidades de Lectura'!$H:$L,5,FALSE))</f>
        <v>GROCC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143" t="s">
        <v>1989</v>
      </c>
      <c r="AZ53" s="143" t="str">
        <f>+IF('CARGA DE DATOS'!AY53="","false","true")</f>
        <v>false</v>
      </c>
      <c r="BA53" s="143" t="s">
        <v>389</v>
      </c>
      <c r="BB53" s="143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S6020</v>
      </c>
      <c r="CL53" s="40">
        <f>+VLOOKUP(L53,Gr.Estr.Reg.!$C:$G,5,FALSE)</f>
        <v>106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200001313</v>
      </c>
      <c r="B54" s="140">
        <f>+'CARGA DE DATOS'!C54</f>
        <v>610000000002325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S6020A21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+INDEX(Gr.Estr.Reg.!$A:$C,MATCH($L54,Gr.Estr.Reg.!$C:$C,0),1)</f>
        <v>6000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DATOS'!$D54,Gr.Estr.Reg.!$C:$D,2,FALSE),'Unidades de Lectura'!$J:$L,3,FALSE),VLOOKUP('CARGA DE DATOS'!$K54&amp;VLOOKUP('CARGA DE DATOS'!$D54,Gr.Estr.Reg.!$C:$H,6,FALSE),'Unidades de Lectura'!$H:$L,5,FALSE))</f>
        <v>GROCC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143" t="s">
        <v>1989</v>
      </c>
      <c r="AZ54" s="143" t="str">
        <f>+IF('CARGA DE DATOS'!AY54="","false","true")</f>
        <v>false</v>
      </c>
      <c r="BA54" s="143" t="s">
        <v>389</v>
      </c>
      <c r="BB54" s="143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S6020</v>
      </c>
      <c r="CL54" s="40">
        <f>+VLOOKUP(L54,Gr.Estr.Reg.!$C:$G,5,FALSE)</f>
        <v>106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
sólo 13,2 kV</v>
      </c>
    </row>
    <row r="55" spans="1:104" s="40" customFormat="1" x14ac:dyDescent="0.25">
      <c r="A55" s="140">
        <f>+IF('CARGA DE DATOS'!B55="","",'CARGA DE DATOS'!B55)</f>
        <v>200001313</v>
      </c>
      <c r="B55" s="140">
        <f>+'CARGA DE DATOS'!C55</f>
        <v>610000000002325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S6020A21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+INDEX(Gr.Estr.Reg.!$A:$C,MATCH($L55,Gr.Estr.Reg.!$C:$C,0),1)</f>
        <v>6000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DATOS'!$D55,Gr.Estr.Reg.!$C:$D,2,FALSE),'Unidades de Lectura'!$J:$L,3,FALSE),VLOOKUP('CARGA DE DATOS'!$K55&amp;VLOOKUP('CARGA DE DATOS'!$D55,Gr.Estr.Reg.!$C:$H,6,FALSE),'Unidades de Lectura'!$H:$L,5,FALSE))</f>
        <v>GROCC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143" t="s">
        <v>1989</v>
      </c>
      <c r="AZ55" s="143" t="str">
        <f>+IF('CARGA DE DATOS'!AY55="","false","true")</f>
        <v>false</v>
      </c>
      <c r="BA55" s="143" t="s">
        <v>389</v>
      </c>
      <c r="BB55" s="143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S6020</v>
      </c>
      <c r="CL55" s="40">
        <f>+VLOOKUP(L55,Gr.Estr.Reg.!$C:$G,5,FALSE)</f>
        <v>106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200001313</v>
      </c>
      <c r="B56" s="140">
        <f>+'CARGA DE DATOS'!C56</f>
        <v>610000000002325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+INDEX(Gr.Estr.Reg.!$A:$C,MATCH($L56,Gr.Estr.Reg.!$C:$C,0),1)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DATOS'!$D56,Gr.Estr.Reg.!$C:$D,2,FALSE),'Unidades de Lectura'!$J:$L,3,FALSE),VLOOKUP('CARGA DE DATOS'!$K56&amp;VLOOKUP('CARGA DE DATOS'!$D56,Gr.Estr.Reg.!$C:$H,6,FALSE),'Unidades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143" t="s">
        <v>1989</v>
      </c>
      <c r="AZ56" s="143" t="str">
        <f>+IF('CARGA DE DATOS'!AY56="","false","true")</f>
        <v>false</v>
      </c>
      <c r="BA56" s="143" t="s">
        <v>389</v>
      </c>
      <c r="BB56" s="143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+VLOOKUP(L56,Gr.Estr.Reg.!$C:$G,5,FALSE)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
sólo 13,2 kV</v>
      </c>
    </row>
    <row r="57" spans="1:104" s="40" customFormat="1" x14ac:dyDescent="0.25">
      <c r="A57" s="140">
        <f>+IF('CARGA DE DATOS'!B57="","",'CARGA DE DATOS'!B57)</f>
        <v>200001313</v>
      </c>
      <c r="B57" s="140">
        <f>+'CARGA DE DATOS'!C57</f>
        <v>610000000002325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+INDEX(Gr.Estr.Reg.!$A:$C,MATCH($L57,Gr.Estr.Reg.!$C:$C,0),1)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DATOS'!$D57,Gr.Estr.Reg.!$C:$D,2,FALSE),'Unidades de Lectura'!$J:$L,3,FALSE),VLOOKUP('CARGA DE DATOS'!$K57&amp;VLOOKUP('CARGA DE DATOS'!$D57,Gr.Estr.Reg.!$C:$H,6,FALSE),'Unidades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143" t="s">
        <v>1989</v>
      </c>
      <c r="AZ57" s="143" t="str">
        <f>+IF('CARGA DE DATOS'!AY57="","false","true")</f>
        <v>false</v>
      </c>
      <c r="BA57" s="143" t="s">
        <v>389</v>
      </c>
      <c r="BB57" s="143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+VLOOKUP(L57,Gr.Estr.Reg.!$C:$G,5,FALSE)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
sólo 13,2 kV</v>
      </c>
    </row>
    <row r="58" spans="1:104" s="40" customFormat="1" x14ac:dyDescent="0.25">
      <c r="A58" s="140">
        <f>+IF('CARGA DE DATOS'!B58="","",'CARGA DE DATOS'!B58)</f>
        <v>200001313</v>
      </c>
      <c r="B58" s="140">
        <f>+'CARGA DE DATOS'!C58</f>
        <v>610000000002325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+INDEX(Gr.Estr.Reg.!$A:$C,MATCH($L58,Gr.Estr.Reg.!$C:$C,0),1)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DATOS'!$D58,Gr.Estr.Reg.!$C:$D,2,FALSE),'Unidades de Lectura'!$J:$L,3,FALSE),VLOOKUP('CARGA DE DATOS'!$K58&amp;VLOOKUP('CARGA DE DATOS'!$D58,Gr.Estr.Reg.!$C:$H,6,FALSE),'Unidades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143" t="s">
        <v>1989</v>
      </c>
      <c r="AZ58" s="143" t="str">
        <f>+IF('CARGA DE DATOS'!AY58="","false","true")</f>
        <v>false</v>
      </c>
      <c r="BA58" s="143" t="s">
        <v>389</v>
      </c>
      <c r="BB58" s="143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+VLOOKUP(L58,Gr.Estr.Reg.!$C:$G,5,FALSE)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
sólo 13,2 kV</v>
      </c>
    </row>
    <row r="59" spans="1:104" s="40" customFormat="1" x14ac:dyDescent="0.25">
      <c r="A59" s="140">
        <f>+IF('CARGA DE DATOS'!B59="","",'CARGA DE DATOS'!B59)</f>
        <v>200001313</v>
      </c>
      <c r="B59" s="140">
        <f>+'CARGA DE DATOS'!C59</f>
        <v>610000000002325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+INDEX(Gr.Estr.Reg.!$A:$C,MATCH($L59,Gr.Estr.Reg.!$C:$C,0),1)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DATOS'!$D59,Gr.Estr.Reg.!$C:$D,2,FALSE),'Unidades de Lectura'!$J:$L,3,FALSE),VLOOKUP('CARGA DE DATOS'!$K59&amp;VLOOKUP('CARGA DE DATOS'!$D59,Gr.Estr.Reg.!$C:$H,6,FALSE),'Unidades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143" t="s">
        <v>1989</v>
      </c>
      <c r="AZ59" s="143" t="str">
        <f>+IF('CARGA DE DATOS'!AY59="","false","true")</f>
        <v>false</v>
      </c>
      <c r="BA59" s="143" t="s">
        <v>389</v>
      </c>
      <c r="BB59" s="143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+VLOOKUP(L59,Gr.Estr.Reg.!$C:$G,5,FALSE)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200001313</v>
      </c>
      <c r="B60" s="140">
        <f>+'CARGA DE DATOS'!C60</f>
        <v>610000000002325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S6020A21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+INDEX(Gr.Estr.Reg.!$A:$C,MATCH($L60,Gr.Estr.Reg.!$C:$C,0),1)</f>
        <v>6000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DATOS'!$D60,Gr.Estr.Reg.!$C:$D,2,FALSE),'Unidades de Lectura'!$J:$L,3,FALSE),VLOOKUP('CARGA DE DATOS'!$K60&amp;VLOOKUP('CARGA DE DATOS'!$D60,Gr.Estr.Reg.!$C:$H,6,FALSE),'Unidades de Lectura'!$H:$L,5,FALSE))</f>
        <v>GROCC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143" t="s">
        <v>1989</v>
      </c>
      <c r="AZ60" s="143" t="str">
        <f>+IF('CARGA DE DATOS'!AY60="","false","true")</f>
        <v>false</v>
      </c>
      <c r="BA60" s="143" t="s">
        <v>389</v>
      </c>
      <c r="BB60" s="143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S6020</v>
      </c>
      <c r="CL60" s="40">
        <f>+VLOOKUP(L60,Gr.Estr.Reg.!$C:$G,5,FALSE)</f>
        <v>106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200001313</v>
      </c>
      <c r="B61" s="140">
        <f>+'CARGA DE DATOS'!C61</f>
        <v>610000000002325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S6020A21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+INDEX(Gr.Estr.Reg.!$A:$C,MATCH($L61,Gr.Estr.Reg.!$C:$C,0),1)</f>
        <v>6000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DATOS'!$D61,Gr.Estr.Reg.!$C:$D,2,FALSE),'Unidades de Lectura'!$J:$L,3,FALSE),VLOOKUP('CARGA DE DATOS'!$K61&amp;VLOOKUP('CARGA DE DATOS'!$D61,Gr.Estr.Reg.!$C:$H,6,FALSE),'Unidades de Lectura'!$H:$L,5,FALSE))</f>
        <v>GROCC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143" t="s">
        <v>1989</v>
      </c>
      <c r="AZ61" s="143" t="str">
        <f>+IF('CARGA DE DATOS'!AY61="","false","true")</f>
        <v>false</v>
      </c>
      <c r="BA61" s="143" t="s">
        <v>389</v>
      </c>
      <c r="BB61" s="143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S6020</v>
      </c>
      <c r="CL61" s="40">
        <f>+VLOOKUP(L61,Gr.Estr.Reg.!$C:$G,5,FALSE)</f>
        <v>106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200001313</v>
      </c>
      <c r="B62" s="140">
        <f>+'CARGA DE DATOS'!C62</f>
        <v>610000000002325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S6020A21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+INDEX(Gr.Estr.Reg.!$A:$C,MATCH($L62,Gr.Estr.Reg.!$C:$C,0),1)</f>
        <v>6000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DATOS'!$D62,Gr.Estr.Reg.!$C:$D,2,FALSE),'Unidades de Lectura'!$J:$L,3,FALSE),VLOOKUP('CARGA DE DATOS'!$K62&amp;VLOOKUP('CARGA DE DATOS'!$D62,Gr.Estr.Reg.!$C:$H,6,FALSE),'Unidades de Lectura'!$H:$L,5,FALSE))</f>
        <v>GROCC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143" t="s">
        <v>1989</v>
      </c>
      <c r="AZ62" s="143" t="str">
        <f>+IF('CARGA DE DATOS'!AY62="","false","true")</f>
        <v>false</v>
      </c>
      <c r="BA62" s="143" t="s">
        <v>389</v>
      </c>
      <c r="BB62" s="143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S6020</v>
      </c>
      <c r="CL62" s="40">
        <f>+VLOOKUP(L62,Gr.Estr.Reg.!$C:$G,5,FALSE)</f>
        <v>106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200001313</v>
      </c>
      <c r="B63" s="140">
        <f>+'CARGA DE DATOS'!C63</f>
        <v>610000000002325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S6020A21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+INDEX(Gr.Estr.Reg.!$A:$C,MATCH($L63,Gr.Estr.Reg.!$C:$C,0),1)</f>
        <v>6000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DATOS'!$D63,Gr.Estr.Reg.!$C:$D,2,FALSE),'Unidades de Lectura'!$J:$L,3,FALSE),VLOOKUP('CARGA DE DATOS'!$K63&amp;VLOOKUP('CARGA DE DATOS'!$D63,Gr.Estr.Reg.!$C:$H,6,FALSE),'Unidades de Lectura'!$H:$L,5,FALSE))</f>
        <v>GROCC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143" t="s">
        <v>1989</v>
      </c>
      <c r="AZ63" s="143" t="str">
        <f>+IF('CARGA DE DATOS'!AY63="","false","true")</f>
        <v>false</v>
      </c>
      <c r="BA63" s="143" t="s">
        <v>389</v>
      </c>
      <c r="BB63" s="143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S6020</v>
      </c>
      <c r="CL63" s="40">
        <f>+VLOOKUP(L63,Gr.Estr.Reg.!$C:$G,5,FALSE)</f>
        <v>106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
sólo 13,2 kV</v>
      </c>
    </row>
    <row r="64" spans="1:104" s="40" customFormat="1" x14ac:dyDescent="0.25">
      <c r="A64" s="140">
        <f>+IF('CARGA DE DATOS'!B64="","",'CARGA DE DATOS'!B64)</f>
        <v>200001313</v>
      </c>
      <c r="B64" s="140">
        <f>+'CARGA DE DATOS'!C64</f>
        <v>610000000002325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S6020A21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+INDEX(Gr.Estr.Reg.!$A:$C,MATCH($L64,Gr.Estr.Reg.!$C:$C,0),1)</f>
        <v>6000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DATOS'!$D64,Gr.Estr.Reg.!$C:$D,2,FALSE),'Unidades de Lectura'!$J:$L,3,FALSE),VLOOKUP('CARGA DE DATOS'!$K64&amp;VLOOKUP('CARGA DE DATOS'!$D64,Gr.Estr.Reg.!$C:$H,6,FALSE),'Unidades de Lectura'!$H:$L,5,FALSE))</f>
        <v>GROCC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143" t="s">
        <v>1989</v>
      </c>
      <c r="AZ64" s="143" t="str">
        <f>+IF('CARGA DE DATOS'!AY64="","false","true")</f>
        <v>false</v>
      </c>
      <c r="BA64" s="143" t="s">
        <v>389</v>
      </c>
      <c r="BB64" s="143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S6020</v>
      </c>
      <c r="CL64" s="40">
        <f>+VLOOKUP(L64,Gr.Estr.Reg.!$C:$G,5,FALSE)</f>
        <v>106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
sólo 13,2 kV</v>
      </c>
    </row>
    <row r="65" spans="1:104" s="40" customFormat="1" x14ac:dyDescent="0.25">
      <c r="A65" s="140">
        <f>+IF('CARGA DE DATOS'!B65="","",'CARGA DE DATOS'!B65)</f>
        <v>200001313</v>
      </c>
      <c r="B65" s="140">
        <f>+'CARGA DE DATOS'!C65</f>
        <v>610000000002325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S6020A21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+INDEX(Gr.Estr.Reg.!$A:$C,MATCH($L65,Gr.Estr.Reg.!$C:$C,0),1)</f>
        <v>6000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DATOS'!$D65,Gr.Estr.Reg.!$C:$D,2,FALSE),'Unidades de Lectura'!$J:$L,3,FALSE),VLOOKUP('CARGA DE DATOS'!$K65&amp;VLOOKUP('CARGA DE DATOS'!$D65,Gr.Estr.Reg.!$C:$H,6,FALSE),'Unidades de Lectura'!$H:$L,5,FALSE))</f>
        <v>GROCC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143" t="s">
        <v>1989</v>
      </c>
      <c r="AZ65" s="143" t="str">
        <f>+IF('CARGA DE DATOS'!AY65="","false","true")</f>
        <v>false</v>
      </c>
      <c r="BA65" s="143" t="s">
        <v>389</v>
      </c>
      <c r="BB65" s="143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S6020</v>
      </c>
      <c r="CL65" s="40">
        <f>+VLOOKUP(L65,Gr.Estr.Reg.!$C:$G,5,FALSE)</f>
        <v>106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200001313</v>
      </c>
      <c r="B66" s="140">
        <f>+'CARGA DE DATOS'!C66</f>
        <v>610000000002325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S6020A21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+INDEX(Gr.Estr.Reg.!$A:$C,MATCH($L66,Gr.Estr.Reg.!$C:$C,0),1)</f>
        <v>6000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DATOS'!$D66,Gr.Estr.Reg.!$C:$D,2,FALSE),'Unidades de Lectura'!$J:$L,3,FALSE),VLOOKUP('CARGA DE DATOS'!$K66&amp;VLOOKUP('CARGA DE DATOS'!$D66,Gr.Estr.Reg.!$C:$H,6,FALSE),'Unidades de Lectura'!$H:$L,5,FALSE))</f>
        <v>GROCC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143" t="s">
        <v>1989</v>
      </c>
      <c r="AZ66" s="143" t="str">
        <f>+IF('CARGA DE DATOS'!AY66="","false","true")</f>
        <v>false</v>
      </c>
      <c r="BA66" s="143" t="s">
        <v>389</v>
      </c>
      <c r="BB66" s="143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S6020</v>
      </c>
      <c r="CL66" s="40">
        <f>+VLOOKUP(L66,Gr.Estr.Reg.!$C:$G,5,FALSE)</f>
        <v>106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200001313</v>
      </c>
      <c r="B67" s="140">
        <f>+'CARGA DE DATOS'!C67</f>
        <v>610000000002325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S6020A21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+INDEX(Gr.Estr.Reg.!$A:$C,MATCH($L67,Gr.Estr.Reg.!$C:$C,0),1)</f>
        <v>6000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DATOS'!$D67,Gr.Estr.Reg.!$C:$D,2,FALSE),'Unidades de Lectura'!$J:$L,3,FALSE),VLOOKUP('CARGA DE DATOS'!$K67&amp;VLOOKUP('CARGA DE DATOS'!$D67,Gr.Estr.Reg.!$C:$H,6,FALSE),'Unidades de Lectura'!$H:$L,5,FALSE))</f>
        <v>GROCC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143" t="s">
        <v>1989</v>
      </c>
      <c r="AZ67" s="143" t="str">
        <f>+IF('CARGA DE DATOS'!AY67="","false","true")</f>
        <v>false</v>
      </c>
      <c r="BA67" s="143" t="s">
        <v>389</v>
      </c>
      <c r="BB67" s="143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S6020</v>
      </c>
      <c r="CL67" s="40">
        <f>+VLOOKUP(L67,Gr.Estr.Reg.!$C:$G,5,FALSE)</f>
        <v>106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
sólo 13,2 kV</v>
      </c>
    </row>
    <row r="68" spans="1:104" s="40" customFormat="1" x14ac:dyDescent="0.25">
      <c r="A68" s="140">
        <f>+IF('CARGA DE DATOS'!B68="","",'CARGA DE DATOS'!B68)</f>
        <v>200001313</v>
      </c>
      <c r="B68" s="140">
        <f>+'CARGA DE DATOS'!C68</f>
        <v>610000000002325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S6020A21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+INDEX(Gr.Estr.Reg.!$A:$C,MATCH($L68,Gr.Estr.Reg.!$C:$C,0),1)</f>
        <v>6000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DATOS'!$D68,Gr.Estr.Reg.!$C:$D,2,FALSE),'Unidades de Lectura'!$J:$L,3,FALSE),VLOOKUP('CARGA DE DATOS'!$K68&amp;VLOOKUP('CARGA DE DATOS'!$D68,Gr.Estr.Reg.!$C:$H,6,FALSE),'Unidades de Lectura'!$H:$L,5,FALSE))</f>
        <v>GROCC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143" t="s">
        <v>1989</v>
      </c>
      <c r="AZ68" s="143" t="str">
        <f>+IF('CARGA DE DATOS'!AY68="","false","true")</f>
        <v>false</v>
      </c>
      <c r="BA68" s="143" t="s">
        <v>389</v>
      </c>
      <c r="BB68" s="143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S6020</v>
      </c>
      <c r="CL68" s="40">
        <f>+VLOOKUP(L68,Gr.Estr.Reg.!$C:$G,5,FALSE)</f>
        <v>106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
sólo 13,2 kV</v>
      </c>
    </row>
    <row r="69" spans="1:104" s="40" customFormat="1" x14ac:dyDescent="0.25">
      <c r="A69" s="140">
        <f>+IF('CARGA DE DATOS'!B69="","",'CARGA DE DATOS'!B69)</f>
        <v>200001313</v>
      </c>
      <c r="B69" s="140">
        <f>+'CARGA DE DATOS'!C69</f>
        <v>610000000002325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S6020A21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+INDEX(Gr.Estr.Reg.!$A:$C,MATCH($L69,Gr.Estr.Reg.!$C:$C,0),1)</f>
        <v>6000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DATOS'!$D69,Gr.Estr.Reg.!$C:$D,2,FALSE),'Unidades de Lectura'!$J:$L,3,FALSE),VLOOKUP('CARGA DE DATOS'!$K69&amp;VLOOKUP('CARGA DE DATOS'!$D69,Gr.Estr.Reg.!$C:$H,6,FALSE),'Unidades de Lectura'!$H:$L,5,FALSE))</f>
        <v>GROCC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143" t="s">
        <v>1989</v>
      </c>
      <c r="AZ69" s="143" t="str">
        <f>+IF('CARGA DE DATOS'!AY69="","false","true")</f>
        <v>false</v>
      </c>
      <c r="BA69" s="143" t="s">
        <v>389</v>
      </c>
      <c r="BB69" s="143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S6020</v>
      </c>
      <c r="CL69" s="40">
        <f>+VLOOKUP(L69,Gr.Estr.Reg.!$C:$G,5,FALSE)</f>
        <v>106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
sólo 13,2 kV</v>
      </c>
    </row>
    <row r="70" spans="1:104" s="40" customFormat="1" x14ac:dyDescent="0.25">
      <c r="A70" s="140">
        <f>+IF('CARGA DE DATOS'!B70="","",'CARGA DE DATOS'!B70)</f>
        <v>200001313</v>
      </c>
      <c r="B70" s="140">
        <f>+'CARGA DE DATOS'!C70</f>
        <v>610000000002325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S6020A21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+INDEX(Gr.Estr.Reg.!$A:$C,MATCH($L70,Gr.Estr.Reg.!$C:$C,0),1)</f>
        <v>6000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DATOS'!$D70,Gr.Estr.Reg.!$C:$D,2,FALSE),'Unidades de Lectura'!$J:$L,3,FALSE),VLOOKUP('CARGA DE DATOS'!$K70&amp;VLOOKUP('CARGA DE DATOS'!$D70,Gr.Estr.Reg.!$C:$H,6,FALSE),'Unidades de Lectura'!$H:$L,5,FALSE))</f>
        <v>GROCC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143" t="s">
        <v>1989</v>
      </c>
      <c r="AZ70" s="143" t="str">
        <f>+IF('CARGA DE DATOS'!AY70="","false","true")</f>
        <v>false</v>
      </c>
      <c r="BA70" s="143" t="s">
        <v>389</v>
      </c>
      <c r="BB70" s="143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S6020</v>
      </c>
      <c r="CL70" s="40">
        <f>+VLOOKUP(L70,Gr.Estr.Reg.!$C:$G,5,FALSE)</f>
        <v>106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
sólo 13,2 kV</v>
      </c>
    </row>
    <row r="71" spans="1:104" s="40" customFormat="1" x14ac:dyDescent="0.25">
      <c r="A71" s="140">
        <f>+IF('CARGA DE DATOS'!B71="","",'CARGA DE DATOS'!B71)</f>
        <v>200001313</v>
      </c>
      <c r="B71" s="140">
        <f>+'CARGA DE DATOS'!C71</f>
        <v>610000000002325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S6020A21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+INDEX(Gr.Estr.Reg.!$A:$C,MATCH($L71,Gr.Estr.Reg.!$C:$C,0),1)</f>
        <v>6000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DATOS'!$D71,Gr.Estr.Reg.!$C:$D,2,FALSE),'Unidades de Lectura'!$J:$L,3,FALSE),VLOOKUP('CARGA DE DATOS'!$K71&amp;VLOOKUP('CARGA DE DATOS'!$D71,Gr.Estr.Reg.!$C:$H,6,FALSE),'Unidades de Lectura'!$H:$L,5,FALSE))</f>
        <v>GROCC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143" t="s">
        <v>1989</v>
      </c>
      <c r="AZ71" s="143" t="str">
        <f>+IF('CARGA DE DATOS'!AY71="","false","true")</f>
        <v>false</v>
      </c>
      <c r="BA71" s="143" t="s">
        <v>389</v>
      </c>
      <c r="BB71" s="143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S6020</v>
      </c>
      <c r="CL71" s="40">
        <f>+VLOOKUP(L71,Gr.Estr.Reg.!$C:$G,5,FALSE)</f>
        <v>106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
sólo 13,2 kV</v>
      </c>
    </row>
    <row r="72" spans="1:104" s="40" customFormat="1" x14ac:dyDescent="0.25">
      <c r="A72" s="140">
        <f>+IF('CARGA DE DATOS'!B72="","",'CARGA DE DATOS'!B72)</f>
        <v>200001313</v>
      </c>
      <c r="B72" s="140">
        <f>+'CARGA DE DATOS'!C72</f>
        <v>610000000002325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S6020A21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+INDEX(Gr.Estr.Reg.!$A:$C,MATCH($L72,Gr.Estr.Reg.!$C:$C,0),1)</f>
        <v>6000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DATOS'!$D72,Gr.Estr.Reg.!$C:$D,2,FALSE),'Unidades de Lectura'!$J:$L,3,FALSE),VLOOKUP('CARGA DE DATOS'!$K72&amp;VLOOKUP('CARGA DE DATOS'!$D72,Gr.Estr.Reg.!$C:$H,6,FALSE),'Unidades de Lectura'!$H:$L,5,FALSE))</f>
        <v>GROCC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143" t="s">
        <v>1989</v>
      </c>
      <c r="AZ72" s="143" t="str">
        <f>+IF('CARGA DE DATOS'!AY72="","false","true")</f>
        <v>false</v>
      </c>
      <c r="BA72" s="143" t="s">
        <v>389</v>
      </c>
      <c r="BB72" s="143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S6020</v>
      </c>
      <c r="CL72" s="40">
        <f>+VLOOKUP(L72,Gr.Estr.Reg.!$C:$G,5,FALSE)</f>
        <v>106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
sólo 13,2 kV</v>
      </c>
    </row>
    <row r="73" spans="1:104" s="40" customFormat="1" x14ac:dyDescent="0.25">
      <c r="A73" s="140">
        <f>+IF('CARGA DE DATOS'!B73="","",'CARGA DE DATOS'!B73)</f>
        <v>200001313</v>
      </c>
      <c r="B73" s="140">
        <f>+'CARGA DE DATOS'!C73</f>
        <v>610000000002325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S6020A21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+INDEX(Gr.Estr.Reg.!$A:$C,MATCH($L73,Gr.Estr.Reg.!$C:$C,0),1)</f>
        <v>6000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DATOS'!$D73,Gr.Estr.Reg.!$C:$D,2,FALSE),'Unidades de Lectura'!$J:$L,3,FALSE),VLOOKUP('CARGA DE DATOS'!$K73&amp;VLOOKUP('CARGA DE DATOS'!$D73,Gr.Estr.Reg.!$C:$H,6,FALSE),'Unidades de Lectura'!$H:$L,5,FALSE))</f>
        <v>GROCC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143" t="s">
        <v>1989</v>
      </c>
      <c r="AZ73" s="143" t="str">
        <f>+IF('CARGA DE DATOS'!AY73="","false","true")</f>
        <v>false</v>
      </c>
      <c r="BA73" s="143" t="s">
        <v>389</v>
      </c>
      <c r="BB73" s="143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S6020</v>
      </c>
      <c r="CL73" s="40">
        <f>+VLOOKUP(L73,Gr.Estr.Reg.!$C:$G,5,FALSE)</f>
        <v>106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
sólo 13,2 kV</v>
      </c>
    </row>
    <row r="74" spans="1:104" s="40" customFormat="1" x14ac:dyDescent="0.25">
      <c r="A74" s="140">
        <f>+IF('CARGA DE DATOS'!B74="","",'CARGA DE DATOS'!B74)</f>
        <v>200001313</v>
      </c>
      <c r="B74" s="140">
        <f>+'CARGA DE DATOS'!C74</f>
        <v>610000000002325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+INDEX(Gr.Estr.Reg.!$A:$C,MATCH($L74,Gr.Estr.Reg.!$C:$C,0),1)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DATOS'!$D74,Gr.Estr.Reg.!$C:$D,2,FALSE),'Unidades de Lectura'!$J:$L,3,FALSE),VLOOKUP('CARGA DE DATOS'!$K74&amp;VLOOKUP('CARGA DE DATOS'!$D74,Gr.Estr.Reg.!$C:$H,6,FALSE),'Unidades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143" t="s">
        <v>1989</v>
      </c>
      <c r="AZ74" s="143" t="str">
        <f>+IF('CARGA DE DATOS'!AY74="","false","true")</f>
        <v>false</v>
      </c>
      <c r="BA74" s="143" t="s">
        <v>389</v>
      </c>
      <c r="BB74" s="143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+VLOOKUP(L74,Gr.Estr.Reg.!$C:$G,5,FALSE)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
sólo 13,2 kV</v>
      </c>
    </row>
    <row r="75" spans="1:104" s="40" customFormat="1" x14ac:dyDescent="0.25">
      <c r="A75" s="140">
        <f>+IF('CARGA DE DATOS'!B75="","",'CARGA DE DATOS'!B75)</f>
        <v>200001313</v>
      </c>
      <c r="B75" s="140">
        <f>+'CARGA DE DATOS'!C75</f>
        <v>610000000002325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+INDEX(Gr.Estr.Reg.!$A:$C,MATCH($L75,Gr.Estr.Reg.!$C:$C,0),1)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DATOS'!$D75,Gr.Estr.Reg.!$C:$D,2,FALSE),'Unidades de Lectura'!$J:$L,3,FALSE),VLOOKUP('CARGA DE DATOS'!$K75&amp;VLOOKUP('CARGA DE DATOS'!$D75,Gr.Estr.Reg.!$C:$H,6,FALSE),'Unidades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143" t="s">
        <v>1989</v>
      </c>
      <c r="AZ75" s="143" t="str">
        <f>+IF('CARGA DE DATOS'!AY75="","false","true")</f>
        <v>false</v>
      </c>
      <c r="BA75" s="143" t="s">
        <v>389</v>
      </c>
      <c r="BB75" s="143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+VLOOKUP(L75,Gr.Estr.Reg.!$C:$G,5,FALSE)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200001313</v>
      </c>
      <c r="B76" s="140">
        <f>+'CARGA DE DATOS'!C76</f>
        <v>610000000002325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+INDEX(Gr.Estr.Reg.!$A:$C,MATCH($L76,Gr.Estr.Reg.!$C:$C,0),1)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DATOS'!$D76,Gr.Estr.Reg.!$C:$D,2,FALSE),'Unidades de Lectura'!$J:$L,3,FALSE),VLOOKUP('CARGA DE DATOS'!$K76&amp;VLOOKUP('CARGA DE DATOS'!$D76,Gr.Estr.Reg.!$C:$H,6,FALSE),'Unidades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143" t="s">
        <v>1989</v>
      </c>
      <c r="AZ76" s="143" t="str">
        <f>+IF('CARGA DE DATOS'!AY76="","false","true")</f>
        <v>false</v>
      </c>
      <c r="BA76" s="143" t="s">
        <v>389</v>
      </c>
      <c r="BB76" s="143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+VLOOKUP(L76,Gr.Estr.Reg.!$C:$G,5,FALSE)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
sólo 13,2 kV</v>
      </c>
    </row>
    <row r="77" spans="1:104" s="40" customFormat="1" x14ac:dyDescent="0.25">
      <c r="A77" s="140">
        <f>+IF('CARGA DE DATOS'!B77="","",'CARGA DE DATOS'!B77)</f>
        <v>200001313</v>
      </c>
      <c r="B77" s="140">
        <f>+'CARGA DE DATOS'!C77</f>
        <v>610000000002325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+INDEX(Gr.Estr.Reg.!$A:$C,MATCH($L77,Gr.Estr.Reg.!$C:$C,0),1)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DATOS'!$D77,Gr.Estr.Reg.!$C:$D,2,FALSE),'Unidades de Lectura'!$J:$L,3,FALSE),VLOOKUP('CARGA DE DATOS'!$K77&amp;VLOOKUP('CARGA DE DATOS'!$D77,Gr.Estr.Reg.!$C:$H,6,FALSE),'Unidades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143" t="s">
        <v>1989</v>
      </c>
      <c r="AZ77" s="143" t="str">
        <f>+IF('CARGA DE DATOS'!AY77="","false","true")</f>
        <v>false</v>
      </c>
      <c r="BA77" s="143" t="s">
        <v>389</v>
      </c>
      <c r="BB77" s="143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+VLOOKUP(L77,Gr.Estr.Reg.!$C:$G,5,FALSE)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
sólo 13,2 kV</v>
      </c>
    </row>
    <row r="78" spans="1:104" s="40" customFormat="1" x14ac:dyDescent="0.25">
      <c r="A78" s="140">
        <f>+IF('CARGA DE DATOS'!B78="","",'CARGA DE DATOS'!B78)</f>
        <v>200001313</v>
      </c>
      <c r="B78" s="140">
        <f>+'CARGA DE DATOS'!C78</f>
        <v>610000000002325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+INDEX(Gr.Estr.Reg.!$A:$C,MATCH($L78,Gr.Estr.Reg.!$C:$C,0),1)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DATOS'!$D78,Gr.Estr.Reg.!$C:$D,2,FALSE),'Unidades de Lectura'!$J:$L,3,FALSE),VLOOKUP('CARGA DE DATOS'!$K78&amp;VLOOKUP('CARGA DE DATOS'!$D78,Gr.Estr.Reg.!$C:$H,6,FALSE),'Unidades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143" t="s">
        <v>1989</v>
      </c>
      <c r="AZ78" s="143" t="str">
        <f>+IF('CARGA DE DATOS'!AY78="","false","true")</f>
        <v>false</v>
      </c>
      <c r="BA78" s="143" t="s">
        <v>389</v>
      </c>
      <c r="BB78" s="143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+VLOOKUP(L78,Gr.Estr.Reg.!$C:$G,5,FALSE)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
sólo 13,2 kV</v>
      </c>
    </row>
    <row r="79" spans="1:104" s="40" customFormat="1" x14ac:dyDescent="0.25">
      <c r="A79" s="140">
        <f>+IF('CARGA DE DATOS'!B79="","",'CARGA DE DATOS'!B79)</f>
        <v>200001313</v>
      </c>
      <c r="B79" s="140">
        <f>+'CARGA DE DATOS'!C79</f>
        <v>610000000002325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+INDEX(Gr.Estr.Reg.!$A:$C,MATCH($L79,Gr.Estr.Reg.!$C:$C,0),1)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DATOS'!$D79,Gr.Estr.Reg.!$C:$D,2,FALSE),'Unidades de Lectura'!$J:$L,3,FALSE),VLOOKUP('CARGA DE DATOS'!$K79&amp;VLOOKUP('CARGA DE DATOS'!$D79,Gr.Estr.Reg.!$C:$H,6,FALSE),'Unidades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143" t="s">
        <v>1989</v>
      </c>
      <c r="AZ79" s="143" t="str">
        <f>+IF('CARGA DE DATOS'!AY79="","false","true")</f>
        <v>false</v>
      </c>
      <c r="BA79" s="143" t="s">
        <v>389</v>
      </c>
      <c r="BB79" s="143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+VLOOKUP(L79,Gr.Estr.Reg.!$C:$G,5,FALSE)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200001313</v>
      </c>
      <c r="B80" s="140">
        <f>+'CARGA DE DATOS'!C80</f>
        <v>610000000002325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+INDEX(Gr.Estr.Reg.!$A:$C,MATCH($L80,Gr.Estr.Reg.!$C:$C,0),1)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DATOS'!$D80,Gr.Estr.Reg.!$C:$D,2,FALSE),'Unidades de Lectura'!$J:$L,3,FALSE),VLOOKUP('CARGA DE DATOS'!$K80&amp;VLOOKUP('CARGA DE DATOS'!$D80,Gr.Estr.Reg.!$C:$H,6,FALSE),'Unidades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143" t="s">
        <v>1989</v>
      </c>
      <c r="AZ80" s="143" t="str">
        <f>+IF('CARGA DE DATOS'!AY80="","false","true")</f>
        <v>false</v>
      </c>
      <c r="BA80" s="143" t="s">
        <v>389</v>
      </c>
      <c r="BB80" s="143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+VLOOKUP(L80,Gr.Estr.Reg.!$C:$G,5,FALSE)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
sólo 13,2 kV</v>
      </c>
    </row>
    <row r="81" spans="1:104" s="40" customFormat="1" x14ac:dyDescent="0.25">
      <c r="A81" s="140">
        <f>+IF('CARGA DE DATOS'!B81="","",'CARGA DE DATOS'!B81)</f>
        <v>200001313</v>
      </c>
      <c r="B81" s="140">
        <f>+'CARGA DE DATOS'!C81</f>
        <v>610000000002325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S6020A21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+INDEX(Gr.Estr.Reg.!$A:$C,MATCH($L81,Gr.Estr.Reg.!$C:$C,0),1)</f>
        <v>6000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DATOS'!$D81,Gr.Estr.Reg.!$C:$D,2,FALSE),'Unidades de Lectura'!$J:$L,3,FALSE),VLOOKUP('CARGA DE DATOS'!$K81&amp;VLOOKUP('CARGA DE DATOS'!$D81,Gr.Estr.Reg.!$C:$H,6,FALSE),'Unidades de Lectura'!$H:$L,5,FALSE))</f>
        <v>GROCC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143" t="s">
        <v>1989</v>
      </c>
      <c r="AZ81" s="143" t="str">
        <f>+IF('CARGA DE DATOS'!AY81="","false","true")</f>
        <v>false</v>
      </c>
      <c r="BA81" s="143" t="s">
        <v>389</v>
      </c>
      <c r="BB81" s="143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S6020</v>
      </c>
      <c r="CL81" s="40">
        <f>+VLOOKUP(L81,Gr.Estr.Reg.!$C:$G,5,FALSE)</f>
        <v>106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
sólo 13,2 kV</v>
      </c>
    </row>
    <row r="82" spans="1:104" s="40" customFormat="1" x14ac:dyDescent="0.25">
      <c r="A82" s="140">
        <f>+IF('CARGA DE DATOS'!B82="","",'CARGA DE DATOS'!B82)</f>
        <v>200001313</v>
      </c>
      <c r="B82" s="140">
        <f>+'CARGA DE DATOS'!C82</f>
        <v>610000000002325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S6020A21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+INDEX(Gr.Estr.Reg.!$A:$C,MATCH($L82,Gr.Estr.Reg.!$C:$C,0),1)</f>
        <v>6000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DATOS'!$D82,Gr.Estr.Reg.!$C:$D,2,FALSE),'Unidades de Lectura'!$J:$L,3,FALSE),VLOOKUP('CARGA DE DATOS'!$K82&amp;VLOOKUP('CARGA DE DATOS'!$D82,Gr.Estr.Reg.!$C:$H,6,FALSE),'Unidades de Lectura'!$H:$L,5,FALSE))</f>
        <v>GROCC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143" t="s">
        <v>1989</v>
      </c>
      <c r="AZ82" s="143" t="str">
        <f>+IF('CARGA DE DATOS'!AY82="","false","true")</f>
        <v>false</v>
      </c>
      <c r="BA82" s="143" t="s">
        <v>389</v>
      </c>
      <c r="BB82" s="143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S6020</v>
      </c>
      <c r="CL82" s="40">
        <f>+VLOOKUP(L82,Gr.Estr.Reg.!$C:$G,5,FALSE)</f>
        <v>106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
sólo 13,2 kV</v>
      </c>
    </row>
    <row r="83" spans="1:104" s="40" customFormat="1" x14ac:dyDescent="0.25">
      <c r="A83" s="140">
        <f>+IF('CARGA DE DATOS'!B83="","",'CARGA DE DATOS'!B83)</f>
        <v>200001313</v>
      </c>
      <c r="B83" s="140">
        <f>+'CARGA DE DATOS'!C83</f>
        <v>610000000002325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S6020A21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+INDEX(Gr.Estr.Reg.!$A:$C,MATCH($L83,Gr.Estr.Reg.!$C:$C,0),1)</f>
        <v>6000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DATOS'!$D83,Gr.Estr.Reg.!$C:$D,2,FALSE),'Unidades de Lectura'!$J:$L,3,FALSE),VLOOKUP('CARGA DE DATOS'!$K83&amp;VLOOKUP('CARGA DE DATOS'!$D83,Gr.Estr.Reg.!$C:$H,6,FALSE),'Unidades de Lectura'!$H:$L,5,FALSE))</f>
        <v>GROCC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143" t="s">
        <v>1989</v>
      </c>
      <c r="AZ83" s="143" t="str">
        <f>+IF('CARGA DE DATOS'!AY83="","false","true")</f>
        <v>false</v>
      </c>
      <c r="BA83" s="143" t="s">
        <v>389</v>
      </c>
      <c r="BB83" s="143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S6020</v>
      </c>
      <c r="CL83" s="40">
        <f>+VLOOKUP(L83,Gr.Estr.Reg.!$C:$G,5,FALSE)</f>
        <v>106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200001313</v>
      </c>
      <c r="B84" s="140">
        <f>+'CARGA DE DATOS'!C84</f>
        <v>610000000002325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S6020A21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+INDEX(Gr.Estr.Reg.!$A:$C,MATCH($L84,Gr.Estr.Reg.!$C:$C,0),1)</f>
        <v>6000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DATOS'!$D84,Gr.Estr.Reg.!$C:$D,2,FALSE),'Unidades de Lectura'!$J:$L,3,FALSE),VLOOKUP('CARGA DE DATOS'!$K84&amp;VLOOKUP('CARGA DE DATOS'!$D84,Gr.Estr.Reg.!$C:$H,6,FALSE),'Unidades de Lectura'!$H:$L,5,FALSE))</f>
        <v>GROCC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143" t="s">
        <v>1989</v>
      </c>
      <c r="AZ84" s="143" t="str">
        <f>+IF('CARGA DE DATOS'!AY84="","false","true")</f>
        <v>false</v>
      </c>
      <c r="BA84" s="143" t="s">
        <v>389</v>
      </c>
      <c r="BB84" s="143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S6020</v>
      </c>
      <c r="CL84" s="40">
        <f>+VLOOKUP(L84,Gr.Estr.Reg.!$C:$G,5,FALSE)</f>
        <v>106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200001313</v>
      </c>
      <c r="B85" s="140">
        <f>+'CARGA DE DATOS'!C85</f>
        <v>610000000002325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S6020A21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+INDEX(Gr.Estr.Reg.!$A:$C,MATCH($L85,Gr.Estr.Reg.!$C:$C,0),1)</f>
        <v>6000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DATOS'!$D85,Gr.Estr.Reg.!$C:$D,2,FALSE),'Unidades de Lectura'!$J:$L,3,FALSE),VLOOKUP('CARGA DE DATOS'!$K85&amp;VLOOKUP('CARGA DE DATOS'!$D85,Gr.Estr.Reg.!$C:$H,6,FALSE),'Unidades de Lectura'!$H:$L,5,FALSE))</f>
        <v>GROCC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143" t="s">
        <v>1989</v>
      </c>
      <c r="AZ85" s="143" t="str">
        <f>+IF('CARGA DE DATOS'!AY85="","false","true")</f>
        <v>false</v>
      </c>
      <c r="BA85" s="143" t="s">
        <v>389</v>
      </c>
      <c r="BB85" s="143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S6020</v>
      </c>
      <c r="CL85" s="40">
        <f>+VLOOKUP(L85,Gr.Estr.Reg.!$C:$G,5,FALSE)</f>
        <v>106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200001313</v>
      </c>
      <c r="B86" s="140">
        <f>+'CARGA DE DATOS'!C86</f>
        <v>610000000002325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S6020A21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+INDEX(Gr.Estr.Reg.!$A:$C,MATCH($L86,Gr.Estr.Reg.!$C:$C,0),1)</f>
        <v>6000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DATOS'!$D86,Gr.Estr.Reg.!$C:$D,2,FALSE),'Unidades de Lectura'!$J:$L,3,FALSE),VLOOKUP('CARGA DE DATOS'!$K86&amp;VLOOKUP('CARGA DE DATOS'!$D86,Gr.Estr.Reg.!$C:$H,6,FALSE),'Unidades de Lectura'!$H:$L,5,FALSE))</f>
        <v>GROCC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143" t="s">
        <v>1989</v>
      </c>
      <c r="AZ86" s="143" t="str">
        <f>+IF('CARGA DE DATOS'!AY86="","false","true")</f>
        <v>false</v>
      </c>
      <c r="BA86" s="143" t="s">
        <v>389</v>
      </c>
      <c r="BB86" s="143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S6020</v>
      </c>
      <c r="CL86" s="40">
        <f>+VLOOKUP(L86,Gr.Estr.Reg.!$C:$G,5,FALSE)</f>
        <v>106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200001313</v>
      </c>
      <c r="B87" s="140">
        <f>+'CARGA DE DATOS'!C87</f>
        <v>610000000002325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S6020A21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+INDEX(Gr.Estr.Reg.!$A:$C,MATCH($L87,Gr.Estr.Reg.!$C:$C,0),1)</f>
        <v>6000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DATOS'!$D87,Gr.Estr.Reg.!$C:$D,2,FALSE),'Unidades de Lectura'!$J:$L,3,FALSE),VLOOKUP('CARGA DE DATOS'!$K87&amp;VLOOKUP('CARGA DE DATOS'!$D87,Gr.Estr.Reg.!$C:$H,6,FALSE),'Unidades de Lectura'!$H:$L,5,FALSE))</f>
        <v>GROCC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143" t="s">
        <v>1989</v>
      </c>
      <c r="AZ87" s="143" t="str">
        <f>+IF('CARGA DE DATOS'!AY87="","false","true")</f>
        <v>false</v>
      </c>
      <c r="BA87" s="143" t="s">
        <v>389</v>
      </c>
      <c r="BB87" s="143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S6020</v>
      </c>
      <c r="CL87" s="40">
        <f>+VLOOKUP(L87,Gr.Estr.Reg.!$C:$G,5,FALSE)</f>
        <v>106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200001313</v>
      </c>
      <c r="B88" s="140">
        <f>+'CARGA DE DATOS'!C88</f>
        <v>610000000002325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S6020A21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+INDEX(Gr.Estr.Reg.!$A:$C,MATCH($L88,Gr.Estr.Reg.!$C:$C,0),1)</f>
        <v>6000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DATOS'!$D88,Gr.Estr.Reg.!$C:$D,2,FALSE),'Unidades de Lectura'!$J:$L,3,FALSE),VLOOKUP('CARGA DE DATOS'!$K88&amp;VLOOKUP('CARGA DE DATOS'!$D88,Gr.Estr.Reg.!$C:$H,6,FALSE),'Unidades de Lectura'!$H:$L,5,FALSE))</f>
        <v>GROCC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143" t="s">
        <v>1989</v>
      </c>
      <c r="AZ88" s="143" t="str">
        <f>+IF('CARGA DE DATOS'!AY88="","false","true")</f>
        <v>false</v>
      </c>
      <c r="BA88" s="143" t="s">
        <v>389</v>
      </c>
      <c r="BB88" s="143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S6020</v>
      </c>
      <c r="CL88" s="40">
        <f>+VLOOKUP(L88,Gr.Estr.Reg.!$C:$G,5,FALSE)</f>
        <v>106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
sólo 13,2 kV</v>
      </c>
    </row>
    <row r="89" spans="1:104" s="40" customFormat="1" x14ac:dyDescent="0.25">
      <c r="A89" s="140">
        <f>+IF('CARGA DE DATOS'!B89="","",'CARGA DE DATOS'!B89)</f>
        <v>200001313</v>
      </c>
      <c r="B89" s="140">
        <f>+'CARGA DE DATOS'!C89</f>
        <v>610000000002325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+INDEX(Gr.Estr.Reg.!$A:$C,MATCH($L89,Gr.Estr.Reg.!$C:$C,0),1)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DATOS'!$D89,Gr.Estr.Reg.!$C:$D,2,FALSE),'Unidades de Lectura'!$J:$L,3,FALSE),VLOOKUP('CARGA DE DATOS'!$K89&amp;VLOOKUP('CARGA DE DATOS'!$D89,Gr.Estr.Reg.!$C:$H,6,FALSE),'Unidades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143" t="s">
        <v>1989</v>
      </c>
      <c r="AZ89" s="143" t="str">
        <f>+IF('CARGA DE DATOS'!AY89="","false","true")</f>
        <v>false</v>
      </c>
      <c r="BA89" s="143" t="s">
        <v>389</v>
      </c>
      <c r="BB89" s="143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+VLOOKUP(L89,Gr.Estr.Reg.!$C:$G,5,FALSE)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200001313</v>
      </c>
      <c r="B90" s="140">
        <f>+'CARGA DE DATOS'!C90</f>
        <v>610000000002325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+INDEX(Gr.Estr.Reg.!$A:$C,MATCH($L90,Gr.Estr.Reg.!$C:$C,0),1)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DATOS'!$D90,Gr.Estr.Reg.!$C:$D,2,FALSE),'Unidades de Lectura'!$J:$L,3,FALSE),VLOOKUP('CARGA DE DATOS'!$K90&amp;VLOOKUP('CARGA DE DATOS'!$D90,Gr.Estr.Reg.!$C:$H,6,FALSE),'Unidades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143" t="s">
        <v>1989</v>
      </c>
      <c r="AZ90" s="143" t="str">
        <f>+IF('CARGA DE DATOS'!AY90="","false","true")</f>
        <v>false</v>
      </c>
      <c r="BA90" s="143" t="s">
        <v>389</v>
      </c>
      <c r="BB90" s="143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+VLOOKUP(L90,Gr.Estr.Reg.!$C:$G,5,FALSE)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
sólo 13,2 kV</v>
      </c>
    </row>
    <row r="91" spans="1:104" s="40" customFormat="1" x14ac:dyDescent="0.25">
      <c r="A91" s="140">
        <f>+IF('CARGA DE DATOS'!B91="","",'CARGA DE DATOS'!B91)</f>
        <v>200001313</v>
      </c>
      <c r="B91" s="140">
        <f>+'CARGA DE DATOS'!C91</f>
        <v>610000000002325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+INDEX(Gr.Estr.Reg.!$A:$C,MATCH($L91,Gr.Estr.Reg.!$C:$C,0),1)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DATOS'!$D91,Gr.Estr.Reg.!$C:$D,2,FALSE),'Unidades de Lectura'!$J:$L,3,FALSE),VLOOKUP('CARGA DE DATOS'!$K91&amp;VLOOKUP('CARGA DE DATOS'!$D91,Gr.Estr.Reg.!$C:$H,6,FALSE),'Unidades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143" t="s">
        <v>1989</v>
      </c>
      <c r="AZ91" s="143" t="str">
        <f>+IF('CARGA DE DATOS'!AY91="","false","true")</f>
        <v>false</v>
      </c>
      <c r="BA91" s="143" t="s">
        <v>389</v>
      </c>
      <c r="BB91" s="143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+VLOOKUP(L91,Gr.Estr.Reg.!$C:$G,5,FALSE)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
sólo 13,2 kV</v>
      </c>
    </row>
    <row r="92" spans="1:104" s="40" customFormat="1" x14ac:dyDescent="0.25">
      <c r="A92" s="140">
        <f>+IF('CARGA DE DATOS'!B92="","",'CARGA DE DATOS'!B92)</f>
        <v>200001313</v>
      </c>
      <c r="B92" s="140">
        <f>+'CARGA DE DATOS'!C92</f>
        <v>610000000002325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+INDEX(Gr.Estr.Reg.!$A:$C,MATCH($L92,Gr.Estr.Reg.!$C:$C,0),1)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DATOS'!$D92,Gr.Estr.Reg.!$C:$D,2,FALSE),'Unidades de Lectura'!$J:$L,3,FALSE),VLOOKUP('CARGA DE DATOS'!$K92&amp;VLOOKUP('CARGA DE DATOS'!$D92,Gr.Estr.Reg.!$C:$H,6,FALSE),'Unidades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143" t="s">
        <v>1989</v>
      </c>
      <c r="AZ92" s="143" t="str">
        <f>+IF('CARGA DE DATOS'!AY92="","false","true")</f>
        <v>false</v>
      </c>
      <c r="BA92" s="143" t="s">
        <v>389</v>
      </c>
      <c r="BB92" s="143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+VLOOKUP(L92,Gr.Estr.Reg.!$C:$G,5,FALSE)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200001313</v>
      </c>
      <c r="B93" s="140">
        <f>+'CARGA DE DATOS'!C93</f>
        <v>610000000002325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S6020A21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+INDEX(Gr.Estr.Reg.!$A:$C,MATCH($L93,Gr.Estr.Reg.!$C:$C,0),1)</f>
        <v>6000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DATOS'!$D93,Gr.Estr.Reg.!$C:$D,2,FALSE),'Unidades de Lectura'!$J:$L,3,FALSE),VLOOKUP('CARGA DE DATOS'!$K93&amp;VLOOKUP('CARGA DE DATOS'!$D93,Gr.Estr.Reg.!$C:$H,6,FALSE),'Unidades de Lectura'!$H:$L,5,FALSE))</f>
        <v>GROCC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143" t="s">
        <v>1989</v>
      </c>
      <c r="AZ93" s="143" t="str">
        <f>+IF('CARGA DE DATOS'!AY93="","false","true")</f>
        <v>false</v>
      </c>
      <c r="BA93" s="143" t="s">
        <v>389</v>
      </c>
      <c r="BB93" s="143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S6020</v>
      </c>
      <c r="CL93" s="40">
        <f>+VLOOKUP(L93,Gr.Estr.Reg.!$C:$G,5,FALSE)</f>
        <v>106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200001313</v>
      </c>
      <c r="B94" s="140">
        <f>+'CARGA DE DATOS'!C94</f>
        <v>610000000002325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S6020A21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+INDEX(Gr.Estr.Reg.!$A:$C,MATCH($L94,Gr.Estr.Reg.!$C:$C,0),1)</f>
        <v>6000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DATOS'!$D94,Gr.Estr.Reg.!$C:$D,2,FALSE),'Unidades de Lectura'!$J:$L,3,FALSE),VLOOKUP('CARGA DE DATOS'!$K94&amp;VLOOKUP('CARGA DE DATOS'!$D94,Gr.Estr.Reg.!$C:$H,6,FALSE),'Unidades de Lectura'!$H:$L,5,FALSE))</f>
        <v>GROCC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143" t="s">
        <v>1989</v>
      </c>
      <c r="AZ94" s="143" t="str">
        <f>+IF('CARGA DE DATOS'!AY94="","false","true")</f>
        <v>false</v>
      </c>
      <c r="BA94" s="143" t="s">
        <v>389</v>
      </c>
      <c r="BB94" s="143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S6020</v>
      </c>
      <c r="CL94" s="40">
        <f>+VLOOKUP(L94,Gr.Estr.Reg.!$C:$G,5,FALSE)</f>
        <v>106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
sólo 13,2 kV</v>
      </c>
    </row>
    <row r="95" spans="1:104" s="40" customFormat="1" x14ac:dyDescent="0.25">
      <c r="A95" s="140">
        <f>+IF('CARGA DE DATOS'!B95="","",'CARGA DE DATOS'!B95)</f>
        <v>200001313</v>
      </c>
      <c r="B95" s="140">
        <f>+'CARGA DE DATOS'!C95</f>
        <v>610000000002325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S6020A21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+INDEX(Gr.Estr.Reg.!$A:$C,MATCH($L95,Gr.Estr.Reg.!$C:$C,0),1)</f>
        <v>6000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DATOS'!$D95,Gr.Estr.Reg.!$C:$D,2,FALSE),'Unidades de Lectura'!$J:$L,3,FALSE),VLOOKUP('CARGA DE DATOS'!$K95&amp;VLOOKUP('CARGA DE DATOS'!$D95,Gr.Estr.Reg.!$C:$H,6,FALSE),'Unidades de Lectura'!$H:$L,5,FALSE))</f>
        <v>GROCC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143" t="s">
        <v>1989</v>
      </c>
      <c r="AZ95" s="143" t="str">
        <f>+IF('CARGA DE DATOS'!AY95="","false","true")</f>
        <v>false</v>
      </c>
      <c r="BA95" s="143" t="s">
        <v>389</v>
      </c>
      <c r="BB95" s="143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S6020</v>
      </c>
      <c r="CL95" s="40">
        <f>+VLOOKUP(L95,Gr.Estr.Reg.!$C:$G,5,FALSE)</f>
        <v>106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
sólo 13,2 kV</v>
      </c>
    </row>
    <row r="96" spans="1:104" s="40" customFormat="1" x14ac:dyDescent="0.25">
      <c r="A96" s="140">
        <f>+IF('CARGA DE DATOS'!B96="","",'CARGA DE DATOS'!B96)</f>
        <v>200001313</v>
      </c>
      <c r="B96" s="140">
        <f>+'CARGA DE DATOS'!C96</f>
        <v>610000000002325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S6020A21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+INDEX(Gr.Estr.Reg.!$A:$C,MATCH($L96,Gr.Estr.Reg.!$C:$C,0),1)</f>
        <v>6000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DATOS'!$D96,Gr.Estr.Reg.!$C:$D,2,FALSE),'Unidades de Lectura'!$J:$L,3,FALSE),VLOOKUP('CARGA DE DATOS'!$K96&amp;VLOOKUP('CARGA DE DATOS'!$D96,Gr.Estr.Reg.!$C:$H,6,FALSE),'Unidades de Lectura'!$H:$L,5,FALSE))</f>
        <v>GROCC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143" t="s">
        <v>1989</v>
      </c>
      <c r="AZ96" s="143" t="str">
        <f>+IF('CARGA DE DATOS'!AY96="","false","true")</f>
        <v>false</v>
      </c>
      <c r="BA96" s="143" t="s">
        <v>389</v>
      </c>
      <c r="BB96" s="143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S6020</v>
      </c>
      <c r="CL96" s="40">
        <f>+VLOOKUP(L96,Gr.Estr.Reg.!$C:$G,5,FALSE)</f>
        <v>106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200001313</v>
      </c>
      <c r="B97" s="140">
        <f>+'CARGA DE DATOS'!C97</f>
        <v>610000000002325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S6020A21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+INDEX(Gr.Estr.Reg.!$A:$C,MATCH($L97,Gr.Estr.Reg.!$C:$C,0),1)</f>
        <v>6000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DATOS'!$D97,Gr.Estr.Reg.!$C:$D,2,FALSE),'Unidades de Lectura'!$J:$L,3,FALSE),VLOOKUP('CARGA DE DATOS'!$K97&amp;VLOOKUP('CARGA DE DATOS'!$D97,Gr.Estr.Reg.!$C:$H,6,FALSE),'Unidades de Lectura'!$H:$L,5,FALSE))</f>
        <v>GROCC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143" t="s">
        <v>1989</v>
      </c>
      <c r="AZ97" s="143" t="str">
        <f>+IF('CARGA DE DATOS'!AY97="","false","true")</f>
        <v>false</v>
      </c>
      <c r="BA97" s="143" t="s">
        <v>389</v>
      </c>
      <c r="BB97" s="143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S6020</v>
      </c>
      <c r="CL97" s="40">
        <f>+VLOOKUP(L97,Gr.Estr.Reg.!$C:$G,5,FALSE)</f>
        <v>106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
sólo 13,2 kV</v>
      </c>
    </row>
    <row r="98" spans="1:104" s="40" customFormat="1" x14ac:dyDescent="0.25">
      <c r="A98" s="140">
        <f>+IF('CARGA DE DATOS'!B98="","",'CARGA DE DATOS'!B98)</f>
        <v>200001313</v>
      </c>
      <c r="B98" s="140">
        <f>+'CARGA DE DATOS'!C98</f>
        <v>610000000002325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S6020A21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+INDEX(Gr.Estr.Reg.!$A:$C,MATCH($L98,Gr.Estr.Reg.!$C:$C,0),1)</f>
        <v>6000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DATOS'!$D98,Gr.Estr.Reg.!$C:$D,2,FALSE),'Unidades de Lectura'!$J:$L,3,FALSE),VLOOKUP('CARGA DE DATOS'!$K98&amp;VLOOKUP('CARGA DE DATOS'!$D98,Gr.Estr.Reg.!$C:$H,6,FALSE),'Unidades de Lectura'!$H:$L,5,FALSE))</f>
        <v>GROCC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143" t="s">
        <v>1989</v>
      </c>
      <c r="AZ98" s="143" t="str">
        <f>+IF('CARGA DE DATOS'!AY98="","false","true")</f>
        <v>false</v>
      </c>
      <c r="BA98" s="143" t="s">
        <v>389</v>
      </c>
      <c r="BB98" s="143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S6020</v>
      </c>
      <c r="CL98" s="40">
        <f>+VLOOKUP(L98,Gr.Estr.Reg.!$C:$G,5,FALSE)</f>
        <v>106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200001313</v>
      </c>
      <c r="B99" s="140">
        <f>+'CARGA DE DATOS'!C99</f>
        <v>610000000002325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S6020A21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+INDEX(Gr.Estr.Reg.!$A:$C,MATCH($L99,Gr.Estr.Reg.!$C:$C,0),1)</f>
        <v>6000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DATOS'!$D99,Gr.Estr.Reg.!$C:$D,2,FALSE),'Unidades de Lectura'!$J:$L,3,FALSE),VLOOKUP('CARGA DE DATOS'!$K99&amp;VLOOKUP('CARGA DE DATOS'!$D99,Gr.Estr.Reg.!$C:$H,6,FALSE),'Unidades de Lectura'!$H:$L,5,FALSE))</f>
        <v>GROCC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143" t="s">
        <v>1989</v>
      </c>
      <c r="AZ99" s="143" t="str">
        <f>+IF('CARGA DE DATOS'!AY99="","false","true")</f>
        <v>false</v>
      </c>
      <c r="BA99" s="143" t="s">
        <v>389</v>
      </c>
      <c r="BB99" s="143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S6020</v>
      </c>
      <c r="CL99" s="40">
        <f>+VLOOKUP(L99,Gr.Estr.Reg.!$C:$G,5,FALSE)</f>
        <v>106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
sólo 13,2 kV</v>
      </c>
    </row>
    <row r="100" spans="1:104" s="40" customFormat="1" x14ac:dyDescent="0.25">
      <c r="A100" s="140">
        <f>+IF('CARGA DE DATOS'!B100="","",'CARGA DE DATOS'!B100)</f>
        <v>200001313</v>
      </c>
      <c r="B100" s="140">
        <f>+'CARGA DE DATOS'!C100</f>
        <v>610000000002325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S6020A21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+INDEX(Gr.Estr.Reg.!$A:$C,MATCH($L100,Gr.Estr.Reg.!$C:$C,0),1)</f>
        <v>6000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DATOS'!$D100,Gr.Estr.Reg.!$C:$D,2,FALSE),'Unidades de Lectura'!$J:$L,3,FALSE),VLOOKUP('CARGA DE DATOS'!$K100&amp;VLOOKUP('CARGA DE DATOS'!$D100,Gr.Estr.Reg.!$C:$H,6,FALSE),'Unidades de Lectura'!$H:$L,5,FALSE))</f>
        <v>GROCC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143" t="s">
        <v>1989</v>
      </c>
      <c r="AZ100" s="143" t="str">
        <f>+IF('CARGA DE DATOS'!AY100="","false","true")</f>
        <v>false</v>
      </c>
      <c r="BA100" s="143" t="s">
        <v>389</v>
      </c>
      <c r="BB100" s="143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S6020</v>
      </c>
      <c r="CL100" s="40">
        <f>+VLOOKUP(L100,Gr.Estr.Reg.!$C:$G,5,FALSE)</f>
        <v>106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
sólo 13,2 kV</v>
      </c>
    </row>
    <row r="101" spans="1:104" s="40" customFormat="1" x14ac:dyDescent="0.25">
      <c r="A101" s="140">
        <f>+IF('CARGA DE DATOS'!B101="","",'CARGA DE DATOS'!B101)</f>
        <v>200001313</v>
      </c>
      <c r="B101" s="140">
        <f>+'CARGA DE DATOS'!C101</f>
        <v>610000000002325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+INDEX(Gr.Estr.Reg.!$A:$C,MATCH($L101,Gr.Estr.Reg.!$C:$C,0),1)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DATOS'!$D101,Gr.Estr.Reg.!$C:$D,2,FALSE),'Unidades de Lectura'!$J:$L,3,FALSE),VLOOKUP('CARGA DE DATOS'!$K101&amp;VLOOKUP('CARGA DE DATOS'!$D101,Gr.Estr.Reg.!$C:$H,6,FALSE),'Unidades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143" t="s">
        <v>1989</v>
      </c>
      <c r="AZ101" s="143" t="str">
        <f>+IF('CARGA DE DATOS'!AY101="","false","true")</f>
        <v>false</v>
      </c>
      <c r="BA101" s="143" t="s">
        <v>389</v>
      </c>
      <c r="BB101" s="143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+VLOOKUP(L101,Gr.Estr.Reg.!$C:$G,5,FALSE)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
sólo 13,2 kV</v>
      </c>
    </row>
    <row r="102" spans="1:104" s="40" customFormat="1" x14ac:dyDescent="0.25">
      <c r="A102" s="140">
        <f>+IF('CARGA DE DATOS'!B102="","",'CARGA DE DATOS'!B102)</f>
        <v>200001313</v>
      </c>
      <c r="B102" s="140">
        <f>+'CARGA DE DATOS'!C102</f>
        <v>610000000002325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+INDEX(Gr.Estr.Reg.!$A:$C,MATCH($L102,Gr.Estr.Reg.!$C:$C,0),1)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DATOS'!$D102,Gr.Estr.Reg.!$C:$D,2,FALSE),'Unidades de Lectura'!$J:$L,3,FALSE),VLOOKUP('CARGA DE DATOS'!$K102&amp;VLOOKUP('CARGA DE DATOS'!$D102,Gr.Estr.Reg.!$C:$H,6,FALSE),'Unidades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143" t="s">
        <v>1989</v>
      </c>
      <c r="AZ102" s="143" t="str">
        <f>+IF('CARGA DE DATOS'!AY102="","false","true")</f>
        <v>false</v>
      </c>
      <c r="BA102" s="143" t="s">
        <v>389</v>
      </c>
      <c r="BB102" s="143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+VLOOKUP(L102,Gr.Estr.Reg.!$C:$G,5,FALSE)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
sólo 13,2 kV</v>
      </c>
    </row>
    <row r="103" spans="1:104" s="40" customFormat="1" x14ac:dyDescent="0.25">
      <c r="A103" s="140">
        <f>+IF('CARGA DE DATOS'!B103="","",'CARGA DE DATOS'!B103)</f>
        <v>200001313</v>
      </c>
      <c r="B103" s="140">
        <f>+'CARGA DE DATOS'!C103</f>
        <v>610000000002325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+INDEX(Gr.Estr.Reg.!$A:$C,MATCH($L103,Gr.Estr.Reg.!$C:$C,0),1)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DATOS'!$D103,Gr.Estr.Reg.!$C:$D,2,FALSE),'Unidades de Lectura'!$J:$L,3,FALSE),VLOOKUP('CARGA DE DATOS'!$K103&amp;VLOOKUP('CARGA DE DATOS'!$D103,Gr.Estr.Reg.!$C:$H,6,FALSE),'Unidades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143" t="s">
        <v>1989</v>
      </c>
      <c r="AZ103" s="143" t="str">
        <f>+IF('CARGA DE DATOS'!AY103="","false","true")</f>
        <v>false</v>
      </c>
      <c r="BA103" s="143" t="s">
        <v>389</v>
      </c>
      <c r="BB103" s="143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+VLOOKUP(L103,Gr.Estr.Reg.!$C:$G,5,FALSE)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200001313</v>
      </c>
      <c r="B104" s="140">
        <f>+'CARGA DE DATOS'!C104</f>
        <v>610000000002325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+INDEX(Gr.Estr.Reg.!$A:$C,MATCH($L104,Gr.Estr.Reg.!$C:$C,0),1)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DATOS'!$D104,Gr.Estr.Reg.!$C:$D,2,FALSE),'Unidades de Lectura'!$J:$L,3,FALSE),VLOOKUP('CARGA DE DATOS'!$K104&amp;VLOOKUP('CARGA DE DATOS'!$D104,Gr.Estr.Reg.!$C:$H,6,FALSE),'Unidades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143" t="s">
        <v>1989</v>
      </c>
      <c r="AZ104" s="143" t="str">
        <f>+IF('CARGA DE DATOS'!AY104="","false","true")</f>
        <v>false</v>
      </c>
      <c r="BA104" s="143" t="s">
        <v>389</v>
      </c>
      <c r="BB104" s="143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+VLOOKUP(L104,Gr.Estr.Reg.!$C:$G,5,FALSE)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
sólo 13,2 kV</v>
      </c>
    </row>
    <row r="105" spans="1:104" s="40" customFormat="1" x14ac:dyDescent="0.25">
      <c r="A105" s="140">
        <f>+IF('CARGA DE DATOS'!B105="","",'CARGA DE DATOS'!B105)</f>
        <v>200001313</v>
      </c>
      <c r="B105" s="140">
        <f>+'CARGA DE DATOS'!C105</f>
        <v>610000000002325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S6020A21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+INDEX(Gr.Estr.Reg.!$A:$C,MATCH($L105,Gr.Estr.Reg.!$C:$C,0),1)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DATOS'!$D105,Gr.Estr.Reg.!$C:$D,2,FALSE),'Unidades de Lectura'!$J:$L,3,FALSE),VLOOKUP('CARGA DE DATOS'!$K105&amp;VLOOKUP('CARGA DE DATOS'!$D105,Gr.Estr.Reg.!$C:$H,6,FALSE),'Unidades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143" t="s">
        <v>1989</v>
      </c>
      <c r="AZ105" s="143" t="str">
        <f>+IF('CARGA DE DATOS'!AY105="","false","true")</f>
        <v>false</v>
      </c>
      <c r="BA105" s="143" t="s">
        <v>389</v>
      </c>
      <c r="BB105" s="143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+VLOOKUP(L105,Gr.Estr.Reg.!$C:$G,5,FALSE)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
sólo 13,2 kV</v>
      </c>
    </row>
    <row r="106" spans="1:104" s="40" customFormat="1" x14ac:dyDescent="0.25">
      <c r="A106" s="140">
        <f>+IF('CARGA DE DATOS'!B106="","",'CARGA DE DATOS'!B106)</f>
        <v>200001313</v>
      </c>
      <c r="B106" s="140">
        <f>+'CARGA DE DATOS'!C106</f>
        <v>610000000002325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S6020A21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+INDEX(Gr.Estr.Reg.!$A:$C,MATCH($L106,Gr.Estr.Reg.!$C:$C,0),1)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DATOS'!$D106,Gr.Estr.Reg.!$C:$D,2,FALSE),'Unidades de Lectura'!$J:$L,3,FALSE),VLOOKUP('CARGA DE DATOS'!$K106&amp;VLOOKUP('CARGA DE DATOS'!$D106,Gr.Estr.Reg.!$C:$H,6,FALSE),'Unidades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143" t="s">
        <v>1989</v>
      </c>
      <c r="AZ106" s="143" t="str">
        <f>+IF('CARGA DE DATOS'!AY106="","false","true")</f>
        <v>false</v>
      </c>
      <c r="BA106" s="143" t="s">
        <v>389</v>
      </c>
      <c r="BB106" s="143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+VLOOKUP(L106,Gr.Estr.Reg.!$C:$G,5,FALSE)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200001313</v>
      </c>
      <c r="B107" s="140">
        <f>+'CARGA DE DATOS'!C107</f>
        <v>610000000002325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S6020A21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+INDEX(Gr.Estr.Reg.!$A:$C,MATCH($L107,Gr.Estr.Reg.!$C:$C,0),1)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DATOS'!$D107,Gr.Estr.Reg.!$C:$D,2,FALSE),'Unidades de Lectura'!$J:$L,3,FALSE),VLOOKUP('CARGA DE DATOS'!$K107&amp;VLOOKUP('CARGA DE DATOS'!$D107,Gr.Estr.Reg.!$C:$H,6,FALSE),'Unidades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143" t="s">
        <v>1989</v>
      </c>
      <c r="AZ107" s="143" t="str">
        <f>+IF('CARGA DE DATOS'!AY107="","false","true")</f>
        <v>false</v>
      </c>
      <c r="BA107" s="143" t="s">
        <v>389</v>
      </c>
      <c r="BB107" s="143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+VLOOKUP(L107,Gr.Estr.Reg.!$C:$G,5,FALSE)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
sólo 13,2 kV</v>
      </c>
    </row>
    <row r="108" spans="1:104" s="40" customFormat="1" x14ac:dyDescent="0.25">
      <c r="A108" s="140">
        <f>+IF('CARGA DE DATOS'!B108="","",'CARGA DE DATOS'!B108)</f>
        <v>200001313</v>
      </c>
      <c r="B108" s="140">
        <f>+'CARGA DE DATOS'!C108</f>
        <v>610000000002325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S6020A21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+INDEX(Gr.Estr.Reg.!$A:$C,MATCH($L108,Gr.Estr.Reg.!$C:$C,0),1)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DATOS'!$D108,Gr.Estr.Reg.!$C:$D,2,FALSE),'Unidades de Lectura'!$J:$L,3,FALSE),VLOOKUP('CARGA DE DATOS'!$K108&amp;VLOOKUP('CARGA DE DATOS'!$D108,Gr.Estr.Reg.!$C:$H,6,FALSE),'Unidades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143" t="s">
        <v>1989</v>
      </c>
      <c r="AZ108" s="143" t="str">
        <f>+IF('CARGA DE DATOS'!AY108="","false","true")</f>
        <v>false</v>
      </c>
      <c r="BA108" s="143" t="s">
        <v>389</v>
      </c>
      <c r="BB108" s="143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+VLOOKUP(L108,Gr.Estr.Reg.!$C:$G,5,FALSE)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200001313</v>
      </c>
      <c r="B109" s="140">
        <f>+'CARGA DE DATOS'!C109</f>
        <v>610000000002325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S6020A21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+INDEX(Gr.Estr.Reg.!$A:$C,MATCH($L109,Gr.Estr.Reg.!$C:$C,0),1)</f>
        <v>6000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DATOS'!$D109,Gr.Estr.Reg.!$C:$D,2,FALSE),'Unidades de Lectura'!$J:$L,3,FALSE),VLOOKUP('CARGA DE DATOS'!$K109&amp;VLOOKUP('CARGA DE DATOS'!$D109,Gr.Estr.Reg.!$C:$H,6,FALSE),'Unidades de Lectura'!$H:$L,5,FALSE))</f>
        <v>GROCC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143" t="s">
        <v>1989</v>
      </c>
      <c r="AZ109" s="143" t="str">
        <f>+IF('CARGA DE DATOS'!AY109="","false","true")</f>
        <v>false</v>
      </c>
      <c r="BA109" s="143" t="s">
        <v>389</v>
      </c>
      <c r="BB109" s="143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S6020</v>
      </c>
      <c r="CL109" s="40">
        <f>+VLOOKUP(L109,Gr.Estr.Reg.!$C:$G,5,FALSE)</f>
        <v>106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
sólo 13,2 kV</v>
      </c>
    </row>
    <row r="110" spans="1:104" s="40" customFormat="1" x14ac:dyDescent="0.25">
      <c r="A110" s="140">
        <f>+IF('CARGA DE DATOS'!B110="","",'CARGA DE DATOS'!B110)</f>
        <v>200001313</v>
      </c>
      <c r="B110" s="140">
        <f>+'CARGA DE DATOS'!C110</f>
        <v>610000000002325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S6020A21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+INDEX(Gr.Estr.Reg.!$A:$C,MATCH($L110,Gr.Estr.Reg.!$C:$C,0),1)</f>
        <v>6000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DATOS'!$D110,Gr.Estr.Reg.!$C:$D,2,FALSE),'Unidades de Lectura'!$J:$L,3,FALSE),VLOOKUP('CARGA DE DATOS'!$K110&amp;VLOOKUP('CARGA DE DATOS'!$D110,Gr.Estr.Reg.!$C:$H,6,FALSE),'Unidades de Lectura'!$H:$L,5,FALSE))</f>
        <v>GROCC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143" t="s">
        <v>1989</v>
      </c>
      <c r="AZ110" s="143" t="str">
        <f>+IF('CARGA DE DATOS'!AY110="","false","true")</f>
        <v>false</v>
      </c>
      <c r="BA110" s="143" t="s">
        <v>389</v>
      </c>
      <c r="BB110" s="143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S6020</v>
      </c>
      <c r="CL110" s="40">
        <f>+VLOOKUP(L110,Gr.Estr.Reg.!$C:$G,5,FALSE)</f>
        <v>106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
sólo 13,2 kV</v>
      </c>
    </row>
    <row r="111" spans="1:104" s="40" customFormat="1" x14ac:dyDescent="0.25">
      <c r="A111" s="140">
        <f>+IF('CARGA DE DATOS'!B111="","",'CARGA DE DATOS'!B111)</f>
        <v>200001313</v>
      </c>
      <c r="B111" s="140">
        <f>+'CARGA DE DATOS'!C111</f>
        <v>610000000002325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S6020A21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+INDEX(Gr.Estr.Reg.!$A:$C,MATCH($L111,Gr.Estr.Reg.!$C:$C,0),1)</f>
        <v>6000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DATOS'!$D111,Gr.Estr.Reg.!$C:$D,2,FALSE),'Unidades de Lectura'!$J:$L,3,FALSE),VLOOKUP('CARGA DE DATOS'!$K111&amp;VLOOKUP('CARGA DE DATOS'!$D111,Gr.Estr.Reg.!$C:$H,6,FALSE),'Unidades de Lectura'!$H:$L,5,FALSE))</f>
        <v>GROCC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143" t="s">
        <v>1989</v>
      </c>
      <c r="AZ111" s="143" t="str">
        <f>+IF('CARGA DE DATOS'!AY111="","false","true")</f>
        <v>false</v>
      </c>
      <c r="BA111" s="143" t="s">
        <v>389</v>
      </c>
      <c r="BB111" s="143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S6020</v>
      </c>
      <c r="CL111" s="40">
        <f>+VLOOKUP(L111,Gr.Estr.Reg.!$C:$G,5,FALSE)</f>
        <v>106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200001313</v>
      </c>
      <c r="B112" s="140">
        <f>+'CARGA DE DATOS'!C112</f>
        <v>610000000002325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S6020A21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+INDEX(Gr.Estr.Reg.!$A:$C,MATCH($L112,Gr.Estr.Reg.!$C:$C,0),1)</f>
        <v>6000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DATOS'!$D112,Gr.Estr.Reg.!$C:$D,2,FALSE),'Unidades de Lectura'!$J:$L,3,FALSE),VLOOKUP('CARGA DE DATOS'!$K112&amp;VLOOKUP('CARGA DE DATOS'!$D112,Gr.Estr.Reg.!$C:$H,6,FALSE),'Unidades de Lectura'!$H:$L,5,FALSE))</f>
        <v>GROCC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143" t="s">
        <v>1989</v>
      </c>
      <c r="AZ112" s="143" t="str">
        <f>+IF('CARGA DE DATOS'!AY112="","false","true")</f>
        <v>false</v>
      </c>
      <c r="BA112" s="143" t="s">
        <v>389</v>
      </c>
      <c r="BB112" s="143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S6020</v>
      </c>
      <c r="CL112" s="40">
        <f>+VLOOKUP(L112,Gr.Estr.Reg.!$C:$G,5,FALSE)</f>
        <v>106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200001313</v>
      </c>
      <c r="B113" s="140">
        <f>+'CARGA DE DATOS'!C113</f>
        <v>610000000002325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+INDEX(Gr.Estr.Reg.!$A:$C,MATCH($L113,Gr.Estr.Reg.!$C:$C,0),1)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DATOS'!$D113,Gr.Estr.Reg.!$C:$D,2,FALSE),'Unidades de Lectura'!$J:$L,3,FALSE),VLOOKUP('CARGA DE DATOS'!$K113&amp;VLOOKUP('CARGA DE DATOS'!$D113,Gr.Estr.Reg.!$C:$H,6,FALSE),'Unidades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143" t="s">
        <v>1989</v>
      </c>
      <c r="AZ113" s="143" t="str">
        <f>+IF('CARGA DE DATOS'!AY113="","false","true")</f>
        <v>false</v>
      </c>
      <c r="BA113" s="143" t="s">
        <v>389</v>
      </c>
      <c r="BB113" s="143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+VLOOKUP(L113,Gr.Estr.Reg.!$C:$G,5,FALSE)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200001313</v>
      </c>
      <c r="B114" s="140">
        <f>+'CARGA DE DATOS'!C114</f>
        <v>610000000002325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+INDEX(Gr.Estr.Reg.!$A:$C,MATCH($L114,Gr.Estr.Reg.!$C:$C,0),1)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DATOS'!$D114,Gr.Estr.Reg.!$C:$D,2,FALSE),'Unidades de Lectura'!$J:$L,3,FALSE),VLOOKUP('CARGA DE DATOS'!$K114&amp;VLOOKUP('CARGA DE DATOS'!$D114,Gr.Estr.Reg.!$C:$H,6,FALSE),'Unidades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143" t="s">
        <v>1989</v>
      </c>
      <c r="AZ114" s="143" t="str">
        <f>+IF('CARGA DE DATOS'!AY114="","false","true")</f>
        <v>false</v>
      </c>
      <c r="BA114" s="143" t="s">
        <v>389</v>
      </c>
      <c r="BB114" s="143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+VLOOKUP(L114,Gr.Estr.Reg.!$C:$G,5,FALSE)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
sólo 13,2 kV</v>
      </c>
    </row>
    <row r="115" spans="1:104" s="40" customFormat="1" x14ac:dyDescent="0.25">
      <c r="A115" s="140">
        <f>+IF('CARGA DE DATOS'!B115="","",'CARGA DE DATOS'!B115)</f>
        <v>200001313</v>
      </c>
      <c r="B115" s="140">
        <f>+'CARGA DE DATOS'!C115</f>
        <v>610000000002325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+INDEX(Gr.Estr.Reg.!$A:$C,MATCH($L115,Gr.Estr.Reg.!$C:$C,0),1)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DATOS'!$D115,Gr.Estr.Reg.!$C:$D,2,FALSE),'Unidades de Lectura'!$J:$L,3,FALSE),VLOOKUP('CARGA DE DATOS'!$K115&amp;VLOOKUP('CARGA DE DATOS'!$D115,Gr.Estr.Reg.!$C:$H,6,FALSE),'Unidades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143" t="s">
        <v>1989</v>
      </c>
      <c r="AZ115" s="143" t="str">
        <f>+IF('CARGA DE DATOS'!AY115="","false","true")</f>
        <v>false</v>
      </c>
      <c r="BA115" s="143" t="s">
        <v>389</v>
      </c>
      <c r="BB115" s="143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+VLOOKUP(L115,Gr.Estr.Reg.!$C:$G,5,FALSE)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
sólo 13,2 kV</v>
      </c>
    </row>
    <row r="116" spans="1:104" s="40" customFormat="1" x14ac:dyDescent="0.25">
      <c r="A116" s="140">
        <f>+IF('CARGA DE DATOS'!B116="","",'CARGA DE DATOS'!B116)</f>
        <v>200001313</v>
      </c>
      <c r="B116" s="140">
        <f>+'CARGA DE DATOS'!C116</f>
        <v>610000000002325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+INDEX(Gr.Estr.Reg.!$A:$C,MATCH($L116,Gr.Estr.Reg.!$C:$C,0),1)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DATOS'!$D116,Gr.Estr.Reg.!$C:$D,2,FALSE),'Unidades de Lectura'!$J:$L,3,FALSE),VLOOKUP('CARGA DE DATOS'!$K116&amp;VLOOKUP('CARGA DE DATOS'!$D116,Gr.Estr.Reg.!$C:$H,6,FALSE),'Unidades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143" t="s">
        <v>1989</v>
      </c>
      <c r="AZ116" s="143" t="str">
        <f>+IF('CARGA DE DATOS'!AY116="","false","true")</f>
        <v>false</v>
      </c>
      <c r="BA116" s="143" t="s">
        <v>389</v>
      </c>
      <c r="BB116" s="143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+VLOOKUP(L116,Gr.Estr.Reg.!$C:$G,5,FALSE)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
sólo 13,2 kV</v>
      </c>
    </row>
    <row r="117" spans="1:104" s="40" customFormat="1" x14ac:dyDescent="0.25">
      <c r="A117" s="140">
        <f>+IF('CARGA DE DATOS'!B117="","",'CARGA DE DATOS'!B117)</f>
        <v>200001313</v>
      </c>
      <c r="B117" s="140">
        <f>+'CARGA DE DATOS'!C117</f>
        <v>610000000002325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S6020A21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+INDEX(Gr.Estr.Reg.!$A:$C,MATCH($L117,Gr.Estr.Reg.!$C:$C,0),1)</f>
        <v>6000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DATOS'!$D117,Gr.Estr.Reg.!$C:$D,2,FALSE),'Unidades de Lectura'!$J:$L,3,FALSE),VLOOKUP('CARGA DE DATOS'!$K117&amp;VLOOKUP('CARGA DE DATOS'!$D117,Gr.Estr.Reg.!$C:$H,6,FALSE),'Unidades de Lectura'!$H:$L,5,FALSE))</f>
        <v>GROGA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143" t="s">
        <v>1989</v>
      </c>
      <c r="AZ117" s="143" t="str">
        <f>+IF('CARGA DE DATOS'!AY117="","false","true")</f>
        <v>false</v>
      </c>
      <c r="BA117" s="143" t="s">
        <v>389</v>
      </c>
      <c r="BB117" s="143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S6020</v>
      </c>
      <c r="CL117" s="40">
        <f>+VLOOKUP(L117,Gr.Estr.Reg.!$C:$G,5,FALSE)</f>
        <v>106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200001313</v>
      </c>
      <c r="B118" s="140">
        <f>+'CARGA DE DATOS'!C118</f>
        <v>610000000002325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S6020A21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+INDEX(Gr.Estr.Reg.!$A:$C,MATCH($L118,Gr.Estr.Reg.!$C:$C,0),1)</f>
        <v>6000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DATOS'!$D118,Gr.Estr.Reg.!$C:$D,2,FALSE),'Unidades de Lectura'!$J:$L,3,FALSE),VLOOKUP('CARGA DE DATOS'!$K118&amp;VLOOKUP('CARGA DE DATOS'!$D118,Gr.Estr.Reg.!$C:$H,6,FALSE),'Unidades de Lectura'!$H:$L,5,FALSE))</f>
        <v>GROGA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143" t="s">
        <v>1989</v>
      </c>
      <c r="AZ118" s="143" t="str">
        <f>+IF('CARGA DE DATOS'!AY118="","false","true")</f>
        <v>false</v>
      </c>
      <c r="BA118" s="143" t="s">
        <v>389</v>
      </c>
      <c r="BB118" s="143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S6020</v>
      </c>
      <c r="CL118" s="40">
        <f>+VLOOKUP(L118,Gr.Estr.Reg.!$C:$G,5,FALSE)</f>
        <v>106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200001313</v>
      </c>
      <c r="B119" s="140">
        <f>+'CARGA DE DATOS'!C119</f>
        <v>610000000002325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S6020A21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+INDEX(Gr.Estr.Reg.!$A:$C,MATCH($L119,Gr.Estr.Reg.!$C:$C,0),1)</f>
        <v>6000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DATOS'!$D119,Gr.Estr.Reg.!$C:$D,2,FALSE),'Unidades de Lectura'!$J:$L,3,FALSE),VLOOKUP('CARGA DE DATOS'!$K119&amp;VLOOKUP('CARGA DE DATOS'!$D119,Gr.Estr.Reg.!$C:$H,6,FALSE),'Unidades de Lectura'!$H:$L,5,FALSE))</f>
        <v>GROGA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143" t="s">
        <v>1989</v>
      </c>
      <c r="AZ119" s="143" t="str">
        <f>+IF('CARGA DE DATOS'!AY119="","false","true")</f>
        <v>false</v>
      </c>
      <c r="BA119" s="143" t="s">
        <v>389</v>
      </c>
      <c r="BB119" s="143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S6020</v>
      </c>
      <c r="CL119" s="40">
        <f>+VLOOKUP(L119,Gr.Estr.Reg.!$C:$G,5,FALSE)</f>
        <v>106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200001313</v>
      </c>
      <c r="B120" s="140">
        <f>+'CARGA DE DATOS'!C120</f>
        <v>610000000002325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S6020A21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+INDEX(Gr.Estr.Reg.!$A:$C,MATCH($L120,Gr.Estr.Reg.!$C:$C,0),1)</f>
        <v>6000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DATOS'!$D120,Gr.Estr.Reg.!$C:$D,2,FALSE),'Unidades de Lectura'!$J:$L,3,FALSE),VLOOKUP('CARGA DE DATOS'!$K120&amp;VLOOKUP('CARGA DE DATOS'!$D120,Gr.Estr.Reg.!$C:$H,6,FALSE),'Unidades de Lectura'!$H:$L,5,FALSE))</f>
        <v>GROGA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143" t="s">
        <v>1989</v>
      </c>
      <c r="AZ120" s="143" t="str">
        <f>+IF('CARGA DE DATOS'!AY120="","false","true")</f>
        <v>false</v>
      </c>
      <c r="BA120" s="143" t="s">
        <v>389</v>
      </c>
      <c r="BB120" s="143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S6020</v>
      </c>
      <c r="CL120" s="40">
        <f>+VLOOKUP(L120,Gr.Estr.Reg.!$C:$G,5,FALSE)</f>
        <v>106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200001313</v>
      </c>
      <c r="B121" s="140">
        <f>+'CARGA DE DATOS'!C121</f>
        <v>610000000002325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S6020A21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+INDEX(Gr.Estr.Reg.!$A:$C,MATCH($L121,Gr.Estr.Reg.!$C:$C,0),1)</f>
        <v>6000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DATOS'!$D121,Gr.Estr.Reg.!$C:$D,2,FALSE),'Unidades de Lectura'!$J:$L,3,FALSE),VLOOKUP('CARGA DE DATOS'!$K121&amp;VLOOKUP('CARGA DE DATOS'!$D121,Gr.Estr.Reg.!$C:$H,6,FALSE),'Unidades de Lectura'!$H:$L,5,FALSE))</f>
        <v>GROGA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143" t="s">
        <v>1989</v>
      </c>
      <c r="AZ121" s="143" t="str">
        <f>+IF('CARGA DE DATOS'!AY121="","false","true")</f>
        <v>false</v>
      </c>
      <c r="BA121" s="143" t="s">
        <v>389</v>
      </c>
      <c r="BB121" s="143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S6020</v>
      </c>
      <c r="CL121" s="40">
        <f>+VLOOKUP(L121,Gr.Estr.Reg.!$C:$G,5,FALSE)</f>
        <v>106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200001313</v>
      </c>
      <c r="B122" s="140">
        <f>+'CARGA DE DATOS'!C122</f>
        <v>610000000002325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S6020A21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+INDEX(Gr.Estr.Reg.!$A:$C,MATCH($L122,Gr.Estr.Reg.!$C:$C,0),1)</f>
        <v>6000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DATOS'!$D122,Gr.Estr.Reg.!$C:$D,2,FALSE),'Unidades de Lectura'!$J:$L,3,FALSE),VLOOKUP('CARGA DE DATOS'!$K122&amp;VLOOKUP('CARGA DE DATOS'!$D122,Gr.Estr.Reg.!$C:$H,6,FALSE),'Unidades de Lectura'!$H:$L,5,FALSE))</f>
        <v>GROGA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143" t="s">
        <v>1989</v>
      </c>
      <c r="AZ122" s="143" t="str">
        <f>+IF('CARGA DE DATOS'!AY122="","false","true")</f>
        <v>false</v>
      </c>
      <c r="BA122" s="143" t="s">
        <v>389</v>
      </c>
      <c r="BB122" s="143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S6020</v>
      </c>
      <c r="CL122" s="40">
        <f>+VLOOKUP(L122,Gr.Estr.Reg.!$C:$G,5,FALSE)</f>
        <v>106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200001313</v>
      </c>
      <c r="B123" s="140">
        <f>+'CARGA DE DATOS'!C123</f>
        <v>610000000002325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S6020A21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+INDEX(Gr.Estr.Reg.!$A:$C,MATCH($L123,Gr.Estr.Reg.!$C:$C,0),1)</f>
        <v>6000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DATOS'!$D123,Gr.Estr.Reg.!$C:$D,2,FALSE),'Unidades de Lectura'!$J:$L,3,FALSE),VLOOKUP('CARGA DE DATOS'!$K123&amp;VLOOKUP('CARGA DE DATOS'!$D123,Gr.Estr.Reg.!$C:$H,6,FALSE),'Unidades de Lectura'!$H:$L,5,FALSE))</f>
        <v>GROGA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143" t="s">
        <v>1989</v>
      </c>
      <c r="AZ123" s="143" t="str">
        <f>+IF('CARGA DE DATOS'!AY123="","false","true")</f>
        <v>false</v>
      </c>
      <c r="BA123" s="143" t="s">
        <v>389</v>
      </c>
      <c r="BB123" s="143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S6020</v>
      </c>
      <c r="CL123" s="40">
        <f>+VLOOKUP(L123,Gr.Estr.Reg.!$C:$G,5,FALSE)</f>
        <v>106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
sólo 13,2 kV</v>
      </c>
    </row>
    <row r="124" spans="1:104" s="40" customFormat="1" x14ac:dyDescent="0.25">
      <c r="A124" s="140">
        <f>+IF('CARGA DE DATOS'!B124="","",'CARGA DE DATOS'!B124)</f>
        <v>200001313</v>
      </c>
      <c r="B124" s="140">
        <f>+'CARGA DE DATOS'!C124</f>
        <v>610000000002325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S6020A21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+INDEX(Gr.Estr.Reg.!$A:$C,MATCH($L124,Gr.Estr.Reg.!$C:$C,0),1)</f>
        <v>6000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DATOS'!$D124,Gr.Estr.Reg.!$C:$D,2,FALSE),'Unidades de Lectura'!$J:$L,3,FALSE),VLOOKUP('CARGA DE DATOS'!$K124&amp;VLOOKUP('CARGA DE DATOS'!$D124,Gr.Estr.Reg.!$C:$H,6,FALSE),'Unidades de Lectura'!$H:$L,5,FALSE))</f>
        <v>GROGA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143" t="s">
        <v>1989</v>
      </c>
      <c r="AZ124" s="143" t="str">
        <f>+IF('CARGA DE DATOS'!AY124="","false","true")</f>
        <v>false</v>
      </c>
      <c r="BA124" s="143" t="s">
        <v>389</v>
      </c>
      <c r="BB124" s="143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S6020</v>
      </c>
      <c r="CL124" s="40">
        <f>+VLOOKUP(L124,Gr.Estr.Reg.!$C:$G,5,FALSE)</f>
        <v>106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
sólo 13,2 kV</v>
      </c>
    </row>
    <row r="125" spans="1:104" s="40" customFormat="1" x14ac:dyDescent="0.25">
      <c r="A125" s="140">
        <f>+IF('CARGA DE DATOS'!B125="","",'CARGA DE DATOS'!B125)</f>
        <v>200001313</v>
      </c>
      <c r="B125" s="140">
        <f>+'CARGA DE DATOS'!C125</f>
        <v>610000000002325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S6020A21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+INDEX(Gr.Estr.Reg.!$A:$C,MATCH($L125,Gr.Estr.Reg.!$C:$C,0),1)</f>
        <v>6000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DATOS'!$D125,Gr.Estr.Reg.!$C:$D,2,FALSE),'Unidades de Lectura'!$J:$L,3,FALSE),VLOOKUP('CARGA DE DATOS'!$K125&amp;VLOOKUP('CARGA DE DATOS'!$D125,Gr.Estr.Reg.!$C:$H,6,FALSE),'Unidades de Lectura'!$H:$L,5,FALSE))</f>
        <v>GROGA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143" t="s">
        <v>1989</v>
      </c>
      <c r="AZ125" s="143" t="str">
        <f>+IF('CARGA DE DATOS'!AY125="","false","true")</f>
        <v>false</v>
      </c>
      <c r="BA125" s="143" t="s">
        <v>389</v>
      </c>
      <c r="BB125" s="143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S6020</v>
      </c>
      <c r="CL125" s="40">
        <f>+VLOOKUP(L125,Gr.Estr.Reg.!$C:$G,5,FALSE)</f>
        <v>106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
sólo 13,2 kV</v>
      </c>
    </row>
    <row r="126" spans="1:104" s="40" customFormat="1" x14ac:dyDescent="0.25">
      <c r="A126" s="140">
        <f>+IF('CARGA DE DATOS'!B126="","",'CARGA DE DATOS'!B126)</f>
        <v>200001313</v>
      </c>
      <c r="B126" s="140">
        <f>+'CARGA DE DATOS'!C126</f>
        <v>610000000002325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S6020A21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+INDEX(Gr.Estr.Reg.!$A:$C,MATCH($L126,Gr.Estr.Reg.!$C:$C,0),1)</f>
        <v>6000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DATOS'!$D126,Gr.Estr.Reg.!$C:$D,2,FALSE),'Unidades de Lectura'!$J:$L,3,FALSE),VLOOKUP('CARGA DE DATOS'!$K126&amp;VLOOKUP('CARGA DE DATOS'!$D126,Gr.Estr.Reg.!$C:$H,6,FALSE),'Unidades de Lectura'!$H:$L,5,FALSE))</f>
        <v>GROGA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143" t="s">
        <v>1989</v>
      </c>
      <c r="AZ126" s="143" t="str">
        <f>+IF('CARGA DE DATOS'!AY126="","false","true")</f>
        <v>false</v>
      </c>
      <c r="BA126" s="143" t="s">
        <v>389</v>
      </c>
      <c r="BB126" s="143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S6020</v>
      </c>
      <c r="CL126" s="40">
        <f>+VLOOKUP(L126,Gr.Estr.Reg.!$C:$G,5,FALSE)</f>
        <v>106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
sólo 13,2 kV</v>
      </c>
    </row>
    <row r="127" spans="1:104" s="40" customFormat="1" x14ac:dyDescent="0.25">
      <c r="A127" s="140">
        <f>+IF('CARGA DE DATOS'!B127="","",'CARGA DE DATOS'!B127)</f>
        <v>200001313</v>
      </c>
      <c r="B127" s="140">
        <f>+'CARGA DE DATOS'!C127</f>
        <v>610000000002325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+INDEX(Gr.Estr.Reg.!$A:$C,MATCH($L127,Gr.Estr.Reg.!$C:$C,0),1)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DATOS'!$D127,Gr.Estr.Reg.!$C:$D,2,FALSE),'Unidades de Lectura'!$J:$L,3,FALSE),VLOOKUP('CARGA DE DATOS'!$K127&amp;VLOOKUP('CARGA DE DATOS'!$D127,Gr.Estr.Reg.!$C:$H,6,FALSE),'Unidades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143" t="s">
        <v>1989</v>
      </c>
      <c r="AZ127" s="143" t="str">
        <f>+IF('CARGA DE DATOS'!AY127="","false","true")</f>
        <v>false</v>
      </c>
      <c r="BA127" s="143" t="s">
        <v>389</v>
      </c>
      <c r="BB127" s="143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+VLOOKUP(L127,Gr.Estr.Reg.!$C:$G,5,FALSE)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200001313</v>
      </c>
      <c r="B128" s="140">
        <f>+'CARGA DE DATOS'!C128</f>
        <v>610000000002325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+INDEX(Gr.Estr.Reg.!$A:$C,MATCH($L128,Gr.Estr.Reg.!$C:$C,0),1)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DATOS'!$D128,Gr.Estr.Reg.!$C:$D,2,FALSE),'Unidades de Lectura'!$J:$L,3,FALSE),VLOOKUP('CARGA DE DATOS'!$K128&amp;VLOOKUP('CARGA DE DATOS'!$D128,Gr.Estr.Reg.!$C:$H,6,FALSE),'Unidades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143" t="s">
        <v>1989</v>
      </c>
      <c r="AZ128" s="143" t="str">
        <f>+IF('CARGA DE DATOS'!AY128="","false","true")</f>
        <v>false</v>
      </c>
      <c r="BA128" s="143" t="s">
        <v>389</v>
      </c>
      <c r="BB128" s="143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+VLOOKUP(L128,Gr.Estr.Reg.!$C:$G,5,FALSE)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200001313</v>
      </c>
      <c r="B129" s="140">
        <f>+'CARGA DE DATOS'!C129</f>
        <v>610000000002325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+INDEX(Gr.Estr.Reg.!$A:$C,MATCH($L129,Gr.Estr.Reg.!$C:$C,0),1)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DATOS'!$D129,Gr.Estr.Reg.!$C:$D,2,FALSE),'Unidades de Lectura'!$J:$L,3,FALSE),VLOOKUP('CARGA DE DATOS'!$K129&amp;VLOOKUP('CARGA DE DATOS'!$D129,Gr.Estr.Reg.!$C:$H,6,FALSE),'Unidades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143" t="s">
        <v>1989</v>
      </c>
      <c r="AZ129" s="143" t="str">
        <f>+IF('CARGA DE DATOS'!AY129="","false","true")</f>
        <v>false</v>
      </c>
      <c r="BA129" s="143" t="s">
        <v>389</v>
      </c>
      <c r="BB129" s="143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+VLOOKUP(L129,Gr.Estr.Reg.!$C:$G,5,FALSE)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200001313</v>
      </c>
      <c r="B130" s="140">
        <f>+'CARGA DE DATOS'!C130</f>
        <v>610000000002325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+INDEX(Gr.Estr.Reg.!$A:$C,MATCH($L130,Gr.Estr.Reg.!$C:$C,0),1)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DATOS'!$D130,Gr.Estr.Reg.!$C:$D,2,FALSE),'Unidades de Lectura'!$J:$L,3,FALSE),VLOOKUP('CARGA DE DATOS'!$K130&amp;VLOOKUP('CARGA DE DATOS'!$D130,Gr.Estr.Reg.!$C:$H,6,FALSE),'Unidades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143" t="s">
        <v>1989</v>
      </c>
      <c r="AZ130" s="143" t="str">
        <f>+IF('CARGA DE DATOS'!AY130="","false","true")</f>
        <v>false</v>
      </c>
      <c r="BA130" s="143" t="s">
        <v>389</v>
      </c>
      <c r="BB130" s="143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+VLOOKUP(L130,Gr.Estr.Reg.!$C:$G,5,FALSE)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200001313</v>
      </c>
      <c r="B131" s="140">
        <f>+'CARGA DE DATOS'!C131</f>
        <v>610000000002325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+INDEX(Gr.Estr.Reg.!$A:$C,MATCH($L131,Gr.Estr.Reg.!$C:$C,0),1)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DATOS'!$D131,Gr.Estr.Reg.!$C:$D,2,FALSE),'Unidades de Lectura'!$J:$L,3,FALSE),VLOOKUP('CARGA DE DATOS'!$K131&amp;VLOOKUP('CARGA DE DATOS'!$D131,Gr.Estr.Reg.!$C:$H,6,FALSE),'Unidades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143" t="s">
        <v>1989</v>
      </c>
      <c r="AZ131" s="143" t="str">
        <f>+IF('CARGA DE DATOS'!AY131="","false","true")</f>
        <v>false</v>
      </c>
      <c r="BA131" s="143" t="s">
        <v>389</v>
      </c>
      <c r="BB131" s="143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+VLOOKUP(L131,Gr.Estr.Reg.!$C:$G,5,FALSE)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200001313</v>
      </c>
      <c r="B132" s="140">
        <f>+'CARGA DE DATOS'!C132</f>
        <v>610000000002325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S6020A21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+INDEX(Gr.Estr.Reg.!$A:$C,MATCH($L132,Gr.Estr.Reg.!$C:$C,0),1)</f>
        <v>6000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DATOS'!$D132,Gr.Estr.Reg.!$C:$D,2,FALSE),'Unidades de Lectura'!$J:$L,3,FALSE),VLOOKUP('CARGA DE DATOS'!$K132&amp;VLOOKUP('CARGA DE DATOS'!$D132,Gr.Estr.Reg.!$C:$H,6,FALSE),'Unidades de Lectura'!$H:$L,5,FALSE))</f>
        <v>GROGE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143" t="s">
        <v>1989</v>
      </c>
      <c r="AZ132" s="143" t="str">
        <f>+IF('CARGA DE DATOS'!AY132="","false","true")</f>
        <v>false</v>
      </c>
      <c r="BA132" s="143" t="s">
        <v>389</v>
      </c>
      <c r="BB132" s="143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S6020</v>
      </c>
      <c r="CL132" s="40">
        <f>+VLOOKUP(L132,Gr.Estr.Reg.!$C:$G,5,FALSE)</f>
        <v>106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200001313</v>
      </c>
      <c r="B133" s="140">
        <f>+'CARGA DE DATOS'!C133</f>
        <v>610000000002325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S6020A21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+INDEX(Gr.Estr.Reg.!$A:$C,MATCH($L133,Gr.Estr.Reg.!$C:$C,0),1)</f>
        <v>6000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DATOS'!$D133,Gr.Estr.Reg.!$C:$D,2,FALSE),'Unidades de Lectura'!$J:$L,3,FALSE),VLOOKUP('CARGA DE DATOS'!$K133&amp;VLOOKUP('CARGA DE DATOS'!$D133,Gr.Estr.Reg.!$C:$H,6,FALSE),'Unidades de Lectura'!$H:$L,5,FALSE))</f>
        <v>GROGE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143" t="s">
        <v>1989</v>
      </c>
      <c r="AZ133" s="143" t="str">
        <f>+IF('CARGA DE DATOS'!AY133="","false","true")</f>
        <v>false</v>
      </c>
      <c r="BA133" s="143" t="s">
        <v>389</v>
      </c>
      <c r="BB133" s="143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S6020</v>
      </c>
      <c r="CL133" s="40">
        <f>+VLOOKUP(L133,Gr.Estr.Reg.!$C:$G,5,FALSE)</f>
        <v>106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200001313</v>
      </c>
      <c r="B134" s="140">
        <f>+'CARGA DE DATOS'!C134</f>
        <v>610000000002325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S6020A21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+INDEX(Gr.Estr.Reg.!$A:$C,MATCH($L134,Gr.Estr.Reg.!$C:$C,0),1)</f>
        <v>6000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DATOS'!$D134,Gr.Estr.Reg.!$C:$D,2,FALSE),'Unidades de Lectura'!$J:$L,3,FALSE),VLOOKUP('CARGA DE DATOS'!$K134&amp;VLOOKUP('CARGA DE DATOS'!$D134,Gr.Estr.Reg.!$C:$H,6,FALSE),'Unidades de Lectura'!$H:$L,5,FALSE))</f>
        <v>GROGE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143" t="s">
        <v>1989</v>
      </c>
      <c r="AZ134" s="143" t="str">
        <f>+IF('CARGA DE DATOS'!AY134="","false","true")</f>
        <v>false</v>
      </c>
      <c r="BA134" s="143" t="s">
        <v>389</v>
      </c>
      <c r="BB134" s="143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S6020</v>
      </c>
      <c r="CL134" s="40">
        <f>+VLOOKUP(L134,Gr.Estr.Reg.!$C:$G,5,FALSE)</f>
        <v>106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200001313</v>
      </c>
      <c r="B135" s="140">
        <f>+'CARGA DE DATOS'!C135</f>
        <v>610000000002325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S6020A21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+INDEX(Gr.Estr.Reg.!$A:$C,MATCH($L135,Gr.Estr.Reg.!$C:$C,0),1)</f>
        <v>6000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DATOS'!$D135,Gr.Estr.Reg.!$C:$D,2,FALSE),'Unidades de Lectura'!$J:$L,3,FALSE),VLOOKUP('CARGA DE DATOS'!$K135&amp;VLOOKUP('CARGA DE DATOS'!$D135,Gr.Estr.Reg.!$C:$H,6,FALSE),'Unidades de Lectura'!$H:$L,5,FALSE))</f>
        <v>GROGE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143" t="s">
        <v>1989</v>
      </c>
      <c r="AZ135" s="143" t="str">
        <f>+IF('CARGA DE DATOS'!AY135="","false","true")</f>
        <v>false</v>
      </c>
      <c r="BA135" s="143" t="s">
        <v>389</v>
      </c>
      <c r="BB135" s="143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S6020</v>
      </c>
      <c r="CL135" s="40">
        <f>+VLOOKUP(L135,Gr.Estr.Reg.!$C:$G,5,FALSE)</f>
        <v>106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200001313</v>
      </c>
      <c r="B136" s="140">
        <f>+'CARGA DE DATOS'!C136</f>
        <v>610000000002325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S6020A21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+INDEX(Gr.Estr.Reg.!$A:$C,MATCH($L136,Gr.Estr.Reg.!$C:$C,0),1)</f>
        <v>6000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DATOS'!$D136,Gr.Estr.Reg.!$C:$D,2,FALSE),'Unidades de Lectura'!$J:$L,3,FALSE),VLOOKUP('CARGA DE DATOS'!$K136&amp;VLOOKUP('CARGA DE DATOS'!$D136,Gr.Estr.Reg.!$C:$H,6,FALSE),'Unidades de Lectura'!$H:$L,5,FALSE))</f>
        <v>GROGE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143" t="s">
        <v>1989</v>
      </c>
      <c r="AZ136" s="143" t="str">
        <f>+IF('CARGA DE DATOS'!AY136="","false","true")</f>
        <v>false</v>
      </c>
      <c r="BA136" s="143" t="s">
        <v>389</v>
      </c>
      <c r="BB136" s="143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S6020</v>
      </c>
      <c r="CL136" s="40">
        <f>+VLOOKUP(L136,Gr.Estr.Reg.!$C:$G,5,FALSE)</f>
        <v>106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200001313</v>
      </c>
      <c r="B137" s="140">
        <f>+'CARGA DE DATOS'!C137</f>
        <v>610000000002325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S6020A21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+INDEX(Gr.Estr.Reg.!$A:$C,MATCH($L137,Gr.Estr.Reg.!$C:$C,0),1)</f>
        <v>6000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DATOS'!$D137,Gr.Estr.Reg.!$C:$D,2,FALSE),'Unidades de Lectura'!$J:$L,3,FALSE),VLOOKUP('CARGA DE DATOS'!$K137&amp;VLOOKUP('CARGA DE DATOS'!$D137,Gr.Estr.Reg.!$C:$H,6,FALSE),'Unidades de Lectura'!$H:$L,5,FALSE))</f>
        <v>GROGE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143" t="s">
        <v>1989</v>
      </c>
      <c r="AZ137" s="143" t="str">
        <f>+IF('CARGA DE DATOS'!AY137="","false","true")</f>
        <v>false</v>
      </c>
      <c r="BA137" s="143" t="s">
        <v>389</v>
      </c>
      <c r="BB137" s="143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S6020</v>
      </c>
      <c r="CL137" s="40">
        <f>+VLOOKUP(L137,Gr.Estr.Reg.!$C:$G,5,FALSE)</f>
        <v>106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200001313</v>
      </c>
      <c r="B138" s="140">
        <f>+'CARGA DE DATOS'!C138</f>
        <v>610000000002325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S6020A21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+INDEX(Gr.Estr.Reg.!$A:$C,MATCH($L138,Gr.Estr.Reg.!$C:$C,0),1)</f>
        <v>6000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DATOS'!$D138,Gr.Estr.Reg.!$C:$D,2,FALSE),'Unidades de Lectura'!$J:$L,3,FALSE),VLOOKUP('CARGA DE DATOS'!$K138&amp;VLOOKUP('CARGA DE DATOS'!$D138,Gr.Estr.Reg.!$C:$H,6,FALSE),'Unidades de Lectura'!$H:$L,5,FALSE))</f>
        <v>GROGE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143" t="s">
        <v>1989</v>
      </c>
      <c r="AZ138" s="143" t="str">
        <f>+IF('CARGA DE DATOS'!AY138="","false","true")</f>
        <v>false</v>
      </c>
      <c r="BA138" s="143" t="s">
        <v>389</v>
      </c>
      <c r="BB138" s="143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S6020</v>
      </c>
      <c r="CL138" s="40">
        <f>+VLOOKUP(L138,Gr.Estr.Reg.!$C:$G,5,FALSE)</f>
        <v>106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
sólo 13,2 kV</v>
      </c>
    </row>
    <row r="139" spans="1:104" s="40" customFormat="1" x14ac:dyDescent="0.25">
      <c r="A139" s="140">
        <f>+IF('CARGA DE DATOS'!B139="","",'CARGA DE DATOS'!B139)</f>
        <v>200001313</v>
      </c>
      <c r="B139" s="140">
        <f>+'CARGA DE DATOS'!C139</f>
        <v>610000000002325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S6020A21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+INDEX(Gr.Estr.Reg.!$A:$C,MATCH($L139,Gr.Estr.Reg.!$C:$C,0),1)</f>
        <v>6000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DATOS'!$D139,Gr.Estr.Reg.!$C:$D,2,FALSE),'Unidades de Lectura'!$J:$L,3,FALSE),VLOOKUP('CARGA DE DATOS'!$K139&amp;VLOOKUP('CARGA DE DATOS'!$D139,Gr.Estr.Reg.!$C:$H,6,FALSE),'Unidades de Lectura'!$H:$L,5,FALSE))</f>
        <v>GROGE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143" t="s">
        <v>1989</v>
      </c>
      <c r="AZ139" s="143" t="str">
        <f>+IF('CARGA DE DATOS'!AY139="","false","true")</f>
        <v>false</v>
      </c>
      <c r="BA139" s="143" t="s">
        <v>389</v>
      </c>
      <c r="BB139" s="143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S6020</v>
      </c>
      <c r="CL139" s="40">
        <f>+VLOOKUP(L139,Gr.Estr.Reg.!$C:$G,5,FALSE)</f>
        <v>106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
sólo 13,2 kV</v>
      </c>
    </row>
    <row r="140" spans="1:104" s="40" customFormat="1" x14ac:dyDescent="0.25">
      <c r="A140" s="140">
        <f>+IF('CARGA DE DATOS'!B140="","",'CARGA DE DATOS'!B140)</f>
        <v>200001313</v>
      </c>
      <c r="B140" s="140">
        <f>+'CARGA DE DATOS'!C140</f>
        <v>610000000002325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S6020A21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+INDEX(Gr.Estr.Reg.!$A:$C,MATCH($L140,Gr.Estr.Reg.!$C:$C,0),1)</f>
        <v>6000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DATOS'!$D140,Gr.Estr.Reg.!$C:$D,2,FALSE),'Unidades de Lectura'!$J:$L,3,FALSE),VLOOKUP('CARGA DE DATOS'!$K140&amp;VLOOKUP('CARGA DE DATOS'!$D140,Gr.Estr.Reg.!$C:$H,6,FALSE),'Unidades de Lectura'!$H:$L,5,FALSE))</f>
        <v>GROGE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143" t="s">
        <v>1989</v>
      </c>
      <c r="AZ140" s="143" t="str">
        <f>+IF('CARGA DE DATOS'!AY140="","false","true")</f>
        <v>false</v>
      </c>
      <c r="BA140" s="143" t="s">
        <v>389</v>
      </c>
      <c r="BB140" s="143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S6020</v>
      </c>
      <c r="CL140" s="40">
        <f>+VLOOKUP(L140,Gr.Estr.Reg.!$C:$G,5,FALSE)</f>
        <v>106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
sólo 13,2 kV</v>
      </c>
    </row>
    <row r="141" spans="1:104" s="40" customFormat="1" x14ac:dyDescent="0.25">
      <c r="A141" s="140">
        <f>+IF('CARGA DE DATOS'!B141="","",'CARGA DE DATOS'!B141)</f>
        <v>200001313</v>
      </c>
      <c r="B141" s="140">
        <f>+'CARGA DE DATOS'!C141</f>
        <v>610000000002325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S6020A21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+INDEX(Gr.Estr.Reg.!$A:$C,MATCH($L141,Gr.Estr.Reg.!$C:$C,0),1)</f>
        <v>6000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DATOS'!$D141,Gr.Estr.Reg.!$C:$D,2,FALSE),'Unidades de Lectura'!$J:$L,3,FALSE),VLOOKUP('CARGA DE DATOS'!$K141&amp;VLOOKUP('CARGA DE DATOS'!$D141,Gr.Estr.Reg.!$C:$H,6,FALSE),'Unidades de Lectura'!$H:$L,5,FALSE))</f>
        <v>GROGE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143" t="s">
        <v>1989</v>
      </c>
      <c r="AZ141" s="143" t="str">
        <f>+IF('CARGA DE DATOS'!AY141="","false","true")</f>
        <v>false</v>
      </c>
      <c r="BA141" s="143" t="s">
        <v>389</v>
      </c>
      <c r="BB141" s="143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S6020</v>
      </c>
      <c r="CL141" s="40">
        <f>+VLOOKUP(L141,Gr.Estr.Reg.!$C:$G,5,FALSE)</f>
        <v>106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
sólo 13,2 kV</v>
      </c>
    </row>
    <row r="142" spans="1:104" s="40" customFormat="1" x14ac:dyDescent="0.25">
      <c r="A142" s="140">
        <f>+IF('CARGA DE DATOS'!B142="","",'CARGA DE DATOS'!B142)</f>
        <v>200001313</v>
      </c>
      <c r="B142" s="140">
        <f>+'CARGA DE DATOS'!C142</f>
        <v>610000000002325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+INDEX(Gr.Estr.Reg.!$A:$C,MATCH($L142,Gr.Estr.Reg.!$C:$C,0),1)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DATOS'!$D142,Gr.Estr.Reg.!$C:$D,2,FALSE),'Unidades de Lectura'!$J:$L,3,FALSE),VLOOKUP('CARGA DE DATOS'!$K142&amp;VLOOKUP('CARGA DE DATOS'!$D142,Gr.Estr.Reg.!$C:$H,6,FALSE),'Unidades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143" t="s">
        <v>1989</v>
      </c>
      <c r="AZ142" s="143" t="str">
        <f>+IF('CARGA DE DATOS'!AY142="","false","true")</f>
        <v>false</v>
      </c>
      <c r="BA142" s="143" t="s">
        <v>389</v>
      </c>
      <c r="BB142" s="143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+VLOOKUP(L142,Gr.Estr.Reg.!$C:$G,5,FALSE)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200001313</v>
      </c>
      <c r="B143" s="140">
        <f>+'CARGA DE DATOS'!C143</f>
        <v>610000000002325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+INDEX(Gr.Estr.Reg.!$A:$C,MATCH($L143,Gr.Estr.Reg.!$C:$C,0),1)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DATOS'!$D143,Gr.Estr.Reg.!$C:$D,2,FALSE),'Unidades de Lectura'!$J:$L,3,FALSE),VLOOKUP('CARGA DE DATOS'!$K143&amp;VLOOKUP('CARGA DE DATOS'!$D143,Gr.Estr.Reg.!$C:$H,6,FALSE),'Unidades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143" t="s">
        <v>1989</v>
      </c>
      <c r="AZ143" s="143" t="str">
        <f>+IF('CARGA DE DATOS'!AY143="","false","true")</f>
        <v>false</v>
      </c>
      <c r="BA143" s="143" t="s">
        <v>389</v>
      </c>
      <c r="BB143" s="143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+VLOOKUP(L143,Gr.Estr.Reg.!$C:$G,5,FALSE)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200001313</v>
      </c>
      <c r="B144" s="140">
        <f>+'CARGA DE DATOS'!C144</f>
        <v>610000000002325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+INDEX(Gr.Estr.Reg.!$A:$C,MATCH($L144,Gr.Estr.Reg.!$C:$C,0),1)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DATOS'!$D144,Gr.Estr.Reg.!$C:$D,2,FALSE),'Unidades de Lectura'!$J:$L,3,FALSE),VLOOKUP('CARGA DE DATOS'!$K144&amp;VLOOKUP('CARGA DE DATOS'!$D144,Gr.Estr.Reg.!$C:$H,6,FALSE),'Unidades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143" t="s">
        <v>1989</v>
      </c>
      <c r="AZ144" s="143" t="str">
        <f>+IF('CARGA DE DATOS'!AY144="","false","true")</f>
        <v>false</v>
      </c>
      <c r="BA144" s="143" t="s">
        <v>389</v>
      </c>
      <c r="BB144" s="143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+VLOOKUP(L144,Gr.Estr.Reg.!$C:$G,5,FALSE)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200001313</v>
      </c>
      <c r="B145" s="140">
        <f>+'CARGA DE DATOS'!C145</f>
        <v>610000000002325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+INDEX(Gr.Estr.Reg.!$A:$C,MATCH($L145,Gr.Estr.Reg.!$C:$C,0),1)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DATOS'!$D145,Gr.Estr.Reg.!$C:$D,2,FALSE),'Unidades de Lectura'!$J:$L,3,FALSE),VLOOKUP('CARGA DE DATOS'!$K145&amp;VLOOKUP('CARGA DE DATOS'!$D145,Gr.Estr.Reg.!$C:$H,6,FALSE),'Unidades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143" t="s">
        <v>1989</v>
      </c>
      <c r="AZ145" s="143" t="str">
        <f>+IF('CARGA DE DATOS'!AY145="","false","true")</f>
        <v>false</v>
      </c>
      <c r="BA145" s="143" t="s">
        <v>389</v>
      </c>
      <c r="BB145" s="143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+VLOOKUP(L145,Gr.Estr.Reg.!$C:$G,5,FALSE)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200001313</v>
      </c>
      <c r="B146" s="140">
        <f>+'CARGA DE DATOS'!C146</f>
        <v>610000000002325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+INDEX(Gr.Estr.Reg.!$A:$C,MATCH($L146,Gr.Estr.Reg.!$C:$C,0),1)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DATOS'!$D146,Gr.Estr.Reg.!$C:$D,2,FALSE),'Unidades de Lectura'!$J:$L,3,FALSE),VLOOKUP('CARGA DE DATOS'!$K146&amp;VLOOKUP('CARGA DE DATOS'!$D146,Gr.Estr.Reg.!$C:$H,6,FALSE),'Unidades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143" t="s">
        <v>1989</v>
      </c>
      <c r="AZ146" s="143" t="str">
        <f>+IF('CARGA DE DATOS'!AY146="","false","true")</f>
        <v>false</v>
      </c>
      <c r="BA146" s="143" t="s">
        <v>389</v>
      </c>
      <c r="BB146" s="143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+VLOOKUP(L146,Gr.Estr.Reg.!$C:$G,5,FALSE)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200001313</v>
      </c>
      <c r="B147" s="140">
        <f>+'CARGA DE DATOS'!C147</f>
        <v>610000000002325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S6020A21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+INDEX(Gr.Estr.Reg.!$A:$C,MATCH($L147,Gr.Estr.Reg.!$C:$C,0),1)</f>
        <v>6000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DATOS'!$D147,Gr.Estr.Reg.!$C:$D,2,FALSE),'Unidades de Lectura'!$J:$L,3,FALSE),VLOOKUP('CARGA DE DATOS'!$K147&amp;VLOOKUP('CARGA DE DATOS'!$D147,Gr.Estr.Reg.!$C:$H,6,FALSE),'Unidades de Lectura'!$H:$L,5,FALSE))</f>
        <v>GROCO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143" t="s">
        <v>1989</v>
      </c>
      <c r="AZ147" s="143" t="str">
        <f>+IF('CARGA DE DATOS'!AY147="","false","true")</f>
        <v>false</v>
      </c>
      <c r="BA147" s="143" t="s">
        <v>389</v>
      </c>
      <c r="BB147" s="143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S6020</v>
      </c>
      <c r="CL147" s="40">
        <f>+VLOOKUP(L147,Gr.Estr.Reg.!$C:$G,5,FALSE)</f>
        <v>106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200001313</v>
      </c>
      <c r="B148" s="140">
        <f>+'CARGA DE DATOS'!C148</f>
        <v>610000000002325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S6020A21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+INDEX(Gr.Estr.Reg.!$A:$C,MATCH($L148,Gr.Estr.Reg.!$C:$C,0),1)</f>
        <v>6000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DATOS'!$D148,Gr.Estr.Reg.!$C:$D,2,FALSE),'Unidades de Lectura'!$J:$L,3,FALSE),VLOOKUP('CARGA DE DATOS'!$K148&amp;VLOOKUP('CARGA DE DATOS'!$D148,Gr.Estr.Reg.!$C:$H,6,FALSE),'Unidades de Lectura'!$H:$L,5,FALSE))</f>
        <v>GROCO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143" t="s">
        <v>1989</v>
      </c>
      <c r="AZ148" s="143" t="str">
        <f>+IF('CARGA DE DATOS'!AY148="","false","true")</f>
        <v>false</v>
      </c>
      <c r="BA148" s="143" t="s">
        <v>389</v>
      </c>
      <c r="BB148" s="143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S6020</v>
      </c>
      <c r="CL148" s="40">
        <f>+VLOOKUP(L148,Gr.Estr.Reg.!$C:$G,5,FALSE)</f>
        <v>106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 entre 85 y 100</v>
      </c>
    </row>
    <row r="149" spans="1:104" s="40" customFormat="1" x14ac:dyDescent="0.25">
      <c r="A149" s="140">
        <f>+IF('CARGA DE DATOS'!B149="","",'CARGA DE DATOS'!B149)</f>
        <v>200001313</v>
      </c>
      <c r="B149" s="140">
        <f>+'CARGA DE DATOS'!C149</f>
        <v>610000000002325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S6020A21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+INDEX(Gr.Estr.Reg.!$A:$C,MATCH($L149,Gr.Estr.Reg.!$C:$C,0),1)</f>
        <v>6000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DATOS'!$D149,Gr.Estr.Reg.!$C:$D,2,FALSE),'Unidades de Lectura'!$J:$L,3,FALSE),VLOOKUP('CARGA DE DATOS'!$K149&amp;VLOOKUP('CARGA DE DATOS'!$D149,Gr.Estr.Reg.!$C:$H,6,FALSE),'Unidades de Lectura'!$H:$L,5,FALSE))</f>
        <v>GROCO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143" t="s">
        <v>1989</v>
      </c>
      <c r="AZ149" s="143" t="str">
        <f>+IF('CARGA DE DATOS'!AY149="","false","true")</f>
        <v>false</v>
      </c>
      <c r="BA149" s="143" t="s">
        <v>389</v>
      </c>
      <c r="BB149" s="143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S6020</v>
      </c>
      <c r="CL149" s="40">
        <f>+VLOOKUP(L149,Gr.Estr.Reg.!$C:$G,5,FALSE)</f>
        <v>106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200001313</v>
      </c>
      <c r="B150" s="140">
        <f>+'CARGA DE DATOS'!C150</f>
        <v>610000000002325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S6020A21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+INDEX(Gr.Estr.Reg.!$A:$C,MATCH($L150,Gr.Estr.Reg.!$C:$C,0),1)</f>
        <v>6000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DATOS'!$D150,Gr.Estr.Reg.!$C:$D,2,FALSE),'Unidades de Lectura'!$J:$L,3,FALSE),VLOOKUP('CARGA DE DATOS'!$K150&amp;VLOOKUP('CARGA DE DATOS'!$D150,Gr.Estr.Reg.!$C:$H,6,FALSE),'Unidades de Lectura'!$H:$L,5,FALSE))</f>
        <v>GROCO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143" t="s">
        <v>1989</v>
      </c>
      <c r="AZ150" s="143" t="str">
        <f>+IF('CARGA DE DATOS'!AY150="","false","true")</f>
        <v>false</v>
      </c>
      <c r="BA150" s="143" t="s">
        <v>389</v>
      </c>
      <c r="BB150" s="143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S6020</v>
      </c>
      <c r="CL150" s="40">
        <f>+VLOOKUP(L150,Gr.Estr.Reg.!$C:$G,5,FALSE)</f>
        <v>106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200001313</v>
      </c>
      <c r="B151" s="140">
        <f>+'CARGA DE DATOS'!C151</f>
        <v>610000000002325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S6020A21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+INDEX(Gr.Estr.Reg.!$A:$C,MATCH($L151,Gr.Estr.Reg.!$C:$C,0),1)</f>
        <v>6000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DATOS'!$D151,Gr.Estr.Reg.!$C:$D,2,FALSE),'Unidades de Lectura'!$J:$L,3,FALSE),VLOOKUP('CARGA DE DATOS'!$K151&amp;VLOOKUP('CARGA DE DATOS'!$D151,Gr.Estr.Reg.!$C:$H,6,FALSE),'Unidades de Lectura'!$H:$L,5,FALSE))</f>
        <v>GROCO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143" t="s">
        <v>1989</v>
      </c>
      <c r="AZ151" s="143" t="str">
        <f>+IF('CARGA DE DATOS'!AY151="","false","true")</f>
        <v>false</v>
      </c>
      <c r="BA151" s="143" t="s">
        <v>389</v>
      </c>
      <c r="BB151" s="143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S6020</v>
      </c>
      <c r="CL151" s="40">
        <f>+VLOOKUP(L151,Gr.Estr.Reg.!$C:$G,5,FALSE)</f>
        <v>106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200001313</v>
      </c>
      <c r="B152" s="140">
        <f>+'CARGA DE DATOS'!C152</f>
        <v>610000000002325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S6020A21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+INDEX(Gr.Estr.Reg.!$A:$C,MATCH($L152,Gr.Estr.Reg.!$C:$C,0),1)</f>
        <v>6000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DATOS'!$D152,Gr.Estr.Reg.!$C:$D,2,FALSE),'Unidades de Lectura'!$J:$L,3,FALSE),VLOOKUP('CARGA DE DATOS'!$K152&amp;VLOOKUP('CARGA DE DATOS'!$D152,Gr.Estr.Reg.!$C:$H,6,FALSE),'Unidades de Lectura'!$H:$L,5,FALSE))</f>
        <v>GROCO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143" t="s">
        <v>1989</v>
      </c>
      <c r="AZ152" s="143" t="str">
        <f>+IF('CARGA DE DATOS'!AY152="","false","true")</f>
        <v>false</v>
      </c>
      <c r="BA152" s="143" t="s">
        <v>389</v>
      </c>
      <c r="BB152" s="143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S6020</v>
      </c>
      <c r="CL152" s="40">
        <f>+VLOOKUP(L152,Gr.Estr.Reg.!$C:$G,5,FALSE)</f>
        <v>106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 entre 85 y 100</v>
      </c>
    </row>
    <row r="153" spans="1:104" s="40" customFormat="1" x14ac:dyDescent="0.25">
      <c r="A153" s="140">
        <f>+IF('CARGA DE DATOS'!B153="","",'CARGA DE DATOS'!B153)</f>
        <v>200001313</v>
      </c>
      <c r="B153" s="140">
        <f>+'CARGA DE DATOS'!C153</f>
        <v>610000000002325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S6020A21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+INDEX(Gr.Estr.Reg.!$A:$C,MATCH($L153,Gr.Estr.Reg.!$C:$C,0),1)</f>
        <v>6000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DATOS'!$D153,Gr.Estr.Reg.!$C:$D,2,FALSE),'Unidades de Lectura'!$J:$L,3,FALSE),VLOOKUP('CARGA DE DATOS'!$K153&amp;VLOOKUP('CARGA DE DATOS'!$D153,Gr.Estr.Reg.!$C:$H,6,FALSE),'Unidades de Lectura'!$H:$L,5,FALSE))</f>
        <v>GROCO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143" t="s">
        <v>1989</v>
      </c>
      <c r="AZ153" s="143" t="str">
        <f>+IF('CARGA DE DATOS'!AY153="","false","true")</f>
        <v>false</v>
      </c>
      <c r="BA153" s="143" t="s">
        <v>389</v>
      </c>
      <c r="BB153" s="143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S6020</v>
      </c>
      <c r="CL153" s="40">
        <f>+VLOOKUP(L153,Gr.Estr.Reg.!$C:$G,5,FALSE)</f>
        <v>106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200001313</v>
      </c>
      <c r="B154" s="140">
        <f>+'CARGA DE DATOS'!C154</f>
        <v>610000000002325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S6020A21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+INDEX(Gr.Estr.Reg.!$A:$C,MATCH($L154,Gr.Estr.Reg.!$C:$C,0),1)</f>
        <v>6000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DATOS'!$D154,Gr.Estr.Reg.!$C:$D,2,FALSE),'Unidades de Lectura'!$J:$L,3,FALSE),VLOOKUP('CARGA DE DATOS'!$K154&amp;VLOOKUP('CARGA DE DATOS'!$D154,Gr.Estr.Reg.!$C:$H,6,FALSE),'Unidades de Lectura'!$H:$L,5,FALSE))</f>
        <v>GROCO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143" t="s">
        <v>1989</v>
      </c>
      <c r="AZ154" s="143" t="str">
        <f>+IF('CARGA DE DATOS'!AY154="","false","true")</f>
        <v>false</v>
      </c>
      <c r="BA154" s="143" t="s">
        <v>389</v>
      </c>
      <c r="BB154" s="143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S6020</v>
      </c>
      <c r="CL154" s="40">
        <f>+VLOOKUP(L154,Gr.Estr.Reg.!$C:$G,5,FALSE)</f>
        <v>106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200001313</v>
      </c>
      <c r="B155" s="140">
        <f>+'CARGA DE DATOS'!C155</f>
        <v>610000000002325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+INDEX(Gr.Estr.Reg.!$A:$C,MATCH($L155,Gr.Estr.Reg.!$C:$C,0),1)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DATOS'!$D155,Gr.Estr.Reg.!$C:$D,2,FALSE),'Unidades de Lectura'!$J:$L,3,FALSE),VLOOKUP('CARGA DE DATOS'!$K155&amp;VLOOKUP('CARGA DE DATOS'!$D155,Gr.Estr.Reg.!$C:$H,6,FALSE),'Unidades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143" t="s">
        <v>1989</v>
      </c>
      <c r="AZ155" s="143" t="str">
        <f>+IF('CARGA DE DATOS'!AY155="","false","true")</f>
        <v>false</v>
      </c>
      <c r="BA155" s="143" t="s">
        <v>389</v>
      </c>
      <c r="BB155" s="143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+VLOOKUP(L155,Gr.Estr.Reg.!$C:$G,5,FALSE)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200001313</v>
      </c>
      <c r="B156" s="140">
        <f>+'CARGA DE DATOS'!C156</f>
        <v>610000000002325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+INDEX(Gr.Estr.Reg.!$A:$C,MATCH($L156,Gr.Estr.Reg.!$C:$C,0),1)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DATOS'!$D156,Gr.Estr.Reg.!$C:$D,2,FALSE),'Unidades de Lectura'!$J:$L,3,FALSE),VLOOKUP('CARGA DE DATOS'!$K156&amp;VLOOKUP('CARGA DE DATOS'!$D156,Gr.Estr.Reg.!$C:$H,6,FALSE),'Unidades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143" t="s">
        <v>1989</v>
      </c>
      <c r="AZ156" s="143" t="str">
        <f>+IF('CARGA DE DATOS'!AY156="","false","true")</f>
        <v>false</v>
      </c>
      <c r="BA156" s="143" t="s">
        <v>389</v>
      </c>
      <c r="BB156" s="143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+VLOOKUP(L156,Gr.Estr.Reg.!$C:$G,5,FALSE)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 entre 85 y 100</v>
      </c>
    </row>
    <row r="157" spans="1:104" s="40" customFormat="1" x14ac:dyDescent="0.25">
      <c r="A157" s="140">
        <f>+IF('CARGA DE DATOS'!B157="","",'CARGA DE DATOS'!B157)</f>
        <v>200001313</v>
      </c>
      <c r="B157" s="140">
        <f>+'CARGA DE DATOS'!C157</f>
        <v>610000000002325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+INDEX(Gr.Estr.Reg.!$A:$C,MATCH($L157,Gr.Estr.Reg.!$C:$C,0),1)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DATOS'!$D157,Gr.Estr.Reg.!$C:$D,2,FALSE),'Unidades de Lectura'!$J:$L,3,FALSE),VLOOKUP('CARGA DE DATOS'!$K157&amp;VLOOKUP('CARGA DE DATOS'!$D157,Gr.Estr.Reg.!$C:$H,6,FALSE),'Unidades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143" t="s">
        <v>1989</v>
      </c>
      <c r="AZ157" s="143" t="str">
        <f>+IF('CARGA DE DATOS'!AY157="","false","true")</f>
        <v>false</v>
      </c>
      <c r="BA157" s="143" t="s">
        <v>389</v>
      </c>
      <c r="BB157" s="143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+VLOOKUP(L157,Gr.Estr.Reg.!$C:$G,5,FALSE)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200001313</v>
      </c>
      <c r="B158" s="140">
        <f>+'CARGA DE DATOS'!C158</f>
        <v>610000000002325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+INDEX(Gr.Estr.Reg.!$A:$C,MATCH($L158,Gr.Estr.Reg.!$C:$C,0),1)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DATOS'!$D158,Gr.Estr.Reg.!$C:$D,2,FALSE),'Unidades de Lectura'!$J:$L,3,FALSE),VLOOKUP('CARGA DE DATOS'!$K158&amp;VLOOKUP('CARGA DE DATOS'!$D158,Gr.Estr.Reg.!$C:$H,6,FALSE),'Unidades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143" t="s">
        <v>1989</v>
      </c>
      <c r="AZ158" s="143" t="str">
        <f>+IF('CARGA DE DATOS'!AY158="","false","true")</f>
        <v>false</v>
      </c>
      <c r="BA158" s="143" t="s">
        <v>389</v>
      </c>
      <c r="BB158" s="143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+VLOOKUP(L158,Gr.Estr.Reg.!$C:$G,5,FALSE)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200001313</v>
      </c>
      <c r="B159" s="140">
        <f>+'CARGA DE DATOS'!C159</f>
        <v>610000000002325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S6020A21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+INDEX(Gr.Estr.Reg.!$A:$C,MATCH($L159,Gr.Estr.Reg.!$C:$C,0),1)</f>
        <v>6000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DATOS'!$D159,Gr.Estr.Reg.!$C:$D,2,FALSE),'Unidades de Lectura'!$J:$L,3,FALSE),VLOOKUP('CARGA DE DATOS'!$K159&amp;VLOOKUP('CARGA DE DATOS'!$D159,Gr.Estr.Reg.!$C:$H,6,FALSE),'Unidades de Lectura'!$H:$L,5,FALSE))</f>
        <v>GROCC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143" t="s">
        <v>1989</v>
      </c>
      <c r="AZ159" s="143" t="str">
        <f>+IF('CARGA DE DATOS'!AY159="","false","true")</f>
        <v>false</v>
      </c>
      <c r="BA159" s="143" t="s">
        <v>389</v>
      </c>
      <c r="BB159" s="143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S6020</v>
      </c>
      <c r="CL159" s="40">
        <f>+VLOOKUP(L159,Gr.Estr.Reg.!$C:$G,5,FALSE)</f>
        <v>106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200001313</v>
      </c>
      <c r="B160" s="140">
        <f>+'CARGA DE DATOS'!C160</f>
        <v>610000000002325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S6020A21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+INDEX(Gr.Estr.Reg.!$A:$C,MATCH($L160,Gr.Estr.Reg.!$C:$C,0),1)</f>
        <v>6000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DATOS'!$D160,Gr.Estr.Reg.!$C:$D,2,FALSE),'Unidades de Lectura'!$J:$L,3,FALSE),VLOOKUP('CARGA DE DATOS'!$K160&amp;VLOOKUP('CARGA DE DATOS'!$D160,Gr.Estr.Reg.!$C:$H,6,FALSE),'Unidades de Lectura'!$H:$L,5,FALSE))</f>
        <v>GROCC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143" t="s">
        <v>1989</v>
      </c>
      <c r="AZ160" s="143" t="str">
        <f>+IF('CARGA DE DATOS'!AY160="","false","true")</f>
        <v>true</v>
      </c>
      <c r="BA160" s="143" t="s">
        <v>389</v>
      </c>
      <c r="BB160" s="143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S6020</v>
      </c>
      <c r="CL160" s="40">
        <f>+VLOOKUP(L160,Gr.Estr.Reg.!$C:$G,5,FALSE)</f>
        <v>106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200001313</v>
      </c>
      <c r="B161" s="140">
        <f>+'CARGA DE DATOS'!C161</f>
        <v>610000000002325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S6020A21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+INDEX(Gr.Estr.Reg.!$A:$C,MATCH($L161,Gr.Estr.Reg.!$C:$C,0),1)</f>
        <v>6000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DATOS'!$D161,Gr.Estr.Reg.!$C:$D,2,FALSE),'Unidades de Lectura'!$J:$L,3,FALSE),VLOOKUP('CARGA DE DATOS'!$K161&amp;VLOOKUP('CARGA DE DATOS'!$D161,Gr.Estr.Reg.!$C:$H,6,FALSE),'Unidades de Lectura'!$H:$L,5,FALSE))</f>
        <v>GROCC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143" t="s">
        <v>1989</v>
      </c>
      <c r="AZ161" s="143" t="str">
        <f>+IF('CARGA DE DATOS'!AY161="","false","true")</f>
        <v>true</v>
      </c>
      <c r="BA161" s="143" t="s">
        <v>389</v>
      </c>
      <c r="BB161" s="143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S6020</v>
      </c>
      <c r="CL161" s="40">
        <f>+VLOOKUP(L161,Gr.Estr.Reg.!$C:$G,5,FALSE)</f>
        <v>106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200001313</v>
      </c>
      <c r="B162" s="140">
        <f>+'CARGA DE DATOS'!C162</f>
        <v>610000000002325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S6020A21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+INDEX(Gr.Estr.Reg.!$A:$C,MATCH($L162,Gr.Estr.Reg.!$C:$C,0),1)</f>
        <v>6000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DATOS'!$D162,Gr.Estr.Reg.!$C:$D,2,FALSE),'Unidades de Lectura'!$J:$L,3,FALSE),VLOOKUP('CARGA DE DATOS'!$K162&amp;VLOOKUP('CARGA DE DATOS'!$D162,Gr.Estr.Reg.!$C:$H,6,FALSE),'Unidades de Lectura'!$H:$L,5,FALSE))</f>
        <v>GROCC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143" t="s">
        <v>1989</v>
      </c>
      <c r="AZ162" s="143" t="str">
        <f>+IF('CARGA DE DATOS'!AY162="","false","true")</f>
        <v>true</v>
      </c>
      <c r="BA162" s="143" t="s">
        <v>389</v>
      </c>
      <c r="BB162" s="143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S6020</v>
      </c>
      <c r="CL162" s="40">
        <f>+VLOOKUP(L162,Gr.Estr.Reg.!$C:$G,5,FALSE)</f>
        <v>106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200001313</v>
      </c>
      <c r="B163" s="140">
        <f>+'CARGA DE DATOS'!C163</f>
        <v>610000000002325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S6020A21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+INDEX(Gr.Estr.Reg.!$A:$C,MATCH($L163,Gr.Estr.Reg.!$C:$C,0),1)</f>
        <v>6000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DATOS'!$D163,Gr.Estr.Reg.!$C:$D,2,FALSE),'Unidades de Lectura'!$J:$L,3,FALSE),VLOOKUP('CARGA DE DATOS'!$K163&amp;VLOOKUP('CARGA DE DATOS'!$D163,Gr.Estr.Reg.!$C:$H,6,FALSE),'Unidades de Lectura'!$H:$L,5,FALSE))</f>
        <v>GROCC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143" t="s">
        <v>1989</v>
      </c>
      <c r="AZ163" s="143" t="str">
        <f>+IF('CARGA DE DATOS'!AY163="","false","true")</f>
        <v>false</v>
      </c>
      <c r="BA163" s="143" t="s">
        <v>389</v>
      </c>
      <c r="BB163" s="143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S6020</v>
      </c>
      <c r="CL163" s="40">
        <f>+VLOOKUP(L163,Gr.Estr.Reg.!$C:$G,5,FALSE)</f>
        <v>106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200001313</v>
      </c>
      <c r="B164" s="140">
        <f>+'CARGA DE DATOS'!C164</f>
        <v>610000000002325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+INDEX(Gr.Estr.Reg.!$A:$C,MATCH($L164,Gr.Estr.Reg.!$C:$C,0),1)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DATOS'!$D164,Gr.Estr.Reg.!$C:$D,2,FALSE),'Unidades de Lectura'!$J:$L,3,FALSE),VLOOKUP('CARGA DE DATOS'!$K164&amp;VLOOKUP('CARGA DE DATOS'!$D164,Gr.Estr.Reg.!$C:$H,6,FALSE),'Unidades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143" t="s">
        <v>1989</v>
      </c>
      <c r="AZ164" s="143" t="str">
        <f>+IF('CARGA DE DATOS'!AY164="","false","true")</f>
        <v>false</v>
      </c>
      <c r="BA164" s="143" t="s">
        <v>389</v>
      </c>
      <c r="BB164" s="143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+VLOOKUP(L164,Gr.Estr.Reg.!$C:$G,5,FALSE)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200001313</v>
      </c>
      <c r="B165" s="140">
        <f>+'CARGA DE DATOS'!C165</f>
        <v>610000000002325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+INDEX(Gr.Estr.Reg.!$A:$C,MATCH($L165,Gr.Estr.Reg.!$C:$C,0),1)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DATOS'!$D165,Gr.Estr.Reg.!$C:$D,2,FALSE),'Unidades de Lectura'!$J:$L,3,FALSE),VLOOKUP('CARGA DE DATOS'!$K165&amp;VLOOKUP('CARGA DE DATOS'!$D165,Gr.Estr.Reg.!$C:$H,6,FALSE),'Unidades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143" t="s">
        <v>1989</v>
      </c>
      <c r="AZ165" s="143" t="str">
        <f>+IF('CARGA DE DATOS'!AY165="","false","true")</f>
        <v>true</v>
      </c>
      <c r="BA165" s="143" t="s">
        <v>389</v>
      </c>
      <c r="BB165" s="143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+VLOOKUP(L165,Gr.Estr.Reg.!$C:$G,5,FALSE)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200001313</v>
      </c>
      <c r="B166" s="140">
        <f>+'CARGA DE DATOS'!C166</f>
        <v>610000000002325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+INDEX(Gr.Estr.Reg.!$A:$C,MATCH($L166,Gr.Estr.Reg.!$C:$C,0),1)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DATOS'!$D166,Gr.Estr.Reg.!$C:$D,2,FALSE),'Unidades de Lectura'!$J:$L,3,FALSE),VLOOKUP('CARGA DE DATOS'!$K166&amp;VLOOKUP('CARGA DE DATOS'!$D166,Gr.Estr.Reg.!$C:$H,6,FALSE),'Unidades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143" t="s">
        <v>1989</v>
      </c>
      <c r="AZ166" s="143" t="str">
        <f>+IF('CARGA DE DATOS'!AY166="","false","true")</f>
        <v>true</v>
      </c>
      <c r="BA166" s="143" t="s">
        <v>389</v>
      </c>
      <c r="BB166" s="143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+VLOOKUP(L166,Gr.Estr.Reg.!$C:$G,5,FALSE)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200001313</v>
      </c>
      <c r="B167" s="140">
        <f>+'CARGA DE DATOS'!C167</f>
        <v>610000000002325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+INDEX(Gr.Estr.Reg.!$A:$C,MATCH($L167,Gr.Estr.Reg.!$C:$C,0),1)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DATOS'!$D167,Gr.Estr.Reg.!$C:$D,2,FALSE),'Unidades de Lectura'!$J:$L,3,FALSE),VLOOKUP('CARGA DE DATOS'!$K167&amp;VLOOKUP('CARGA DE DATOS'!$D167,Gr.Estr.Reg.!$C:$H,6,FALSE),'Unidades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143" t="s">
        <v>1989</v>
      </c>
      <c r="AZ167" s="143" t="str">
        <f>+IF('CARGA DE DATOS'!AY167="","false","true")</f>
        <v>true</v>
      </c>
      <c r="BA167" s="143" t="s">
        <v>389</v>
      </c>
      <c r="BB167" s="143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+VLOOKUP(L167,Gr.Estr.Reg.!$C:$G,5,FALSE)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200001313</v>
      </c>
      <c r="B168" s="140">
        <f>+'CARGA DE DATOS'!C168</f>
        <v>610000000002325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+INDEX(Gr.Estr.Reg.!$A:$C,MATCH($L168,Gr.Estr.Reg.!$C:$C,0),1)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DATOS'!$D168,Gr.Estr.Reg.!$C:$D,2,FALSE),'Unidades de Lectura'!$J:$L,3,FALSE),VLOOKUP('CARGA DE DATOS'!$K168&amp;VLOOKUP('CARGA DE DATOS'!$D168,Gr.Estr.Reg.!$C:$H,6,FALSE),'Unidades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143" t="s">
        <v>1989</v>
      </c>
      <c r="AZ168" s="143" t="str">
        <f>+IF('CARGA DE DATOS'!AY168="","false","true")</f>
        <v>false</v>
      </c>
      <c r="BA168" s="143" t="s">
        <v>389</v>
      </c>
      <c r="BB168" s="143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+VLOOKUP(L168,Gr.Estr.Reg.!$C:$G,5,FALSE)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AY169" s="143"/>
      <c r="AZ169" s="143"/>
      <c r="BA169" s="143"/>
      <c r="BB169" s="143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AY170" s="143"/>
      <c r="AZ170" s="143"/>
      <c r="BA170" s="143"/>
      <c r="BB170" s="143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AY171" s="143"/>
      <c r="AZ171" s="143"/>
      <c r="BA171" s="143"/>
      <c r="BB171" s="143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AY172" s="143"/>
      <c r="AZ172" s="143"/>
      <c r="BA172" s="143"/>
      <c r="BB172" s="143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4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4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4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4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L45"/>
  <sheetViews>
    <sheetView topLeftCell="A16" workbookViewId="0">
      <selection activeCell="A34" activeCellId="1" sqref="B11 A34:B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9169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9169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63" t="s">
        <v>256</v>
      </c>
      <c r="I1" s="263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63" t="s">
        <v>263</v>
      </c>
      <c r="Q1" s="243"/>
      <c r="R1" s="263" t="s">
        <v>264</v>
      </c>
      <c r="S1" s="243"/>
      <c r="T1" s="24" t="s">
        <v>265</v>
      </c>
      <c r="U1" s="264" t="s">
        <v>13</v>
      </c>
      <c r="V1" s="265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4" t="s">
        <v>269</v>
      </c>
      <c r="B3" s="256" t="s">
        <v>152</v>
      </c>
      <c r="C3" s="256" t="s">
        <v>18</v>
      </c>
      <c r="D3" s="256" t="s">
        <v>270</v>
      </c>
      <c r="E3" s="256" t="s">
        <v>20</v>
      </c>
      <c r="F3" s="258" t="s">
        <v>286</v>
      </c>
      <c r="G3" s="256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56" t="s">
        <v>99</v>
      </c>
      <c r="O3" s="236" t="s">
        <v>99</v>
      </c>
      <c r="P3" s="236" t="s">
        <v>99</v>
      </c>
      <c r="Q3" s="236" t="s">
        <v>99</v>
      </c>
      <c r="R3" s="236" t="s">
        <v>99</v>
      </c>
      <c r="S3" s="236" t="s">
        <v>99</v>
      </c>
      <c r="T3" s="236" t="s">
        <v>99</v>
      </c>
      <c r="U3" s="236" t="s">
        <v>99</v>
      </c>
      <c r="V3" s="236" t="s">
        <v>99</v>
      </c>
    </row>
    <row r="4" spans="1:22" ht="15" x14ac:dyDescent="0.2">
      <c r="A4" s="266"/>
      <c r="B4" s="243"/>
      <c r="C4" s="245"/>
      <c r="D4" s="243"/>
      <c r="E4" s="245"/>
      <c r="F4" s="245"/>
      <c r="G4" s="245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43"/>
      <c r="O4" s="243"/>
      <c r="P4" s="243"/>
      <c r="Q4" s="243"/>
      <c r="R4" s="243"/>
      <c r="S4" s="243"/>
      <c r="T4" s="243"/>
      <c r="U4" s="243"/>
      <c r="V4" s="243"/>
    </row>
    <row r="5" spans="1:22" ht="15" x14ac:dyDescent="0.2">
      <c r="A5" s="266"/>
      <c r="B5" s="243"/>
      <c r="C5" s="245"/>
      <c r="D5" s="243"/>
      <c r="E5" s="245"/>
      <c r="F5" s="245"/>
      <c r="G5" s="245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43"/>
      <c r="O5" s="243"/>
      <c r="P5" s="243"/>
      <c r="Q5" s="243"/>
      <c r="R5" s="243"/>
      <c r="S5" s="243"/>
      <c r="T5" s="243"/>
      <c r="U5" s="243"/>
      <c r="V5" s="243"/>
    </row>
    <row r="6" spans="1:22" thickBot="1" x14ac:dyDescent="0.25">
      <c r="A6" s="266"/>
      <c r="B6" s="243"/>
      <c r="C6" s="245"/>
      <c r="D6" s="267"/>
      <c r="E6" s="245"/>
      <c r="F6" s="245"/>
      <c r="G6" s="245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67"/>
      <c r="O6" s="267"/>
      <c r="P6" s="267"/>
      <c r="Q6" s="267"/>
      <c r="R6" s="267"/>
      <c r="S6" s="267"/>
      <c r="T6" s="267"/>
      <c r="U6" s="267"/>
      <c r="V6" s="267"/>
    </row>
    <row r="7" spans="1:22" ht="15" customHeight="1" x14ac:dyDescent="0.2">
      <c r="A7" s="255" t="s">
        <v>166</v>
      </c>
      <c r="B7" s="255" t="s">
        <v>194</v>
      </c>
      <c r="C7" s="255" t="s">
        <v>30</v>
      </c>
      <c r="D7" s="255" t="s">
        <v>280</v>
      </c>
      <c r="E7" s="255" t="s">
        <v>53</v>
      </c>
      <c r="F7" s="233" t="s">
        <v>293</v>
      </c>
      <c r="G7" s="255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55" t="s">
        <v>99</v>
      </c>
      <c r="O7" s="262" t="s">
        <v>278</v>
      </c>
      <c r="P7" s="262" t="s">
        <v>278</v>
      </c>
      <c r="Q7" s="261" t="s">
        <v>99</v>
      </c>
      <c r="R7" s="262" t="s">
        <v>278</v>
      </c>
      <c r="S7" s="261" t="s">
        <v>99</v>
      </c>
      <c r="T7" s="262" t="s">
        <v>278</v>
      </c>
      <c r="U7" s="261" t="s">
        <v>99</v>
      </c>
      <c r="V7" s="262" t="s">
        <v>278</v>
      </c>
    </row>
    <row r="8" spans="1:22" ht="15" x14ac:dyDescent="0.2">
      <c r="A8" s="243"/>
      <c r="B8" s="243"/>
      <c r="C8" s="245"/>
      <c r="D8" s="243"/>
      <c r="E8" s="245"/>
      <c r="F8" s="234"/>
      <c r="G8" s="245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43"/>
      <c r="O8" s="243"/>
      <c r="P8" s="243"/>
      <c r="Q8" s="243"/>
      <c r="R8" s="243"/>
      <c r="S8" s="243"/>
      <c r="T8" s="243"/>
      <c r="U8" s="243"/>
      <c r="V8" s="243"/>
    </row>
    <row r="9" spans="1:22" ht="15" x14ac:dyDescent="0.2">
      <c r="A9" s="243"/>
      <c r="B9" s="243"/>
      <c r="C9" s="245"/>
      <c r="D9" s="243"/>
      <c r="E9" s="245"/>
      <c r="F9" s="234"/>
      <c r="G9" s="245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43"/>
      <c r="O9" s="243"/>
      <c r="P9" s="243"/>
      <c r="Q9" s="243"/>
      <c r="R9" s="243"/>
      <c r="S9" s="243"/>
      <c r="T9" s="243"/>
      <c r="U9" s="243"/>
      <c r="V9" s="243"/>
    </row>
    <row r="10" spans="1:22" ht="15" x14ac:dyDescent="0.2">
      <c r="A10" s="243"/>
      <c r="B10" s="243"/>
      <c r="C10" s="245"/>
      <c r="D10" s="244"/>
      <c r="E10" s="245"/>
      <c r="F10" s="234"/>
      <c r="G10" s="246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44"/>
      <c r="O10" s="244"/>
      <c r="P10" s="244"/>
      <c r="Q10" s="244"/>
      <c r="R10" s="244"/>
      <c r="S10" s="244"/>
      <c r="T10" s="244"/>
      <c r="U10" s="244"/>
      <c r="V10" s="244"/>
    </row>
    <row r="11" spans="1:22" ht="15" customHeight="1" x14ac:dyDescent="0.2">
      <c r="A11" s="243"/>
      <c r="B11" s="243"/>
      <c r="C11" s="245"/>
      <c r="D11" s="245" t="s">
        <v>282</v>
      </c>
      <c r="E11" s="251" t="s">
        <v>60</v>
      </c>
      <c r="F11" s="234"/>
      <c r="G11" s="247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45" t="s">
        <v>99</v>
      </c>
      <c r="O11" s="237" t="s">
        <v>278</v>
      </c>
      <c r="P11" s="237" t="s">
        <v>278</v>
      </c>
      <c r="Q11" s="231" t="s">
        <v>99</v>
      </c>
      <c r="R11" s="237" t="s">
        <v>278</v>
      </c>
      <c r="S11" s="231" t="s">
        <v>99</v>
      </c>
      <c r="T11" s="237" t="s">
        <v>278</v>
      </c>
      <c r="U11" s="231" t="s">
        <v>99</v>
      </c>
      <c r="V11" s="237" t="s">
        <v>278</v>
      </c>
    </row>
    <row r="12" spans="1:22" ht="15" x14ac:dyDescent="0.2">
      <c r="A12" s="243"/>
      <c r="B12" s="243"/>
      <c r="C12" s="245"/>
      <c r="D12" s="243"/>
      <c r="E12" s="245"/>
      <c r="F12" s="234"/>
      <c r="G12" s="245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43"/>
      <c r="O12" s="243"/>
      <c r="P12" s="243"/>
      <c r="Q12" s="243"/>
      <c r="R12" s="243"/>
      <c r="S12" s="243"/>
      <c r="T12" s="243"/>
      <c r="U12" s="243"/>
      <c r="V12" s="243"/>
    </row>
    <row r="13" spans="1:22" ht="15" x14ac:dyDescent="0.2">
      <c r="A13" s="243"/>
      <c r="B13" s="243"/>
      <c r="C13" s="245"/>
      <c r="D13" s="243"/>
      <c r="E13" s="245"/>
      <c r="F13" s="234"/>
      <c r="G13" s="245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43"/>
      <c r="O13" s="243"/>
      <c r="P13" s="243"/>
      <c r="Q13" s="243"/>
      <c r="R13" s="243"/>
      <c r="S13" s="243"/>
      <c r="T13" s="243"/>
      <c r="U13" s="243"/>
      <c r="V13" s="243"/>
    </row>
    <row r="14" spans="1:22" ht="15" x14ac:dyDescent="0.2">
      <c r="A14" s="243"/>
      <c r="B14" s="243"/>
      <c r="C14" s="245"/>
      <c r="D14" s="244"/>
      <c r="E14" s="252"/>
      <c r="F14" s="234"/>
      <c r="G14" s="246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44"/>
      <c r="O14" s="244"/>
      <c r="P14" s="244"/>
      <c r="Q14" s="244"/>
      <c r="R14" s="244"/>
      <c r="S14" s="244"/>
      <c r="T14" s="244"/>
      <c r="U14" s="244"/>
      <c r="V14" s="244"/>
    </row>
    <row r="15" spans="1:22" ht="15" customHeight="1" x14ac:dyDescent="0.2">
      <c r="A15" s="243"/>
      <c r="B15" s="243"/>
      <c r="C15" s="245"/>
      <c r="D15" s="245" t="s">
        <v>283</v>
      </c>
      <c r="E15" s="245" t="s">
        <v>63</v>
      </c>
      <c r="F15" s="234"/>
      <c r="G15" s="247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45" t="s">
        <v>99</v>
      </c>
      <c r="O15" s="237" t="s">
        <v>278</v>
      </c>
      <c r="P15" s="248" t="s">
        <v>99</v>
      </c>
      <c r="Q15" s="231" t="s">
        <v>99</v>
      </c>
      <c r="R15" s="237" t="s">
        <v>278</v>
      </c>
      <c r="S15" s="231" t="s">
        <v>99</v>
      </c>
      <c r="T15" s="237" t="s">
        <v>278</v>
      </c>
      <c r="U15" s="231" t="s">
        <v>99</v>
      </c>
      <c r="V15" s="237" t="s">
        <v>278</v>
      </c>
    </row>
    <row r="16" spans="1:22" ht="15" x14ac:dyDescent="0.2">
      <c r="A16" s="243"/>
      <c r="B16" s="243"/>
      <c r="C16" s="245"/>
      <c r="D16" s="243"/>
      <c r="E16" s="245"/>
      <c r="F16" s="234"/>
      <c r="G16" s="245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43"/>
      <c r="O16" s="243"/>
      <c r="P16" s="249"/>
      <c r="Q16" s="243"/>
      <c r="R16" s="243"/>
      <c r="S16" s="243"/>
      <c r="T16" s="243"/>
      <c r="U16" s="243"/>
      <c r="V16" s="243"/>
    </row>
    <row r="17" spans="1:22" ht="15" x14ac:dyDescent="0.2">
      <c r="A17" s="243"/>
      <c r="B17" s="243"/>
      <c r="C17" s="245"/>
      <c r="D17" s="243"/>
      <c r="E17" s="245"/>
      <c r="F17" s="234"/>
      <c r="G17" s="245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43"/>
      <c r="O17" s="243"/>
      <c r="P17" s="249"/>
      <c r="Q17" s="243"/>
      <c r="R17" s="243"/>
      <c r="S17" s="243"/>
      <c r="T17" s="243"/>
      <c r="U17" s="243"/>
      <c r="V17" s="243"/>
    </row>
    <row r="18" spans="1:22" ht="15" x14ac:dyDescent="0.2">
      <c r="A18" s="243"/>
      <c r="B18" s="243"/>
      <c r="C18" s="245"/>
      <c r="D18" s="244"/>
      <c r="E18" s="246"/>
      <c r="F18" s="235"/>
      <c r="G18" s="246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44"/>
      <c r="O18" s="244"/>
      <c r="P18" s="250"/>
      <c r="Q18" s="244"/>
      <c r="R18" s="244"/>
      <c r="S18" s="244"/>
      <c r="T18" s="244"/>
      <c r="U18" s="244"/>
      <c r="V18" s="244"/>
    </row>
    <row r="19" spans="1:22" ht="15" x14ac:dyDescent="0.2">
      <c r="A19" s="243"/>
      <c r="B19" s="243"/>
      <c r="C19" s="245"/>
      <c r="D19" s="245" t="s">
        <v>279</v>
      </c>
      <c r="E19" s="247" t="s">
        <v>65</v>
      </c>
      <c r="F19" s="259" t="s">
        <v>298</v>
      </c>
      <c r="G19" s="247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45" t="s">
        <v>278</v>
      </c>
      <c r="O19" s="237" t="s">
        <v>278</v>
      </c>
      <c r="P19" s="231" t="s">
        <v>278</v>
      </c>
      <c r="Q19" s="231" t="s">
        <v>99</v>
      </c>
      <c r="R19" s="237" t="s">
        <v>278</v>
      </c>
      <c r="S19" s="231" t="s">
        <v>99</v>
      </c>
      <c r="T19" s="237" t="s">
        <v>278</v>
      </c>
      <c r="U19" s="231" t="s">
        <v>99</v>
      </c>
      <c r="V19" s="237" t="s">
        <v>278</v>
      </c>
    </row>
    <row r="20" spans="1:22" ht="15" x14ac:dyDescent="0.2">
      <c r="A20" s="243"/>
      <c r="B20" s="243"/>
      <c r="C20" s="245"/>
      <c r="D20" s="243"/>
      <c r="E20" s="245"/>
      <c r="F20" s="245"/>
      <c r="G20" s="245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43"/>
      <c r="O20" s="243"/>
      <c r="P20" s="243"/>
      <c r="Q20" s="243"/>
      <c r="R20" s="243"/>
      <c r="S20" s="243"/>
      <c r="T20" s="243"/>
      <c r="U20" s="243"/>
      <c r="V20" s="243"/>
    </row>
    <row r="21" spans="1:22" ht="15" x14ac:dyDescent="0.2">
      <c r="A21" s="243"/>
      <c r="B21" s="243"/>
      <c r="C21" s="245"/>
      <c r="D21" s="243"/>
      <c r="E21" s="245"/>
      <c r="F21" s="245"/>
      <c r="G21" s="245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43"/>
      <c r="O21" s="243"/>
      <c r="P21" s="243"/>
      <c r="Q21" s="243"/>
      <c r="R21" s="243"/>
      <c r="S21" s="243"/>
      <c r="T21" s="243"/>
      <c r="U21" s="243"/>
      <c r="V21" s="243"/>
    </row>
    <row r="22" spans="1:22" ht="15" x14ac:dyDescent="0.2">
      <c r="A22" s="243"/>
      <c r="B22" s="243"/>
      <c r="C22" s="245"/>
      <c r="D22" s="243"/>
      <c r="E22" s="245"/>
      <c r="F22" s="245"/>
      <c r="G22" s="245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43"/>
      <c r="O22" s="243"/>
      <c r="P22" s="243"/>
      <c r="Q22" s="243"/>
      <c r="R22" s="243"/>
      <c r="S22" s="243"/>
      <c r="T22" s="243"/>
      <c r="U22" s="243"/>
      <c r="V22" s="243"/>
    </row>
    <row r="23" spans="1:22" ht="15" x14ac:dyDescent="0.2">
      <c r="A23" s="243"/>
      <c r="B23" s="243"/>
      <c r="C23" s="245"/>
      <c r="D23" s="243"/>
      <c r="E23" s="245"/>
      <c r="F23" s="245"/>
      <c r="G23" s="245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43"/>
      <c r="O23" s="243"/>
      <c r="P23" s="243"/>
      <c r="Q23" s="243"/>
      <c r="R23" s="243"/>
      <c r="S23" s="243"/>
      <c r="T23" s="243"/>
      <c r="U23" s="243"/>
      <c r="V23" s="243"/>
    </row>
    <row r="24" spans="1:22" ht="15" x14ac:dyDescent="0.2">
      <c r="A24" s="243"/>
      <c r="B24" s="243"/>
      <c r="C24" s="245"/>
      <c r="D24" s="243"/>
      <c r="E24" s="245"/>
      <c r="F24" s="245"/>
      <c r="G24" s="245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44"/>
      <c r="O24" s="244"/>
      <c r="P24" s="244"/>
      <c r="Q24" s="244"/>
      <c r="R24" s="244"/>
      <c r="S24" s="244"/>
      <c r="T24" s="244"/>
      <c r="U24" s="244"/>
      <c r="V24" s="244"/>
    </row>
    <row r="25" spans="1:22" ht="15" x14ac:dyDescent="0.2">
      <c r="A25" s="243"/>
      <c r="B25" s="253"/>
      <c r="C25" s="257"/>
      <c r="D25" s="253"/>
      <c r="E25" s="257"/>
      <c r="F25" s="257"/>
      <c r="G25" s="257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43"/>
      <c r="B26" s="245" t="s">
        <v>218</v>
      </c>
      <c r="C26" s="256" t="s">
        <v>36</v>
      </c>
      <c r="D26" s="245" t="s">
        <v>308</v>
      </c>
      <c r="E26" s="256" t="s">
        <v>137</v>
      </c>
      <c r="F26" s="258" t="s">
        <v>307</v>
      </c>
      <c r="G26" s="256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45" t="s">
        <v>278</v>
      </c>
      <c r="O26" s="237" t="s">
        <v>278</v>
      </c>
      <c r="P26" s="231" t="s">
        <v>278</v>
      </c>
      <c r="Q26" s="231" t="s">
        <v>99</v>
      </c>
      <c r="R26" s="231" t="s">
        <v>278</v>
      </c>
      <c r="S26" s="231" t="s">
        <v>99</v>
      </c>
      <c r="T26" s="231" t="s">
        <v>278</v>
      </c>
      <c r="U26" s="231" t="s">
        <v>99</v>
      </c>
      <c r="V26" s="231" t="s">
        <v>278</v>
      </c>
    </row>
    <row r="27" spans="1:22" ht="15" x14ac:dyDescent="0.2">
      <c r="A27" s="243"/>
      <c r="B27" s="243"/>
      <c r="C27" s="245"/>
      <c r="D27" s="243"/>
      <c r="E27" s="245"/>
      <c r="F27" s="245"/>
      <c r="G27" s="245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43"/>
      <c r="O27" s="243"/>
      <c r="P27" s="243"/>
      <c r="Q27" s="243"/>
      <c r="R27" s="243"/>
      <c r="S27" s="243"/>
      <c r="T27" s="243"/>
      <c r="U27" s="243"/>
      <c r="V27" s="243"/>
    </row>
    <row r="28" spans="1:22" ht="15" x14ac:dyDescent="0.2">
      <c r="A28" s="243"/>
      <c r="B28" s="243"/>
      <c r="C28" s="245"/>
      <c r="D28" s="243"/>
      <c r="E28" s="245"/>
      <c r="F28" s="245"/>
      <c r="G28" s="245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43"/>
      <c r="O28" s="243"/>
      <c r="P28" s="243"/>
      <c r="Q28" s="243"/>
      <c r="R28" s="243"/>
      <c r="S28" s="243"/>
      <c r="T28" s="243"/>
      <c r="U28" s="243"/>
      <c r="V28" s="243"/>
    </row>
    <row r="29" spans="1:22" ht="15" x14ac:dyDescent="0.2">
      <c r="A29" s="243"/>
      <c r="B29" s="243"/>
      <c r="C29" s="245"/>
      <c r="D29" s="243"/>
      <c r="E29" s="245"/>
      <c r="F29" s="245"/>
      <c r="G29" s="245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43"/>
      <c r="O29" s="243"/>
      <c r="P29" s="243"/>
      <c r="Q29" s="243"/>
      <c r="R29" s="243"/>
      <c r="S29" s="243"/>
      <c r="T29" s="243"/>
      <c r="U29" s="243"/>
      <c r="V29" s="243"/>
    </row>
    <row r="30" spans="1:22" thickBot="1" x14ac:dyDescent="0.25">
      <c r="A30" s="254"/>
      <c r="B30" s="254"/>
      <c r="C30" s="260"/>
      <c r="D30" s="254"/>
      <c r="E30" s="260"/>
      <c r="F30" s="260"/>
      <c r="G30" s="260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54"/>
      <c r="O30" s="254"/>
      <c r="P30" s="254"/>
      <c r="Q30" s="254"/>
      <c r="R30" s="254"/>
      <c r="S30" s="254"/>
      <c r="T30" s="254"/>
      <c r="U30" s="254"/>
      <c r="V30" s="254"/>
    </row>
    <row r="31" spans="1:22" ht="15" customHeight="1" x14ac:dyDescent="0.2">
      <c r="A31" s="245" t="s">
        <v>165</v>
      </c>
      <c r="B31" s="245" t="s">
        <v>194</v>
      </c>
      <c r="C31" s="18"/>
      <c r="D31" s="245" t="s">
        <v>280</v>
      </c>
      <c r="E31" s="245" t="s">
        <v>53</v>
      </c>
      <c r="F31" s="234" t="s">
        <v>293</v>
      </c>
      <c r="G31" s="245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45" t="s">
        <v>99</v>
      </c>
      <c r="O31" s="237" t="s">
        <v>278</v>
      </c>
      <c r="P31" s="237" t="s">
        <v>278</v>
      </c>
      <c r="Q31" s="231" t="s">
        <v>99</v>
      </c>
      <c r="R31" s="237" t="s">
        <v>278</v>
      </c>
      <c r="S31" s="231" t="s">
        <v>99</v>
      </c>
      <c r="T31" s="237" t="s">
        <v>278</v>
      </c>
      <c r="U31" s="231" t="s">
        <v>99</v>
      </c>
      <c r="V31" s="237" t="s">
        <v>99</v>
      </c>
    </row>
    <row r="32" spans="1:22" ht="15" x14ac:dyDescent="0.2">
      <c r="A32" s="243"/>
      <c r="B32" s="243"/>
      <c r="D32" s="243"/>
      <c r="E32" s="245"/>
      <c r="F32" s="234"/>
      <c r="G32" s="245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43"/>
      <c r="O32" s="243"/>
      <c r="P32" s="243"/>
      <c r="Q32" s="243"/>
      <c r="R32" s="243"/>
      <c r="S32" s="243"/>
      <c r="T32" s="243"/>
      <c r="U32" s="243"/>
      <c r="V32" s="243"/>
    </row>
    <row r="33" spans="1:22" ht="15" x14ac:dyDescent="0.2">
      <c r="A33" s="243"/>
      <c r="B33" s="243"/>
      <c r="D33" s="243"/>
      <c r="E33" s="245"/>
      <c r="F33" s="234"/>
      <c r="G33" s="245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43"/>
      <c r="O33" s="243"/>
      <c r="P33" s="243"/>
      <c r="Q33" s="243"/>
      <c r="R33" s="243"/>
      <c r="S33" s="243"/>
      <c r="T33" s="243"/>
      <c r="U33" s="243"/>
      <c r="V33" s="243"/>
    </row>
    <row r="34" spans="1:22" ht="15" x14ac:dyDescent="0.2">
      <c r="A34" s="243"/>
      <c r="B34" s="243"/>
      <c r="D34" s="244"/>
      <c r="E34" s="245"/>
      <c r="F34" s="234"/>
      <c r="G34" s="246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44"/>
      <c r="O34" s="244"/>
      <c r="P34" s="244"/>
      <c r="Q34" s="244"/>
      <c r="R34" s="244"/>
      <c r="S34" s="244"/>
      <c r="T34" s="244"/>
      <c r="U34" s="244"/>
      <c r="V34" s="244"/>
    </row>
    <row r="35" spans="1:22" ht="15" customHeight="1" x14ac:dyDescent="0.2">
      <c r="A35" s="243"/>
      <c r="B35" s="243"/>
      <c r="D35" s="245" t="s">
        <v>282</v>
      </c>
      <c r="E35" s="251" t="s">
        <v>60</v>
      </c>
      <c r="F35" s="234"/>
      <c r="G35" s="247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45" t="s">
        <v>99</v>
      </c>
      <c r="O35" s="237" t="s">
        <v>278</v>
      </c>
      <c r="P35" s="237" t="s">
        <v>278</v>
      </c>
      <c r="Q35" s="231" t="s">
        <v>99</v>
      </c>
      <c r="R35" s="237" t="s">
        <v>278</v>
      </c>
      <c r="S35" s="231" t="s">
        <v>99</v>
      </c>
      <c r="T35" s="237" t="s">
        <v>278</v>
      </c>
      <c r="U35" s="231" t="s">
        <v>99</v>
      </c>
      <c r="V35" s="237" t="s">
        <v>99</v>
      </c>
    </row>
    <row r="36" spans="1:22" ht="15" x14ac:dyDescent="0.2">
      <c r="A36" s="243"/>
      <c r="B36" s="243"/>
      <c r="D36" s="243"/>
      <c r="E36" s="245"/>
      <c r="F36" s="234"/>
      <c r="G36" s="245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43"/>
      <c r="O36" s="243"/>
      <c r="P36" s="243"/>
      <c r="Q36" s="243"/>
      <c r="R36" s="243"/>
      <c r="S36" s="243"/>
      <c r="T36" s="243"/>
      <c r="U36" s="243"/>
      <c r="V36" s="243"/>
    </row>
    <row r="37" spans="1:22" ht="15" x14ac:dyDescent="0.2">
      <c r="A37" s="243"/>
      <c r="B37" s="243"/>
      <c r="D37" s="243"/>
      <c r="E37" s="245"/>
      <c r="F37" s="234"/>
      <c r="G37" s="245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43"/>
      <c r="O37" s="243"/>
      <c r="P37" s="243"/>
      <c r="Q37" s="243"/>
      <c r="R37" s="243"/>
      <c r="S37" s="243"/>
      <c r="T37" s="243"/>
      <c r="U37" s="243"/>
      <c r="V37" s="243"/>
    </row>
    <row r="38" spans="1:22" ht="15" x14ac:dyDescent="0.2">
      <c r="A38" s="243"/>
      <c r="B38" s="243"/>
      <c r="D38" s="244"/>
      <c r="E38" s="252"/>
      <c r="F38" s="234"/>
      <c r="G38" s="246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44"/>
      <c r="O38" s="244"/>
      <c r="P38" s="244"/>
      <c r="Q38" s="244"/>
      <c r="R38" s="244"/>
      <c r="S38" s="244"/>
      <c r="T38" s="244"/>
      <c r="U38" s="244"/>
      <c r="V38" s="244"/>
    </row>
    <row r="39" spans="1:22" ht="15" customHeight="1" x14ac:dyDescent="0.2">
      <c r="A39" s="243"/>
      <c r="B39" s="243"/>
      <c r="D39" s="245" t="s">
        <v>283</v>
      </c>
      <c r="E39" s="245" t="s">
        <v>63</v>
      </c>
      <c r="F39" s="234"/>
      <c r="G39" s="247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45" t="s">
        <v>99</v>
      </c>
      <c r="O39" s="237" t="s">
        <v>278</v>
      </c>
      <c r="P39" s="248" t="s">
        <v>99</v>
      </c>
      <c r="Q39" s="231" t="s">
        <v>99</v>
      </c>
      <c r="R39" s="237" t="s">
        <v>278</v>
      </c>
      <c r="S39" s="231" t="s">
        <v>99</v>
      </c>
      <c r="T39" s="237" t="s">
        <v>278</v>
      </c>
      <c r="U39" s="231" t="s">
        <v>99</v>
      </c>
      <c r="V39" s="237" t="s">
        <v>99</v>
      </c>
    </row>
    <row r="40" spans="1:22" ht="15" x14ac:dyDescent="0.2">
      <c r="A40" s="243"/>
      <c r="B40" s="243"/>
      <c r="D40" s="243"/>
      <c r="E40" s="245"/>
      <c r="F40" s="234"/>
      <c r="G40" s="245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43"/>
      <c r="O40" s="243"/>
      <c r="P40" s="249"/>
      <c r="Q40" s="243"/>
      <c r="R40" s="243"/>
      <c r="S40" s="243"/>
      <c r="T40" s="243"/>
      <c r="U40" s="243"/>
      <c r="V40" s="243"/>
    </row>
    <row r="41" spans="1:22" ht="15" x14ac:dyDescent="0.2">
      <c r="A41" s="243"/>
      <c r="B41" s="243"/>
      <c r="D41" s="243"/>
      <c r="E41" s="245"/>
      <c r="F41" s="234"/>
      <c r="G41" s="245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43"/>
      <c r="O41" s="243"/>
      <c r="P41" s="249"/>
      <c r="Q41" s="243"/>
      <c r="R41" s="243"/>
      <c r="S41" s="243"/>
      <c r="T41" s="243"/>
      <c r="U41" s="243"/>
      <c r="V41" s="243"/>
    </row>
    <row r="42" spans="1:22" ht="15" x14ac:dyDescent="0.2">
      <c r="A42" s="243"/>
      <c r="B42" s="243"/>
      <c r="D42" s="244"/>
      <c r="E42" s="246"/>
      <c r="F42" s="235"/>
      <c r="G42" s="246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44"/>
      <c r="O42" s="244"/>
      <c r="P42" s="250"/>
      <c r="Q42" s="244"/>
      <c r="R42" s="244"/>
      <c r="S42" s="244"/>
      <c r="T42" s="244"/>
      <c r="U42" s="244"/>
      <c r="V42" s="244"/>
    </row>
    <row r="43" spans="1:22" ht="15" customHeight="1" x14ac:dyDescent="0.2">
      <c r="A43" s="243"/>
      <c r="B43" s="243"/>
      <c r="D43" s="245" t="s">
        <v>279</v>
      </c>
      <c r="E43" s="247" t="s">
        <v>73</v>
      </c>
      <c r="F43" s="259" t="s">
        <v>2005</v>
      </c>
      <c r="G43" s="247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41" t="s">
        <v>99</v>
      </c>
      <c r="O43" s="241" t="s">
        <v>278</v>
      </c>
      <c r="P43" s="239" t="s">
        <v>278</v>
      </c>
      <c r="Q43" s="239" t="s">
        <v>99</v>
      </c>
      <c r="R43" s="241" t="s">
        <v>278</v>
      </c>
      <c r="S43" s="239" t="s">
        <v>99</v>
      </c>
      <c r="T43" s="241" t="s">
        <v>278</v>
      </c>
      <c r="U43" s="239" t="s">
        <v>99</v>
      </c>
      <c r="V43" s="241" t="s">
        <v>99</v>
      </c>
    </row>
    <row r="44" spans="1:22" ht="15" x14ac:dyDescent="0.2">
      <c r="A44" s="243"/>
      <c r="B44" s="243"/>
      <c r="D44" s="243"/>
      <c r="E44" s="245"/>
      <c r="F44" s="245"/>
      <c r="G44" s="245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37"/>
      <c r="O44" s="237"/>
      <c r="P44" s="231"/>
      <c r="Q44" s="231"/>
      <c r="R44" s="237"/>
      <c r="S44" s="231"/>
      <c r="T44" s="237"/>
      <c r="U44" s="231"/>
      <c r="V44" s="237"/>
    </row>
    <row r="45" spans="1:22" ht="15" x14ac:dyDescent="0.2">
      <c r="A45" s="243"/>
      <c r="B45" s="243"/>
      <c r="D45" s="243"/>
      <c r="E45" s="245"/>
      <c r="F45" s="245"/>
      <c r="G45" s="245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37"/>
      <c r="O45" s="237"/>
      <c r="P45" s="231"/>
      <c r="Q45" s="231"/>
      <c r="R45" s="237"/>
      <c r="S45" s="231"/>
      <c r="T45" s="237"/>
      <c r="U45" s="231"/>
      <c r="V45" s="237"/>
    </row>
    <row r="46" spans="1:22" ht="15" x14ac:dyDescent="0.2">
      <c r="A46" s="243"/>
      <c r="B46" s="243"/>
      <c r="D46" s="243"/>
      <c r="E46" s="245"/>
      <c r="F46" s="245"/>
      <c r="G46" s="245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37"/>
      <c r="O46" s="237"/>
      <c r="P46" s="231"/>
      <c r="Q46" s="231"/>
      <c r="R46" s="237"/>
      <c r="S46" s="231"/>
      <c r="T46" s="237"/>
      <c r="U46" s="231"/>
      <c r="V46" s="237"/>
    </row>
    <row r="47" spans="1:22" ht="15" x14ac:dyDescent="0.2">
      <c r="A47" s="243"/>
      <c r="B47" s="243"/>
      <c r="D47" s="243"/>
      <c r="E47" s="245"/>
      <c r="F47" s="245"/>
      <c r="G47" s="245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37"/>
      <c r="O47" s="237"/>
      <c r="P47" s="231"/>
      <c r="Q47" s="231"/>
      <c r="R47" s="237"/>
      <c r="S47" s="231"/>
      <c r="T47" s="237"/>
      <c r="U47" s="231"/>
      <c r="V47" s="237"/>
    </row>
    <row r="48" spans="1:22" ht="15" x14ac:dyDescent="0.2">
      <c r="A48" s="243"/>
      <c r="B48" s="243"/>
      <c r="D48" s="243"/>
      <c r="E48" s="245"/>
      <c r="F48" s="245"/>
      <c r="G48" s="245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42"/>
      <c r="O48" s="242"/>
      <c r="P48" s="240"/>
      <c r="Q48" s="240"/>
      <c r="R48" s="242"/>
      <c r="S48" s="240"/>
      <c r="T48" s="242"/>
      <c r="U48" s="240"/>
      <c r="V48" s="242"/>
    </row>
    <row r="49" spans="1:22" ht="15" x14ac:dyDescent="0.2">
      <c r="A49" s="243"/>
      <c r="B49" s="253"/>
      <c r="C49" s="73"/>
      <c r="D49" s="253"/>
      <c r="E49" s="257"/>
      <c r="F49" s="257"/>
      <c r="G49" s="257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43"/>
      <c r="B50" s="245" t="s">
        <v>218</v>
      </c>
      <c r="C50" s="18"/>
      <c r="D50" s="245" t="s">
        <v>308</v>
      </c>
      <c r="E50" s="256" t="s">
        <v>139</v>
      </c>
      <c r="F50" s="258" t="s">
        <v>171</v>
      </c>
      <c r="G50" s="256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36" t="s">
        <v>99</v>
      </c>
      <c r="O50" s="236" t="s">
        <v>278</v>
      </c>
      <c r="P50" s="230" t="s">
        <v>278</v>
      </c>
      <c r="Q50" s="230" t="s">
        <v>99</v>
      </c>
      <c r="R50" s="230" t="s">
        <v>278</v>
      </c>
      <c r="S50" s="230" t="s">
        <v>99</v>
      </c>
      <c r="T50" s="230" t="s">
        <v>278</v>
      </c>
      <c r="U50" s="230" t="s">
        <v>99</v>
      </c>
      <c r="V50" s="230" t="s">
        <v>99</v>
      </c>
    </row>
    <row r="51" spans="1:22" ht="15" x14ac:dyDescent="0.2">
      <c r="A51" s="243"/>
      <c r="B51" s="243"/>
      <c r="D51" s="243"/>
      <c r="E51" s="245"/>
      <c r="F51" s="245"/>
      <c r="G51" s="245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37"/>
      <c r="O51" s="237"/>
      <c r="P51" s="231"/>
      <c r="Q51" s="231"/>
      <c r="R51" s="231"/>
      <c r="S51" s="231"/>
      <c r="T51" s="231"/>
      <c r="U51" s="231"/>
      <c r="V51" s="231"/>
    </row>
    <row r="52" spans="1:22" ht="15" x14ac:dyDescent="0.2">
      <c r="A52" s="243"/>
      <c r="B52" s="243"/>
      <c r="D52" s="243"/>
      <c r="E52" s="245"/>
      <c r="F52" s="245"/>
      <c r="G52" s="245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37"/>
      <c r="O52" s="237"/>
      <c r="P52" s="231"/>
      <c r="Q52" s="231"/>
      <c r="R52" s="231"/>
      <c r="S52" s="231"/>
      <c r="T52" s="231"/>
      <c r="U52" s="231"/>
      <c r="V52" s="231"/>
    </row>
    <row r="53" spans="1:22" ht="15" x14ac:dyDescent="0.2">
      <c r="A53" s="243"/>
      <c r="B53" s="243"/>
      <c r="D53" s="243"/>
      <c r="E53" s="245"/>
      <c r="F53" s="245"/>
      <c r="G53" s="245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37"/>
      <c r="O53" s="237"/>
      <c r="P53" s="231"/>
      <c r="Q53" s="231"/>
      <c r="R53" s="231"/>
      <c r="S53" s="231"/>
      <c r="T53" s="231"/>
      <c r="U53" s="231"/>
      <c r="V53" s="231"/>
    </row>
    <row r="54" spans="1:22" ht="15" x14ac:dyDescent="0.2">
      <c r="A54" s="253"/>
      <c r="B54" s="253"/>
      <c r="C54" s="73"/>
      <c r="D54" s="253"/>
      <c r="E54" s="257"/>
      <c r="F54" s="257"/>
      <c r="G54" s="257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38"/>
      <c r="O54" s="238"/>
      <c r="P54" s="232"/>
      <c r="Q54" s="232"/>
      <c r="R54" s="232"/>
      <c r="S54" s="232"/>
      <c r="T54" s="232"/>
      <c r="U54" s="232"/>
      <c r="V54" s="232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45" t="s">
        <v>152</v>
      </c>
      <c r="B2" s="234" t="s">
        <v>190</v>
      </c>
      <c r="C2" s="234" t="s">
        <v>191</v>
      </c>
      <c r="D2" s="234" t="s">
        <v>170</v>
      </c>
      <c r="F2" s="17" t="s">
        <v>98</v>
      </c>
      <c r="G2" s="17"/>
      <c r="H2" s="273" t="str">
        <f>+VLOOKUP(CONCATENATE(LEFT($B2,2),LEFT($C2,2),LEFT($D2,4),INDEX(Datos!$E$30:$F$35,MATCH($F2,Datos!$F$30:$F$35,0),1),"GD_"&amp;$A2),ZTDM_ARBOL_DES_D!$A:$O,11,FALSE)</f>
        <v>RT_CAT_CLI</v>
      </c>
      <c r="I2" s="273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4" t="s">
        <v>193</v>
      </c>
      <c r="O2" s="245" t="s">
        <v>225</v>
      </c>
      <c r="P2" s="16"/>
    </row>
    <row r="3" spans="1:16" ht="15.75" customHeight="1" x14ac:dyDescent="0.2">
      <c r="A3" s="245"/>
      <c r="B3" s="234"/>
      <c r="C3" s="234"/>
      <c r="D3" s="234"/>
      <c r="F3" s="17" t="s">
        <v>126</v>
      </c>
      <c r="G3" s="17"/>
      <c r="H3" s="273"/>
      <c r="I3" s="273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4"/>
      <c r="O3" s="245"/>
      <c r="P3" s="16"/>
    </row>
    <row r="4" spans="1:16" ht="15.75" customHeight="1" x14ac:dyDescent="0.2">
      <c r="A4" s="245"/>
      <c r="B4" s="234"/>
      <c r="C4" s="234"/>
      <c r="D4" s="234"/>
      <c r="F4" s="17" t="s">
        <v>95</v>
      </c>
      <c r="G4" s="17"/>
      <c r="H4" s="273"/>
      <c r="I4" s="273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4"/>
      <c r="O4" s="245"/>
      <c r="P4" s="16"/>
    </row>
    <row r="5" spans="1:16" ht="15.75" customHeight="1" x14ac:dyDescent="0.2">
      <c r="A5" s="245"/>
      <c r="B5" s="234"/>
      <c r="C5" s="234"/>
      <c r="D5" s="234"/>
      <c r="F5" s="17" t="s">
        <v>92</v>
      </c>
      <c r="G5" s="17"/>
      <c r="H5" s="273"/>
      <c r="I5" s="273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4"/>
      <c r="O5" s="245"/>
      <c r="P5" s="16"/>
    </row>
    <row r="6" spans="1:16" ht="15.75" customHeight="1" x14ac:dyDescent="0.2">
      <c r="A6" s="245"/>
      <c r="B6" s="234"/>
      <c r="C6" s="234"/>
      <c r="D6" s="234"/>
      <c r="F6" s="17" t="s">
        <v>89</v>
      </c>
      <c r="G6" s="17"/>
      <c r="H6" s="273"/>
      <c r="I6" s="273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4"/>
      <c r="O6" s="245"/>
      <c r="P6" s="16"/>
    </row>
    <row r="7" spans="1:16" ht="15.75" customHeight="1" thickBot="1" x14ac:dyDescent="0.25">
      <c r="A7" s="245"/>
      <c r="B7" s="234"/>
      <c r="C7" s="234"/>
      <c r="D7" s="234"/>
      <c r="F7" s="17" t="s">
        <v>88</v>
      </c>
      <c r="G7" s="17"/>
      <c r="H7" s="273"/>
      <c r="I7" s="273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4"/>
      <c r="O7" s="245"/>
      <c r="P7" s="16"/>
    </row>
    <row r="8" spans="1:16" ht="15" customHeight="1" x14ac:dyDescent="0.2">
      <c r="A8" s="255" t="s">
        <v>194</v>
      </c>
      <c r="B8" s="233" t="s">
        <v>195</v>
      </c>
      <c r="C8" s="269" t="s">
        <v>210</v>
      </c>
      <c r="D8" s="269" t="s">
        <v>171</v>
      </c>
      <c r="E8" s="78"/>
      <c r="F8" s="285" t="s">
        <v>98</v>
      </c>
      <c r="G8" s="79" t="s">
        <v>87</v>
      </c>
      <c r="H8" s="285" t="str">
        <f>+VLOOKUP(CONCATENATE(LEFT($B$8,2),LEFT($C$8,2),LEFT($D8,4),INDEX(Datos!$E$30:$F$35,MATCH($F8,Datos!$F$30:$F$35,0),1),"GD_"&amp;$A$8),ZTDM_ARBOL_DES_D!$A:$O,11,FALSE)</f>
        <v>RT_CAT_CLI</v>
      </c>
      <c r="I8" s="285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69" t="s">
        <v>196</v>
      </c>
      <c r="N8" s="78"/>
      <c r="O8" s="233" t="s">
        <v>226</v>
      </c>
      <c r="P8" s="16"/>
    </row>
    <row r="9" spans="1:16" ht="15" customHeight="1" x14ac:dyDescent="0.2">
      <c r="A9" s="245"/>
      <c r="B9" s="234"/>
      <c r="C9" s="270"/>
      <c r="D9" s="270"/>
      <c r="F9" s="243"/>
      <c r="G9" s="17" t="s">
        <v>85</v>
      </c>
      <c r="H9" s="273"/>
      <c r="I9" s="273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70"/>
      <c r="O9" s="234"/>
      <c r="P9" s="16"/>
    </row>
    <row r="10" spans="1:16" ht="15" customHeight="1" x14ac:dyDescent="0.2">
      <c r="A10" s="245"/>
      <c r="B10" s="234"/>
      <c r="C10" s="270"/>
      <c r="D10" s="270"/>
      <c r="F10" s="273" t="s">
        <v>95</v>
      </c>
      <c r="G10" s="17" t="s">
        <v>87</v>
      </c>
      <c r="H10" s="273"/>
      <c r="I10" s="273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70"/>
      <c r="O10" s="234"/>
      <c r="P10" s="16"/>
    </row>
    <row r="11" spans="1:16" ht="15" customHeight="1" x14ac:dyDescent="0.2">
      <c r="A11" s="245"/>
      <c r="B11" s="234"/>
      <c r="C11" s="270"/>
      <c r="D11" s="270"/>
      <c r="F11" s="243"/>
      <c r="G11" s="17" t="s">
        <v>85</v>
      </c>
      <c r="H11" s="273"/>
      <c r="I11" s="273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70"/>
      <c r="O11" s="234"/>
      <c r="P11" s="16"/>
    </row>
    <row r="12" spans="1:16" ht="15" customHeight="1" x14ac:dyDescent="0.2">
      <c r="A12" s="245"/>
      <c r="B12" s="234"/>
      <c r="C12" s="270"/>
      <c r="D12" s="270"/>
      <c r="F12" s="273" t="s">
        <v>92</v>
      </c>
      <c r="G12" s="17" t="s">
        <v>87</v>
      </c>
      <c r="H12" s="273"/>
      <c r="I12" s="273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70"/>
      <c r="O12" s="234"/>
      <c r="P12" s="16"/>
    </row>
    <row r="13" spans="1:16" ht="15" customHeight="1" x14ac:dyDescent="0.2">
      <c r="A13" s="245"/>
      <c r="B13" s="234"/>
      <c r="C13" s="270"/>
      <c r="D13" s="270"/>
      <c r="F13" s="243"/>
      <c r="G13" s="17" t="s">
        <v>85</v>
      </c>
      <c r="H13" s="273"/>
      <c r="I13" s="273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70"/>
      <c r="O13" s="234"/>
      <c r="P13" s="16"/>
    </row>
    <row r="14" spans="1:16" ht="15" customHeight="1" x14ac:dyDescent="0.2">
      <c r="A14" s="245"/>
      <c r="B14" s="234"/>
      <c r="C14" s="270"/>
      <c r="D14" s="270"/>
      <c r="F14" s="273" t="s">
        <v>88</v>
      </c>
      <c r="G14" s="17" t="s">
        <v>87</v>
      </c>
      <c r="H14" s="273"/>
      <c r="I14" s="273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70"/>
      <c r="O14" s="234"/>
      <c r="P14" s="16"/>
    </row>
    <row r="15" spans="1:16" ht="15" customHeight="1" x14ac:dyDescent="0.2">
      <c r="A15" s="245"/>
      <c r="B15" s="234"/>
      <c r="C15" s="271"/>
      <c r="D15" s="271"/>
      <c r="E15" s="54"/>
      <c r="F15" s="277"/>
      <c r="G15" s="50" t="s">
        <v>85</v>
      </c>
      <c r="H15" s="283"/>
      <c r="I15" s="283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71"/>
      <c r="N15" s="54"/>
      <c r="O15" s="234"/>
      <c r="P15" s="16"/>
    </row>
    <row r="16" spans="1:16" ht="12.75" customHeight="1" x14ac:dyDescent="0.2">
      <c r="A16" s="245"/>
      <c r="B16" s="234"/>
      <c r="C16" s="270" t="s">
        <v>309</v>
      </c>
      <c r="D16" s="270" t="s">
        <v>199</v>
      </c>
      <c r="F16" s="273" t="s">
        <v>98</v>
      </c>
      <c r="G16" s="17" t="s">
        <v>87</v>
      </c>
      <c r="H16" s="281" t="str">
        <f>+VLOOKUP(CONCATENATE(LEFT($B$8,2),LEFT($C$8,2),LEFT($D16,4),INDEX(Datos!$E$30:$F$35,MATCH($F16,Datos!$F$30:$F$35,0),1),"GD_"&amp;$A$8),ZTDM_ARBOL_DES_D!$A:$O,11,FALSE)</f>
        <v>RT_CAT_CLI</v>
      </c>
      <c r="I16" s="281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70" t="s">
        <v>213</v>
      </c>
      <c r="O16" s="234"/>
      <c r="P16" s="16"/>
    </row>
    <row r="17" spans="1:16" ht="12.75" customHeight="1" x14ac:dyDescent="0.2">
      <c r="A17" s="245"/>
      <c r="B17" s="234"/>
      <c r="C17" s="270"/>
      <c r="D17" s="270"/>
      <c r="F17" s="243"/>
      <c r="G17" s="17" t="s">
        <v>85</v>
      </c>
      <c r="H17" s="273"/>
      <c r="I17" s="273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70"/>
      <c r="O17" s="234"/>
      <c r="P17" s="16"/>
    </row>
    <row r="18" spans="1:16" ht="12.75" customHeight="1" x14ac:dyDescent="0.2">
      <c r="A18" s="245"/>
      <c r="B18" s="234"/>
      <c r="C18" s="270"/>
      <c r="D18" s="270"/>
      <c r="F18" s="273" t="s">
        <v>95</v>
      </c>
      <c r="G18" s="17" t="s">
        <v>87</v>
      </c>
      <c r="H18" s="273"/>
      <c r="I18" s="273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70"/>
      <c r="O18" s="234"/>
      <c r="P18" s="16"/>
    </row>
    <row r="19" spans="1:16" ht="12.75" customHeight="1" x14ac:dyDescent="0.2">
      <c r="A19" s="245"/>
      <c r="B19" s="234"/>
      <c r="C19" s="272"/>
      <c r="D19" s="272"/>
      <c r="E19" s="20"/>
      <c r="F19" s="275"/>
      <c r="G19" s="19" t="s">
        <v>85</v>
      </c>
      <c r="H19" s="282"/>
      <c r="I19" s="282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72"/>
      <c r="N19" s="20"/>
      <c r="O19" s="234"/>
      <c r="P19" s="16"/>
    </row>
    <row r="20" spans="1:16" ht="15" customHeight="1" x14ac:dyDescent="0.2">
      <c r="A20" s="245"/>
      <c r="B20" s="234"/>
      <c r="C20" s="290" t="s">
        <v>310</v>
      </c>
      <c r="D20" s="280" t="s">
        <v>180</v>
      </c>
      <c r="E20" s="51"/>
      <c r="F20" s="276" t="s">
        <v>98</v>
      </c>
      <c r="G20" s="53" t="s">
        <v>87</v>
      </c>
      <c r="H20" s="276" t="str">
        <f>+VLOOKUP(CONCATENATE(LEFT($B$8,2),LEFT($C$20,2),LEFT($D20,4),INDEX(Datos!$E$30:$F$35,MATCH($F20,Datos!$F$30:$F$35,0),1),"GD_"&amp;$A$8),ZTDM_ARBOL_DES_D!$A:$O,11,FALSE)</f>
        <v>RT_CAT_CLI</v>
      </c>
      <c r="I20" s="276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80" t="s">
        <v>198</v>
      </c>
      <c r="N20" s="51"/>
      <c r="O20" s="234"/>
      <c r="P20" s="16"/>
    </row>
    <row r="21" spans="1:16" ht="15" customHeight="1" x14ac:dyDescent="0.2">
      <c r="A21" s="245"/>
      <c r="B21" s="234"/>
      <c r="C21" s="234"/>
      <c r="D21" s="270"/>
      <c r="F21" s="243"/>
      <c r="G21" s="17" t="s">
        <v>85</v>
      </c>
      <c r="H21" s="273"/>
      <c r="I21" s="273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70"/>
      <c r="O21" s="234"/>
      <c r="P21" s="16"/>
    </row>
    <row r="22" spans="1:16" ht="15" customHeight="1" x14ac:dyDescent="0.2">
      <c r="A22" s="245"/>
      <c r="B22" s="234"/>
      <c r="C22" s="234"/>
      <c r="D22" s="270"/>
      <c r="F22" s="273" t="s">
        <v>95</v>
      </c>
      <c r="G22" s="17" t="s">
        <v>87</v>
      </c>
      <c r="H22" s="273"/>
      <c r="I22" s="273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70"/>
      <c r="O22" s="234"/>
      <c r="P22" s="16"/>
    </row>
    <row r="23" spans="1:16" ht="15" customHeight="1" x14ac:dyDescent="0.2">
      <c r="A23" s="245"/>
      <c r="B23" s="234"/>
      <c r="C23" s="234"/>
      <c r="D23" s="270"/>
      <c r="F23" s="243"/>
      <c r="G23" s="17" t="s">
        <v>85</v>
      </c>
      <c r="H23" s="273"/>
      <c r="I23" s="273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70"/>
      <c r="O23" s="234"/>
      <c r="P23" s="16"/>
    </row>
    <row r="24" spans="1:16" ht="15" customHeight="1" x14ac:dyDescent="0.2">
      <c r="A24" s="245"/>
      <c r="B24" s="234"/>
      <c r="C24" s="234"/>
      <c r="D24" s="270"/>
      <c r="F24" s="273" t="s">
        <v>92</v>
      </c>
      <c r="G24" s="17" t="s">
        <v>87</v>
      </c>
      <c r="H24" s="273"/>
      <c r="I24" s="273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70"/>
      <c r="O24" s="234"/>
      <c r="P24" s="16"/>
    </row>
    <row r="25" spans="1:16" ht="15" customHeight="1" x14ac:dyDescent="0.2">
      <c r="A25" s="245"/>
      <c r="B25" s="234"/>
      <c r="C25" s="234"/>
      <c r="D25" s="270"/>
      <c r="F25" s="243"/>
      <c r="G25" s="17" t="s">
        <v>85</v>
      </c>
      <c r="H25" s="273"/>
      <c r="I25" s="273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70"/>
      <c r="O25" s="234"/>
      <c r="P25" s="16"/>
    </row>
    <row r="26" spans="1:16" ht="15" customHeight="1" x14ac:dyDescent="0.2">
      <c r="A26" s="245"/>
      <c r="B26" s="234"/>
      <c r="C26" s="234"/>
      <c r="D26" s="270"/>
      <c r="F26" s="273" t="s">
        <v>88</v>
      </c>
      <c r="G26" s="17" t="s">
        <v>87</v>
      </c>
      <c r="H26" s="273"/>
      <c r="I26" s="273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70"/>
      <c r="O26" s="234"/>
      <c r="P26" s="16"/>
    </row>
    <row r="27" spans="1:16" ht="15" customHeight="1" x14ac:dyDescent="0.2">
      <c r="A27" s="245"/>
      <c r="B27" s="234"/>
      <c r="C27" s="291"/>
      <c r="D27" s="271"/>
      <c r="E27" s="54"/>
      <c r="F27" s="277"/>
      <c r="G27" s="50" t="s">
        <v>85</v>
      </c>
      <c r="H27" s="283"/>
      <c r="I27" s="283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71"/>
      <c r="N27" s="54"/>
      <c r="O27" s="234"/>
      <c r="P27" s="16"/>
    </row>
    <row r="28" spans="1:16" ht="15" customHeight="1" x14ac:dyDescent="0.2">
      <c r="A28" s="245"/>
      <c r="B28" s="234"/>
      <c r="C28" s="290" t="s">
        <v>211</v>
      </c>
      <c r="D28" s="270" t="s">
        <v>182</v>
      </c>
      <c r="F28" s="273" t="s">
        <v>98</v>
      </c>
      <c r="G28" s="17" t="s">
        <v>87</v>
      </c>
      <c r="H28" s="281" t="str">
        <f>+VLOOKUP(CONCATENATE(LEFT($B$8,2),LEFT($C$20,2),LEFT($D28,4),INDEX(Datos!$E$30:$F$35,MATCH($F28,Datos!$F$30:$F$35,0),1),"GD_"&amp;$A$8),ZTDM_ARBOL_DES_D!$A:$O,11,FALSE)</f>
        <v>RT_CAT_CLI</v>
      </c>
      <c r="I28" s="281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70" t="s">
        <v>197</v>
      </c>
      <c r="O28" s="234"/>
      <c r="P28" s="16"/>
    </row>
    <row r="29" spans="1:16" ht="15" customHeight="1" x14ac:dyDescent="0.2">
      <c r="A29" s="245"/>
      <c r="B29" s="234"/>
      <c r="C29" s="234"/>
      <c r="D29" s="270"/>
      <c r="F29" s="243"/>
      <c r="G29" s="17" t="s">
        <v>85</v>
      </c>
      <c r="H29" s="273"/>
      <c r="I29" s="273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70"/>
      <c r="O29" s="234"/>
      <c r="P29" s="16"/>
    </row>
    <row r="30" spans="1:16" ht="15" customHeight="1" x14ac:dyDescent="0.2">
      <c r="A30" s="245"/>
      <c r="B30" s="234"/>
      <c r="C30" s="234"/>
      <c r="D30" s="270"/>
      <c r="F30" s="273" t="s">
        <v>95</v>
      </c>
      <c r="G30" s="17" t="s">
        <v>87</v>
      </c>
      <c r="H30" s="273"/>
      <c r="I30" s="273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70"/>
      <c r="O30" s="234"/>
      <c r="P30" s="16"/>
    </row>
    <row r="31" spans="1:16" ht="15" customHeight="1" x14ac:dyDescent="0.2">
      <c r="A31" s="245"/>
      <c r="B31" s="234"/>
      <c r="C31" s="234"/>
      <c r="D31" s="270"/>
      <c r="F31" s="243"/>
      <c r="G31" s="17" t="s">
        <v>85</v>
      </c>
      <c r="H31" s="273"/>
      <c r="I31" s="273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70"/>
      <c r="O31" s="234"/>
      <c r="P31" s="16"/>
    </row>
    <row r="32" spans="1:16" ht="15" customHeight="1" x14ac:dyDescent="0.2">
      <c r="A32" s="245"/>
      <c r="B32" s="234"/>
      <c r="C32" s="234"/>
      <c r="D32" s="270"/>
      <c r="F32" s="273" t="s">
        <v>92</v>
      </c>
      <c r="G32" s="17" t="s">
        <v>87</v>
      </c>
      <c r="H32" s="273"/>
      <c r="I32" s="273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70"/>
      <c r="O32" s="234"/>
      <c r="P32" s="16"/>
    </row>
    <row r="33" spans="1:16" ht="15" customHeight="1" x14ac:dyDescent="0.2">
      <c r="A33" s="245"/>
      <c r="B33" s="234"/>
      <c r="C33" s="291"/>
      <c r="D33" s="272"/>
      <c r="E33" s="20"/>
      <c r="F33" s="275"/>
      <c r="G33" s="19" t="s">
        <v>85</v>
      </c>
      <c r="H33" s="282"/>
      <c r="I33" s="282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72"/>
      <c r="N33" s="20"/>
      <c r="O33" s="234"/>
      <c r="P33" s="16"/>
    </row>
    <row r="34" spans="1:16" ht="12.75" customHeight="1" x14ac:dyDescent="0.2">
      <c r="A34" s="245"/>
      <c r="B34" s="234"/>
      <c r="C34" s="234" t="s">
        <v>212</v>
      </c>
      <c r="D34" s="270" t="s">
        <v>204</v>
      </c>
      <c r="E34" s="51"/>
      <c r="F34" s="276" t="s">
        <v>98</v>
      </c>
      <c r="G34" s="53" t="s">
        <v>87</v>
      </c>
      <c r="H34" s="276" t="str">
        <f>+VLOOKUP(CONCATENATE(LEFT($B$8,2),LEFT($C$34,2),LEFT($D34,4),INDEX(Datos!$E$30:$F$35,MATCH($F34,Datos!$F$30:$F$35,0),1),"GD_"&amp;$A$8),ZTDM_ARBOL_DES_D!$A:$O,11,FALSE)</f>
        <v>RT_CAT_CLI</v>
      </c>
      <c r="I34" s="276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80" t="s">
        <v>213</v>
      </c>
      <c r="N34" s="51"/>
      <c r="O34" s="234"/>
      <c r="P34" s="16"/>
    </row>
    <row r="35" spans="1:16" ht="12.75" customHeight="1" x14ac:dyDescent="0.2">
      <c r="A35" s="245"/>
      <c r="B35" s="234"/>
      <c r="C35" s="234"/>
      <c r="D35" s="270"/>
      <c r="F35" s="243"/>
      <c r="G35" s="17" t="s">
        <v>85</v>
      </c>
      <c r="H35" s="273"/>
      <c r="I35" s="273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70"/>
      <c r="O35" s="234"/>
      <c r="P35" s="16"/>
    </row>
    <row r="36" spans="1:16" ht="12.75" customHeight="1" x14ac:dyDescent="0.2">
      <c r="A36" s="245"/>
      <c r="B36" s="234"/>
      <c r="C36" s="234"/>
      <c r="D36" s="270"/>
      <c r="F36" s="273" t="s">
        <v>95</v>
      </c>
      <c r="G36" s="17" t="s">
        <v>87</v>
      </c>
      <c r="H36" s="273"/>
      <c r="I36" s="273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70"/>
      <c r="O36" s="234"/>
      <c r="P36" s="16"/>
    </row>
    <row r="37" spans="1:16" ht="12.75" customHeight="1" x14ac:dyDescent="0.2">
      <c r="A37" s="245"/>
      <c r="B37" s="234"/>
      <c r="C37" s="234"/>
      <c r="D37" s="270"/>
      <c r="F37" s="243"/>
      <c r="G37" s="17" t="s">
        <v>85</v>
      </c>
      <c r="H37" s="273"/>
      <c r="I37" s="273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70"/>
      <c r="O37" s="234"/>
      <c r="P37" s="16"/>
    </row>
    <row r="38" spans="1:16" ht="12.75" customHeight="1" x14ac:dyDescent="0.2">
      <c r="A38" s="245"/>
      <c r="B38" s="234"/>
      <c r="C38" s="234"/>
      <c r="D38" s="270"/>
      <c r="F38" s="273" t="s">
        <v>92</v>
      </c>
      <c r="G38" s="17" t="s">
        <v>87</v>
      </c>
      <c r="H38" s="273"/>
      <c r="I38" s="273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70"/>
      <c r="O38" s="234"/>
      <c r="P38" s="16"/>
    </row>
    <row r="39" spans="1:16" ht="12.75" customHeight="1" x14ac:dyDescent="0.2">
      <c r="A39" s="245"/>
      <c r="B39" s="234"/>
      <c r="C39" s="234"/>
      <c r="D39" s="270"/>
      <c r="F39" s="243"/>
      <c r="G39" s="17" t="s">
        <v>85</v>
      </c>
      <c r="H39" s="273"/>
      <c r="I39" s="273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70"/>
      <c r="O39" s="234"/>
      <c r="P39" s="16"/>
    </row>
    <row r="40" spans="1:16" ht="12.75" customHeight="1" x14ac:dyDescent="0.2">
      <c r="A40" s="245"/>
      <c r="B40" s="234"/>
      <c r="C40" s="234"/>
      <c r="D40" s="270"/>
      <c r="F40" s="273" t="s">
        <v>88</v>
      </c>
      <c r="G40" s="17" t="s">
        <v>87</v>
      </c>
      <c r="H40" s="273"/>
      <c r="I40" s="273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70"/>
      <c r="O40" s="234"/>
      <c r="P40" s="16"/>
    </row>
    <row r="41" spans="1:16" ht="12.75" customHeight="1" thickBot="1" x14ac:dyDescent="0.25">
      <c r="A41" s="260"/>
      <c r="B41" s="268"/>
      <c r="C41" s="268"/>
      <c r="D41" s="289"/>
      <c r="E41" s="80"/>
      <c r="F41" s="274"/>
      <c r="G41" s="81" t="s">
        <v>85</v>
      </c>
      <c r="H41" s="284"/>
      <c r="I41" s="284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89"/>
      <c r="N41" s="80"/>
      <c r="O41" s="268"/>
      <c r="P41" s="16"/>
    </row>
    <row r="42" spans="1:16" ht="12.75" customHeight="1" x14ac:dyDescent="0.2">
      <c r="A42" s="245" t="s">
        <v>218</v>
      </c>
      <c r="B42" s="270" t="s">
        <v>219</v>
      </c>
      <c r="C42" s="269" t="s">
        <v>312</v>
      </c>
      <c r="D42" s="286" t="s">
        <v>171</v>
      </c>
      <c r="F42" s="273" t="s">
        <v>98</v>
      </c>
      <c r="G42" s="17" t="s">
        <v>87</v>
      </c>
      <c r="H42" s="273" t="str">
        <f>+VLOOKUP(CONCATENATE(LEFT($B$42,2),LEFT($C$42,2),LEFT($D42,4),INDEX(Datos!$E$30:$F$35,MATCH($F42,Datos!$F$30:$F$35,0),1),"GD_"&amp;$A$42),ZTDM_ARBOL_DES_D!$A:$O,11,FALSE)</f>
        <v>RT_CAT_CLI</v>
      </c>
      <c r="I42" s="273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70" t="s">
        <v>220</v>
      </c>
      <c r="O42" s="234" t="s">
        <v>238</v>
      </c>
      <c r="P42" s="16"/>
    </row>
    <row r="43" spans="1:16" ht="12.75" customHeight="1" x14ac:dyDescent="0.2">
      <c r="A43" s="243"/>
      <c r="B43" s="270"/>
      <c r="C43" s="270"/>
      <c r="D43" s="287"/>
      <c r="F43" s="243"/>
      <c r="G43" s="17" t="s">
        <v>85</v>
      </c>
      <c r="H43" s="273"/>
      <c r="I43" s="273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70"/>
      <c r="O43" s="245"/>
      <c r="P43" s="16"/>
    </row>
    <row r="44" spans="1:16" ht="12.75" customHeight="1" x14ac:dyDescent="0.2">
      <c r="A44" s="243"/>
      <c r="B44" s="270"/>
      <c r="C44" s="270"/>
      <c r="D44" s="287"/>
      <c r="F44" s="273" t="s">
        <v>95</v>
      </c>
      <c r="G44" s="17" t="s">
        <v>87</v>
      </c>
      <c r="H44" s="273"/>
      <c r="I44" s="273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70"/>
      <c r="O44" s="245"/>
      <c r="P44" s="16"/>
    </row>
    <row r="45" spans="1:16" ht="12.75" customHeight="1" x14ac:dyDescent="0.2">
      <c r="A45" s="243"/>
      <c r="B45" s="270"/>
      <c r="C45" s="270"/>
      <c r="D45" s="287"/>
      <c r="F45" s="243"/>
      <c r="G45" s="17" t="s">
        <v>85</v>
      </c>
      <c r="H45" s="273"/>
      <c r="I45" s="273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70"/>
      <c r="O45" s="245"/>
      <c r="P45" s="16"/>
    </row>
    <row r="46" spans="1:16" ht="15" customHeight="1" x14ac:dyDescent="0.2">
      <c r="A46" s="243"/>
      <c r="B46" s="270"/>
      <c r="C46" s="270"/>
      <c r="D46" s="287"/>
      <c r="F46" s="273" t="s">
        <v>92</v>
      </c>
      <c r="G46" s="17" t="s">
        <v>87</v>
      </c>
      <c r="H46" s="273"/>
      <c r="I46" s="273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70"/>
      <c r="O46" s="245"/>
      <c r="P46" s="16"/>
    </row>
    <row r="47" spans="1:16" ht="15" customHeight="1" x14ac:dyDescent="0.2">
      <c r="A47" s="243"/>
      <c r="B47" s="270"/>
      <c r="C47" s="270"/>
      <c r="D47" s="287"/>
      <c r="F47" s="243"/>
      <c r="G47" s="17" t="s">
        <v>85</v>
      </c>
      <c r="H47" s="273"/>
      <c r="I47" s="273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70"/>
      <c r="O47" s="245"/>
      <c r="P47" s="16"/>
    </row>
    <row r="48" spans="1:16" ht="15" customHeight="1" x14ac:dyDescent="0.2">
      <c r="A48" s="243"/>
      <c r="B48" s="270"/>
      <c r="C48" s="270"/>
      <c r="D48" s="287"/>
      <c r="F48" s="273" t="s">
        <v>88</v>
      </c>
      <c r="G48" s="17" t="s">
        <v>87</v>
      </c>
      <c r="H48" s="273"/>
      <c r="I48" s="273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70"/>
      <c r="O48" s="245"/>
      <c r="P48" s="16"/>
    </row>
    <row r="49" spans="1:16" ht="15" customHeight="1" x14ac:dyDescent="0.2">
      <c r="A49" s="243"/>
      <c r="B49" s="270"/>
      <c r="C49" s="270"/>
      <c r="D49" s="288"/>
      <c r="F49" s="243"/>
      <c r="G49" s="17" t="s">
        <v>85</v>
      </c>
      <c r="H49" s="283"/>
      <c r="I49" s="283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71"/>
      <c r="O49" s="245"/>
      <c r="P49" s="16"/>
    </row>
    <row r="50" spans="1:16" ht="15" customHeight="1" x14ac:dyDescent="0.2">
      <c r="A50" s="243"/>
      <c r="B50" s="270"/>
      <c r="C50" s="293" t="s">
        <v>311</v>
      </c>
      <c r="D50" s="293" t="s">
        <v>180</v>
      </c>
      <c r="E50" s="22"/>
      <c r="F50" s="292" t="s">
        <v>98</v>
      </c>
      <c r="G50" s="21" t="s">
        <v>87</v>
      </c>
      <c r="H50" s="273" t="str">
        <f>+VLOOKUP(CONCATENATE(LEFT($B$42,2),LEFT($C$50,2),LEFT($D50,4),INDEX(Datos!$E$30:$F$35,MATCH($F50,Datos!$F$30:$F$35,0),1),"GD_"&amp;$A$42),ZTDM_ARBOL_DES_D!$A:$O,11,FALSE)</f>
        <v>RT_CAT_CLI</v>
      </c>
      <c r="I50" s="273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79" t="s">
        <v>198</v>
      </c>
      <c r="N50" s="22"/>
      <c r="O50" s="245"/>
      <c r="P50" s="16"/>
    </row>
    <row r="51" spans="1:16" ht="15" customHeight="1" x14ac:dyDescent="0.2">
      <c r="A51" s="243"/>
      <c r="B51" s="270"/>
      <c r="C51" s="270"/>
      <c r="D51" s="270"/>
      <c r="F51" s="243"/>
      <c r="G51" s="17" t="s">
        <v>85</v>
      </c>
      <c r="H51" s="273"/>
      <c r="I51" s="273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70"/>
      <c r="O51" s="245"/>
      <c r="P51" s="16"/>
    </row>
    <row r="52" spans="1:16" ht="15" customHeight="1" x14ac:dyDescent="0.2">
      <c r="A52" s="243"/>
      <c r="B52" s="270"/>
      <c r="C52" s="270"/>
      <c r="D52" s="270"/>
      <c r="F52" s="273" t="s">
        <v>95</v>
      </c>
      <c r="G52" s="17" t="s">
        <v>87</v>
      </c>
      <c r="H52" s="273"/>
      <c r="I52" s="273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70"/>
      <c r="O52" s="245"/>
      <c r="P52" s="16"/>
    </row>
    <row r="53" spans="1:16" ht="15" customHeight="1" x14ac:dyDescent="0.2">
      <c r="A53" s="243"/>
      <c r="B53" s="270"/>
      <c r="C53" s="270"/>
      <c r="D53" s="270"/>
      <c r="F53" s="243"/>
      <c r="G53" s="17" t="s">
        <v>85</v>
      </c>
      <c r="H53" s="273"/>
      <c r="I53" s="273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70"/>
      <c r="O53" s="245"/>
      <c r="P53" s="16"/>
    </row>
    <row r="54" spans="1:16" ht="15" customHeight="1" x14ac:dyDescent="0.2">
      <c r="A54" s="243"/>
      <c r="B54" s="270"/>
      <c r="C54" s="270"/>
      <c r="D54" s="270"/>
      <c r="F54" s="273" t="s">
        <v>92</v>
      </c>
      <c r="G54" s="17" t="s">
        <v>87</v>
      </c>
      <c r="H54" s="273"/>
      <c r="I54" s="273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70"/>
      <c r="O54" s="245"/>
      <c r="P54" s="16"/>
    </row>
    <row r="55" spans="1:16" ht="15" customHeight="1" x14ac:dyDescent="0.2">
      <c r="A55" s="243"/>
      <c r="B55" s="270"/>
      <c r="C55" s="270"/>
      <c r="D55" s="270"/>
      <c r="F55" s="243"/>
      <c r="G55" s="17" t="s">
        <v>85</v>
      </c>
      <c r="H55" s="273"/>
      <c r="I55" s="273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70"/>
      <c r="O55" s="245"/>
      <c r="P55" s="16"/>
    </row>
    <row r="56" spans="1:16" ht="15" customHeight="1" x14ac:dyDescent="0.2">
      <c r="A56" s="243"/>
      <c r="B56" s="270"/>
      <c r="C56" s="270"/>
      <c r="D56" s="270"/>
      <c r="F56" s="273" t="s">
        <v>88</v>
      </c>
      <c r="G56" s="17" t="s">
        <v>87</v>
      </c>
      <c r="H56" s="273"/>
      <c r="I56" s="273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70"/>
      <c r="O56" s="245"/>
      <c r="P56" s="16"/>
    </row>
    <row r="57" spans="1:16" ht="15" customHeight="1" x14ac:dyDescent="0.2">
      <c r="A57" s="275"/>
      <c r="B57" s="272"/>
      <c r="C57" s="272"/>
      <c r="D57" s="272"/>
      <c r="E57" s="20"/>
      <c r="F57" s="275"/>
      <c r="G57" s="19" t="s">
        <v>85</v>
      </c>
      <c r="H57" s="282"/>
      <c r="I57" s="282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72"/>
      <c r="N57" s="20"/>
      <c r="O57" s="278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F28:F29"/>
    <mergeCell ref="F30:F31"/>
    <mergeCell ref="C50:C57"/>
    <mergeCell ref="F32:F33"/>
    <mergeCell ref="D50:D57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H28:H33"/>
    <mergeCell ref="H42:H49"/>
    <mergeCell ref="I42:I49"/>
    <mergeCell ref="H50:H57"/>
    <mergeCell ref="I50:I57"/>
    <mergeCell ref="H34:H41"/>
    <mergeCell ref="I34:I41"/>
    <mergeCell ref="I28:I33"/>
    <mergeCell ref="O42:O57"/>
    <mergeCell ref="M42:M49"/>
    <mergeCell ref="M50:M57"/>
    <mergeCell ref="M28:M33"/>
    <mergeCell ref="M16:M19"/>
    <mergeCell ref="M20:M27"/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9" t="s">
        <v>30</v>
      </c>
      <c r="C13" s="209" t="str">
        <f>+VLOOKUP(Tabla103[[#This Row],[Tipo cta.contrato]],Datos!$C:$D,2,FALSE)</f>
        <v>Grandes Demandas</v>
      </c>
      <c r="D13" s="209" t="s">
        <v>65</v>
      </c>
      <c r="E13" s="209" t="str">
        <f>+VLOOKUP(Tabla103[[#This Row],[Caract.determin.cta.]],Datos!$C:$D,2,FALSE)</f>
        <v>Gran Demanda Urbano Completo</v>
      </c>
      <c r="F13" s="209" t="s">
        <v>44</v>
      </c>
      <c r="G13" s="210" t="str">
        <f>+VLOOKUP(Tabla103[[#This Row],[Categoría de cuenta]],Datos!$C:$D,2,FALSE)</f>
        <v>GD: Normal</v>
      </c>
      <c r="H13" s="211" t="s">
        <v>42</v>
      </c>
      <c r="I13" s="209" t="str">
        <f>+VLOOKUP(Tabla103[[#This Row],[Nivel de tensión]],Datos!$C:$D,2,FALSE)</f>
        <v>Media Barra</v>
      </c>
      <c r="J13" s="210" t="s">
        <v>54</v>
      </c>
      <c r="K13" s="209" t="s">
        <v>23</v>
      </c>
      <c r="L13" s="209" t="s">
        <v>24</v>
      </c>
      <c r="M13" s="212" t="s">
        <v>9173</v>
      </c>
      <c r="N13" s="208"/>
      <c r="O13" s="208"/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9" t="s">
        <v>30</v>
      </c>
      <c r="C18" s="209" t="str">
        <f>+VLOOKUP(Tabla103[[#This Row],[Tipo cta.contrato]],Datos!$C:$D,2,FALSE)</f>
        <v>Grandes Demandas</v>
      </c>
      <c r="D18" s="209" t="s">
        <v>65</v>
      </c>
      <c r="E18" s="209" t="str">
        <f>+VLOOKUP(Tabla103[[#This Row],[Caract.determin.cta.]],Datos!$C:$D,2,FALSE)</f>
        <v>Gran Demanda Urbano Completo</v>
      </c>
      <c r="F18" s="209" t="s">
        <v>45</v>
      </c>
      <c r="G18" s="210" t="str">
        <f>+VLOOKUP(Tabla103[[#This Row],[Categoría de cuenta]],Datos!$C:$D,2,FALSE)</f>
        <v>GD: Parque Industrial</v>
      </c>
      <c r="H18" s="211" t="s">
        <v>42</v>
      </c>
      <c r="I18" s="209" t="str">
        <f>+VLOOKUP(Tabla103[[#This Row],[Nivel de tensión]],Datos!$C:$D,2,FALSE)</f>
        <v>Media Barra</v>
      </c>
      <c r="J18" s="210" t="s">
        <v>54</v>
      </c>
      <c r="K18" s="209" t="s">
        <v>23</v>
      </c>
      <c r="L18" s="209" t="s">
        <v>79</v>
      </c>
      <c r="M18" s="209" t="s">
        <v>9172</v>
      </c>
      <c r="N18" s="208"/>
      <c r="O18" s="208"/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9" t="s">
        <v>30</v>
      </c>
      <c r="C30" s="209" t="str">
        <f>+VLOOKUP(Tabla103[[#This Row],[Tipo cta.contrato]],Datos!$C:$D,2,FALSE)</f>
        <v>Grandes Demandas</v>
      </c>
      <c r="D30" s="209" t="s">
        <v>73</v>
      </c>
      <c r="E30" s="209" t="str">
        <f>+VLOOKUP(Tabla103[[#This Row],[Caract.determin.cta.]],Datos!$C:$D,2,FALSE)</f>
        <v>Gran Demanda Rural Completo</v>
      </c>
      <c r="F30" s="209" t="s">
        <v>44</v>
      </c>
      <c r="G30" s="210" t="str">
        <f>+VLOOKUP(Tabla103[[#This Row],[Categoría de cuenta]],Datos!$C:$D,2,FALSE)</f>
        <v>GD: Normal</v>
      </c>
      <c r="H30" s="211" t="s">
        <v>42</v>
      </c>
      <c r="I30" s="209" t="str">
        <f>+VLOOKUP(Tabla103[[#This Row],[Nivel de tensión]],Datos!$C:$D,2,FALSE)</f>
        <v>Media Barra</v>
      </c>
      <c r="J30" s="210" t="s">
        <v>54</v>
      </c>
      <c r="K30" s="209" t="s">
        <v>23</v>
      </c>
      <c r="L30" s="209" t="s">
        <v>24</v>
      </c>
      <c r="M30" s="212" t="s">
        <v>9173</v>
      </c>
      <c r="N30" s="3" t="s">
        <v>167</v>
      </c>
      <c r="O30" s="208"/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9" t="s">
        <v>30</v>
      </c>
      <c r="C42" s="209" t="str">
        <f>+VLOOKUP(Tabla103[[#This Row],[Tipo cta.contrato]],Datos!$C:$D,2,FALSE)</f>
        <v>Grandes Demandas</v>
      </c>
      <c r="D42" s="209" t="s">
        <v>53</v>
      </c>
      <c r="E42" s="209" t="str">
        <f>+VLOOKUP(Tabla103[[#This Row],[Caract.determin.cta.]],Datos!$C:$D,2,FALSE)</f>
        <v>Gran Demanda Urbano Nacional</v>
      </c>
      <c r="F42" s="209" t="s">
        <v>44</v>
      </c>
      <c r="G42" s="213" t="str">
        <f>+VLOOKUP(Tabla103[[#This Row],[Categoría de cuenta]],Datos!$C:$D,2,FALSE)</f>
        <v>GD: Normal</v>
      </c>
      <c r="H42" s="211" t="s">
        <v>42</v>
      </c>
      <c r="I42" s="209" t="str">
        <f>+VLOOKUP(Tabla103[[#This Row],[Nivel de tensión]],Datos!$C:$D,2,FALSE)</f>
        <v>Media Barra</v>
      </c>
      <c r="J42" s="210" t="s">
        <v>54</v>
      </c>
      <c r="K42" s="209" t="s">
        <v>23</v>
      </c>
      <c r="L42" s="209" t="s">
        <v>24</v>
      </c>
      <c r="M42" s="212" t="s">
        <v>9173</v>
      </c>
      <c r="N42" s="208"/>
      <c r="O42" s="208"/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9" t="s">
        <v>30</v>
      </c>
      <c r="C52" s="209" t="str">
        <f>+VLOOKUP(Tabla103[[#This Row],[Tipo cta.contrato]],Datos!$C:$D,2,FALSE)</f>
        <v>Grandes Demandas</v>
      </c>
      <c r="D52" s="209" t="s">
        <v>67</v>
      </c>
      <c r="E52" s="209" t="str">
        <f>+VLOOKUP(Tabla103[[#This Row],[Caract.determin.cta.]],Datos!$C:$D,2,FALSE)</f>
        <v>Gran Demanda Rural Nacional</v>
      </c>
      <c r="F52" s="209" t="s">
        <v>44</v>
      </c>
      <c r="G52" s="213" t="str">
        <f>+VLOOKUP(Tabla103[[#This Row],[Categoría de cuenta]],Datos!$C:$D,2,FALSE)</f>
        <v>GD: Normal</v>
      </c>
      <c r="H52" s="211" t="s">
        <v>42</v>
      </c>
      <c r="I52" s="209" t="str">
        <f>+VLOOKUP(Tabla103[[#This Row],[Nivel de tensión]],Datos!$C:$D,2,FALSE)</f>
        <v>Media Barra</v>
      </c>
      <c r="J52" s="210" t="s">
        <v>54</v>
      </c>
      <c r="K52" s="209" t="s">
        <v>23</v>
      </c>
      <c r="L52" s="209" t="s">
        <v>24</v>
      </c>
      <c r="M52" s="212" t="s">
        <v>9173</v>
      </c>
      <c r="N52" s="3" t="s">
        <v>167</v>
      </c>
      <c r="O52" s="208"/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9" t="s">
        <v>30</v>
      </c>
      <c r="C62" s="209" t="str">
        <f>+VLOOKUP(Tabla103[[#This Row],[Tipo cta.contrato]],Datos!$C:$D,2,FALSE)</f>
        <v>Grandes Demandas</v>
      </c>
      <c r="D62" s="209" t="s">
        <v>60</v>
      </c>
      <c r="E62" s="209" t="str">
        <f>+VLOOKUP(Tabla103[[#This Row],[Caract.determin.cta.]],Datos!$C:$D,2,FALSE)</f>
        <v>Gran Demanda Urbano Provincial</v>
      </c>
      <c r="F62" s="209" t="s">
        <v>44</v>
      </c>
      <c r="G62" s="213" t="str">
        <f>+VLOOKUP(Tabla103[[#This Row],[Categoría de cuenta]],Datos!$C:$D,2,FALSE)</f>
        <v>GD: Normal</v>
      </c>
      <c r="H62" s="211" t="s">
        <v>42</v>
      </c>
      <c r="I62" s="209" t="str">
        <f>+VLOOKUP(Tabla103[[#This Row],[Nivel de tensión]],Datos!$C:$D,2,FALSE)</f>
        <v>Media Barra</v>
      </c>
      <c r="J62" s="210" t="s">
        <v>54</v>
      </c>
      <c r="K62" s="209" t="s">
        <v>23</v>
      </c>
      <c r="L62" s="209" t="s">
        <v>24</v>
      </c>
      <c r="M62" s="212" t="s">
        <v>9173</v>
      </c>
      <c r="N62" s="208"/>
      <c r="O62" s="208"/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9" t="s">
        <v>30</v>
      </c>
      <c r="C74" s="214" t="str">
        <f>+VLOOKUP(Tabla103[[#This Row],[Tipo cta.contrato]],Datos!$C:$D,2,FALSE)</f>
        <v>Grandes Demandas</v>
      </c>
      <c r="D74" s="214" t="s">
        <v>69</v>
      </c>
      <c r="E74" s="214" t="str">
        <f>+VLOOKUP(Tabla103[[#This Row],[Caract.determin.cta.]],Datos!$C:$D,2,FALSE)</f>
        <v>Gran Demanda Rural Provincial</v>
      </c>
      <c r="F74" s="209" t="s">
        <v>44</v>
      </c>
      <c r="G74" s="215" t="str">
        <f>+VLOOKUP(Tabla103[[#This Row],[Categoría de cuenta]],Datos!$C:$D,2,FALSE)</f>
        <v>GD: Normal</v>
      </c>
      <c r="H74" s="219" t="s">
        <v>42</v>
      </c>
      <c r="I74" s="216" t="str">
        <f>+VLOOKUP(Tabla103[[#This Row],[Nivel de tensión]],Datos!$C:$D,2,FALSE)</f>
        <v>Media Barra</v>
      </c>
      <c r="J74" s="213" t="s">
        <v>54</v>
      </c>
      <c r="K74" s="209" t="s">
        <v>23</v>
      </c>
      <c r="L74" s="209" t="s">
        <v>24</v>
      </c>
      <c r="M74" s="212" t="s">
        <v>9173</v>
      </c>
      <c r="N74" s="3" t="s">
        <v>167</v>
      </c>
      <c r="O74" s="208"/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9" t="s">
        <v>30</v>
      </c>
      <c r="C86" s="214" t="str">
        <f>+VLOOKUP(Tabla103[[#This Row],[Tipo cta.contrato]],Datos!$C:$D,2,FALSE)</f>
        <v>Grandes Demandas</v>
      </c>
      <c r="D86" s="214" t="s">
        <v>63</v>
      </c>
      <c r="E86" s="214" t="str">
        <f>+VLOOKUP(Tabla103[[#This Row],[Caract.determin.cta.]],Datos!$C:$D,2,FALSE)</f>
        <v>Gran Demanda Urbano Municipal</v>
      </c>
      <c r="F86" s="209" t="s">
        <v>44</v>
      </c>
      <c r="G86" s="215" t="str">
        <f>+VLOOKUP(Tabla103[[#This Row],[Categoría de cuenta]],Datos!$C:$D,2,FALSE)</f>
        <v>GD: Normal</v>
      </c>
      <c r="H86" s="219" t="s">
        <v>42</v>
      </c>
      <c r="I86" s="216" t="str">
        <f>+VLOOKUP(Tabla103[[#This Row],[Nivel de tensión]],Datos!$C:$D,2,FALSE)</f>
        <v>Media Barra</v>
      </c>
      <c r="J86" s="213" t="s">
        <v>54</v>
      </c>
      <c r="K86" s="209" t="s">
        <v>23</v>
      </c>
      <c r="L86" s="209" t="s">
        <v>24</v>
      </c>
      <c r="M86" s="212" t="s">
        <v>9173</v>
      </c>
      <c r="N86" s="208"/>
      <c r="O86" s="208"/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9" t="s">
        <v>30</v>
      </c>
      <c r="C98" s="214" t="str">
        <f>+VLOOKUP(Tabla103[[#This Row],[Tipo cta.contrato]],Datos!$C:$D,2,FALSE)</f>
        <v>Grandes Demandas</v>
      </c>
      <c r="D98" s="214" t="s">
        <v>71</v>
      </c>
      <c r="E98" s="214" t="str">
        <f>+VLOOKUP(Tabla103[[#This Row],[Caract.determin.cta.]],Datos!$C:$D,2,FALSE)</f>
        <v>Gran Demanda Rural Municipal</v>
      </c>
      <c r="F98" s="209" t="s">
        <v>44</v>
      </c>
      <c r="G98" s="215" t="str">
        <f>+VLOOKUP(Tabla103[[#This Row],[Categoría de cuenta]],Datos!$C:$D,2,FALSE)</f>
        <v>GD: Normal</v>
      </c>
      <c r="H98" s="219" t="s">
        <v>42</v>
      </c>
      <c r="I98" s="216" t="str">
        <f>+VLOOKUP(Tabla103[[#This Row],[Nivel de tensión]],Datos!$C:$D,2,FALSE)</f>
        <v>Media Barra</v>
      </c>
      <c r="J98" s="213" t="s">
        <v>54</v>
      </c>
      <c r="K98" s="209" t="s">
        <v>23</v>
      </c>
      <c r="L98" s="209" t="s">
        <v>24</v>
      </c>
      <c r="M98" s="212" t="s">
        <v>9173</v>
      </c>
      <c r="N98" s="208" t="s">
        <v>167</v>
      </c>
      <c r="O98" s="208"/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9" t="s">
        <v>36</v>
      </c>
      <c r="C110" s="214" t="str">
        <f>+VLOOKUP(Tabla103[[#This Row],[Tipo cta.contrato]],Datos!$C:$D,2,FALSE)</f>
        <v>Peaje</v>
      </c>
      <c r="D110" s="214" t="s">
        <v>137</v>
      </c>
      <c r="E110" s="214" t="str">
        <f>+VLOOKUP(Tabla103[[#This Row],[Caract.determin.cta.]],Datos!$C:$D,2,FALSE)</f>
        <v>Peaje Urbano</v>
      </c>
      <c r="F110" s="209" t="s">
        <v>44</v>
      </c>
      <c r="G110" s="215" t="str">
        <f>+VLOOKUP(Tabla103[[#This Row],[Categoría de cuenta]],Datos!$C:$D,2,FALSE)</f>
        <v>GD: Normal</v>
      </c>
      <c r="H110" s="219" t="s">
        <v>42</v>
      </c>
      <c r="I110" s="216" t="str">
        <f>+VLOOKUP(Tabla103[[#This Row],[Nivel de tensión]],Datos!$C:$D,2,FALSE)</f>
        <v>Media Barra</v>
      </c>
      <c r="J110" s="213" t="s">
        <v>46</v>
      </c>
      <c r="K110" s="209" t="s">
        <v>23</v>
      </c>
      <c r="L110" s="209" t="s">
        <v>24</v>
      </c>
      <c r="M110" s="212" t="s">
        <v>9173</v>
      </c>
      <c r="N110" s="208"/>
      <c r="O110" s="208"/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9" t="s">
        <v>36</v>
      </c>
      <c r="C115" s="209" t="str">
        <f>+VLOOKUP(Tabla103[[#This Row],[Tipo cta.contrato]],Datos!$C:$D,2,FALSE)</f>
        <v>Peaje</v>
      </c>
      <c r="D115" s="209" t="s">
        <v>137</v>
      </c>
      <c r="E115" s="209" t="str">
        <f>+VLOOKUP(Tabla103[[#This Row],[Caract.determin.cta.]],Datos!$C:$D,2,FALSE)</f>
        <v>Peaje Urbano</v>
      </c>
      <c r="F115" s="209" t="s">
        <v>45</v>
      </c>
      <c r="G115" s="210" t="str">
        <f>+VLOOKUP(Tabla103[[#This Row],[Categoría de cuenta]],Datos!$C:$D,2,FALSE)</f>
        <v>GD: Parque Industrial</v>
      </c>
      <c r="H115" s="211" t="s">
        <v>42</v>
      </c>
      <c r="I115" s="209" t="str">
        <f>+VLOOKUP(Tabla103[[#This Row],[Nivel de tensión]],Datos!$C:$D,2,FALSE)</f>
        <v>Media Barra</v>
      </c>
      <c r="J115" s="210" t="s">
        <v>46</v>
      </c>
      <c r="K115" s="209" t="s">
        <v>23</v>
      </c>
      <c r="L115" s="209" t="s">
        <v>79</v>
      </c>
      <c r="M115" s="209" t="s">
        <v>9172</v>
      </c>
      <c r="N115" s="208"/>
      <c r="O115" s="208"/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9" t="s">
        <v>36</v>
      </c>
      <c r="C121" s="209" t="str">
        <f>+VLOOKUP(Tabla103[[#This Row],[Tipo cta.contrato]],Datos!$C:$D,2,FALSE)</f>
        <v>Peaje</v>
      </c>
      <c r="D121" s="209" t="s">
        <v>139</v>
      </c>
      <c r="E121" s="209" t="str">
        <f>+VLOOKUP(Tabla103[[#This Row],[Caract.determin.cta.]],Datos!$C:$D,2,FALSE)</f>
        <v>Peaje Rural</v>
      </c>
      <c r="F121" s="209" t="s">
        <v>44</v>
      </c>
      <c r="G121" s="213" t="str">
        <f>+VLOOKUP(Tabla103[[#This Row],[Categoría de cuenta]],Datos!$C:$D,2,FALSE)</f>
        <v>GD: Normal</v>
      </c>
      <c r="H121" s="217" t="s">
        <v>42</v>
      </c>
      <c r="I121" s="218" t="str">
        <f>+VLOOKUP(Tabla103[[#This Row],[Nivel de tensión]],Datos!$C:$D,2,FALSE)</f>
        <v>Media Barra</v>
      </c>
      <c r="J121" s="213" t="s">
        <v>46</v>
      </c>
      <c r="K121" s="209" t="s">
        <v>23</v>
      </c>
      <c r="L121" s="209" t="s">
        <v>24</v>
      </c>
      <c r="M121" s="212" t="s">
        <v>9173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7" t="s">
        <v>246</v>
      </c>
      <c r="C40" s="157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DATOS'!$D3,Gr.Estr.Reg.!$C:$D,2,FALSE),'Unidades de Lectura'!$J:$L,3,FALSE),VLOOKUP('CARGA DE DATOS'!$D3,Gr.Estr.Reg.!$C:$H,6,FALSE))</f>
        <v>GROCC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4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4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4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51" bestFit="1" customWidth="1"/>
    <col min="3" max="3" width="17" style="151" bestFit="1" customWidth="1"/>
    <col min="4" max="4" width="15.85546875" style="151" bestFit="1" customWidth="1"/>
    <col min="5" max="6" width="15.85546875" style="151" customWidth="1"/>
    <col min="8" max="8" width="10" style="151" bestFit="1" customWidth="1"/>
    <col min="9" max="9" width="13" style="151" bestFit="1" customWidth="1"/>
    <col min="10" max="11" width="23" style="151" bestFit="1" customWidth="1"/>
    <col min="12" max="12" width="10" style="151" bestFit="1" customWidth="1"/>
  </cols>
  <sheetData>
    <row r="1" spans="1:12" ht="45" x14ac:dyDescent="0.25">
      <c r="A1" s="150" t="s">
        <v>2069</v>
      </c>
      <c r="B1" s="150" t="s">
        <v>2995</v>
      </c>
      <c r="C1" s="150" t="s">
        <v>2996</v>
      </c>
      <c r="D1" s="150" t="s">
        <v>6961</v>
      </c>
      <c r="E1" s="152" t="s">
        <v>9019</v>
      </c>
      <c r="F1" s="152" t="s">
        <v>9080</v>
      </c>
      <c r="H1" s="150" t="s">
        <v>2069</v>
      </c>
      <c r="I1" s="152" t="s">
        <v>6960</v>
      </c>
      <c r="J1" s="150" t="s">
        <v>6961</v>
      </c>
      <c r="K1" s="150" t="s">
        <v>6961</v>
      </c>
      <c r="L1" s="152" t="s">
        <v>9019</v>
      </c>
    </row>
    <row r="2" spans="1:12" x14ac:dyDescent="0.25">
      <c r="A2" s="151" t="s">
        <v>2070</v>
      </c>
      <c r="B2" s="151" t="s">
        <v>2997</v>
      </c>
      <c r="C2" s="151" t="s">
        <v>2998</v>
      </c>
      <c r="D2" s="151">
        <f t="shared" ref="D2:D65" si="0">+SUMIFS(K:K,H:H,A2)</f>
        <v>0</v>
      </c>
      <c r="E2" s="151" t="str">
        <f t="shared" ref="E2:E65" si="1">+IF(D2=0,VLOOKUP(A2,$H:$L,5,FALSE),"")</f>
        <v>GC-04314</v>
      </c>
      <c r="H2" s="151" t="s">
        <v>3922</v>
      </c>
      <c r="I2" s="151" t="s">
        <v>6962</v>
      </c>
      <c r="J2" s="151" t="s">
        <v>6962</v>
      </c>
      <c r="K2" s="151">
        <f>+IFERROR(J2*1,0)</f>
        <v>0</v>
      </c>
      <c r="L2" s="151" t="s">
        <v>9020</v>
      </c>
    </row>
    <row r="3" spans="1:12" x14ac:dyDescent="0.25">
      <c r="A3" s="151" t="s">
        <v>2071</v>
      </c>
      <c r="B3" s="151" t="s">
        <v>2997</v>
      </c>
      <c r="C3" s="151" t="s">
        <v>2999</v>
      </c>
      <c r="D3" s="151">
        <f t="shared" si="0"/>
        <v>0</v>
      </c>
      <c r="E3" s="151" t="str">
        <f t="shared" si="1"/>
        <v>GC-INI</v>
      </c>
      <c r="F3" s="151">
        <f>+IF(AND(C3*1&gt;=200,E3="GC-04314"),IF(D3=0,MAX(F$2:F2)+1,0),0)</f>
        <v>0</v>
      </c>
      <c r="H3" s="151" t="s">
        <v>3922</v>
      </c>
      <c r="I3" s="151" t="s">
        <v>391</v>
      </c>
      <c r="J3" s="151" t="s">
        <v>6963</v>
      </c>
      <c r="K3" s="151">
        <f t="shared" ref="K3:K66" si="2">+IFERROR(J3*1,0)</f>
        <v>650000000000003</v>
      </c>
      <c r="L3" s="151" t="s">
        <v>9020</v>
      </c>
    </row>
    <row r="4" spans="1:12" x14ac:dyDescent="0.25">
      <c r="A4" s="151" t="s">
        <v>2072</v>
      </c>
      <c r="B4" s="151" t="s">
        <v>2997</v>
      </c>
      <c r="C4" s="151" t="s">
        <v>3000</v>
      </c>
      <c r="D4" s="151">
        <f t="shared" si="0"/>
        <v>0</v>
      </c>
      <c r="E4" s="151" t="str">
        <f t="shared" si="1"/>
        <v>GC-INI</v>
      </c>
      <c r="F4" s="151">
        <f>+IF(AND(C4*1&gt;=200,E4="GC-04314"),IF(D4=0,MAX(F$2:F3)+1,0),0)</f>
        <v>0</v>
      </c>
      <c r="H4" s="151" t="s">
        <v>5905</v>
      </c>
      <c r="I4" s="151" t="s">
        <v>6962</v>
      </c>
      <c r="J4" s="151" t="s">
        <v>6962</v>
      </c>
      <c r="K4" s="151">
        <f t="shared" si="2"/>
        <v>0</v>
      </c>
      <c r="L4" s="151" t="s">
        <v>9020</v>
      </c>
    </row>
    <row r="5" spans="1:12" x14ac:dyDescent="0.25">
      <c r="A5" s="151" t="s">
        <v>2073</v>
      </c>
      <c r="B5" s="151" t="s">
        <v>2997</v>
      </c>
      <c r="C5" s="151" t="s">
        <v>3001</v>
      </c>
      <c r="D5" s="151">
        <f t="shared" si="0"/>
        <v>0</v>
      </c>
      <c r="E5" s="151" t="str">
        <f t="shared" si="1"/>
        <v>GC-INI</v>
      </c>
      <c r="F5" s="151">
        <f>+IF(AND(C5*1&gt;=200,E5="GC-04314"),IF(D5=0,MAX(F$2:F4)+1,0),0)</f>
        <v>0</v>
      </c>
      <c r="H5" s="151" t="s">
        <v>5906</v>
      </c>
      <c r="I5" s="151" t="s">
        <v>6962</v>
      </c>
      <c r="J5" s="151" t="s">
        <v>6962</v>
      </c>
      <c r="K5" s="151">
        <f t="shared" si="2"/>
        <v>0</v>
      </c>
      <c r="L5" s="151" t="s">
        <v>9020</v>
      </c>
    </row>
    <row r="6" spans="1:12" x14ac:dyDescent="0.25">
      <c r="A6" s="151" t="s">
        <v>2074</v>
      </c>
      <c r="B6" s="151" t="s">
        <v>2997</v>
      </c>
      <c r="C6" s="151" t="s">
        <v>3002</v>
      </c>
      <c r="D6" s="151">
        <f t="shared" si="0"/>
        <v>0</v>
      </c>
      <c r="E6" s="151" t="str">
        <f t="shared" si="1"/>
        <v>GC-INI</v>
      </c>
      <c r="F6" s="151">
        <f>+IF(AND(C6*1&gt;=200,E6="GC-04314"),IF(D6=0,MAX(F$2:F5)+1,0),0)</f>
        <v>0</v>
      </c>
      <c r="H6" s="151" t="s">
        <v>5907</v>
      </c>
      <c r="I6" s="151" t="s">
        <v>6962</v>
      </c>
      <c r="J6" s="151" t="s">
        <v>6962</v>
      </c>
      <c r="K6" s="151">
        <f t="shared" si="2"/>
        <v>0</v>
      </c>
      <c r="L6" s="151" t="s">
        <v>9020</v>
      </c>
    </row>
    <row r="7" spans="1:12" x14ac:dyDescent="0.25">
      <c r="A7" s="151" t="s">
        <v>2075</v>
      </c>
      <c r="B7" s="151" t="s">
        <v>2997</v>
      </c>
      <c r="C7" s="151" t="s">
        <v>3003</v>
      </c>
      <c r="D7" s="151">
        <f t="shared" si="0"/>
        <v>0</v>
      </c>
      <c r="E7" s="151" t="str">
        <f t="shared" si="1"/>
        <v>GC-INI</v>
      </c>
      <c r="F7" s="151">
        <f>+IF(AND(C7*1&gt;=200,E7="GC-04314"),IF(D7=0,MAX(F$2:F6)+1,0),0)</f>
        <v>0</v>
      </c>
      <c r="H7" s="151" t="s">
        <v>5908</v>
      </c>
      <c r="I7" s="151" t="s">
        <v>6962</v>
      </c>
      <c r="J7" s="151" t="s">
        <v>6962</v>
      </c>
      <c r="K7" s="151">
        <f t="shared" si="2"/>
        <v>0</v>
      </c>
      <c r="L7" s="151" t="s">
        <v>9020</v>
      </c>
    </row>
    <row r="8" spans="1:12" x14ac:dyDescent="0.25">
      <c r="A8" s="151" t="s">
        <v>2076</v>
      </c>
      <c r="B8" s="151" t="s">
        <v>2997</v>
      </c>
      <c r="C8" s="151" t="s">
        <v>3004</v>
      </c>
      <c r="D8" s="151">
        <f t="shared" si="0"/>
        <v>0</v>
      </c>
      <c r="E8" s="151" t="str">
        <f t="shared" si="1"/>
        <v>GC-INI</v>
      </c>
      <c r="F8" s="151">
        <f>+IF(AND(C8*1&gt;=200,E8="GC-04314"),IF(D8=0,MAX(F$2:F7)+1,0),0)</f>
        <v>0</v>
      </c>
      <c r="H8" s="151" t="s">
        <v>5909</v>
      </c>
      <c r="I8" s="151" t="s">
        <v>6962</v>
      </c>
      <c r="J8" s="151" t="s">
        <v>6962</v>
      </c>
      <c r="K8" s="151">
        <f t="shared" si="2"/>
        <v>0</v>
      </c>
      <c r="L8" s="151" t="s">
        <v>9020</v>
      </c>
    </row>
    <row r="9" spans="1:12" x14ac:dyDescent="0.25">
      <c r="A9" s="151" t="s">
        <v>2077</v>
      </c>
      <c r="B9" s="151" t="s">
        <v>2997</v>
      </c>
      <c r="C9" s="151" t="s">
        <v>3005</v>
      </c>
      <c r="D9" s="151">
        <f t="shared" si="0"/>
        <v>0</v>
      </c>
      <c r="E9" s="151" t="str">
        <f t="shared" si="1"/>
        <v>GC-INI</v>
      </c>
      <c r="F9" s="151">
        <f>+IF(AND(C9*1&gt;=200,E9="GC-04314"),IF(D9=0,MAX(F$2:F8)+1,0),0)</f>
        <v>0</v>
      </c>
      <c r="H9" s="151" t="s">
        <v>5910</v>
      </c>
      <c r="I9" s="151" t="s">
        <v>6962</v>
      </c>
      <c r="J9" s="151" t="s">
        <v>6962</v>
      </c>
      <c r="K9" s="151">
        <f t="shared" si="2"/>
        <v>0</v>
      </c>
      <c r="L9" s="151" t="s">
        <v>9020</v>
      </c>
    </row>
    <row r="10" spans="1:12" x14ac:dyDescent="0.25">
      <c r="A10" s="151" t="s">
        <v>2078</v>
      </c>
      <c r="B10" s="151" t="s">
        <v>2997</v>
      </c>
      <c r="C10" s="151" t="s">
        <v>3006</v>
      </c>
      <c r="D10" s="151">
        <f t="shared" si="0"/>
        <v>0</v>
      </c>
      <c r="E10" s="151" t="str">
        <f t="shared" si="1"/>
        <v>GC-INI</v>
      </c>
      <c r="F10" s="151">
        <f>+IF(AND(C10*1&gt;=200,E10="GC-04314"),IF(D10=0,MAX(F$2:F9)+1,0),0)</f>
        <v>0</v>
      </c>
      <c r="H10" s="151" t="s">
        <v>5911</v>
      </c>
      <c r="I10" s="151" t="s">
        <v>6962</v>
      </c>
      <c r="J10" s="151" t="s">
        <v>6962</v>
      </c>
      <c r="K10" s="151">
        <f t="shared" si="2"/>
        <v>0</v>
      </c>
      <c r="L10" s="151" t="s">
        <v>9020</v>
      </c>
    </row>
    <row r="11" spans="1:12" x14ac:dyDescent="0.25">
      <c r="A11" s="151" t="s">
        <v>2079</v>
      </c>
      <c r="B11" s="151" t="s">
        <v>2997</v>
      </c>
      <c r="C11" s="151" t="s">
        <v>3007</v>
      </c>
      <c r="D11" s="151">
        <f t="shared" si="0"/>
        <v>0</v>
      </c>
      <c r="E11" s="151" t="str">
        <f t="shared" si="1"/>
        <v>GC-INI</v>
      </c>
      <c r="F11" s="151">
        <f>+IF(AND(C11*1&gt;=200,E11="GC-04314"),IF(D11=0,MAX(F$2:F10)+1,0),0)</f>
        <v>0</v>
      </c>
      <c r="H11" s="151" t="s">
        <v>5912</v>
      </c>
      <c r="I11" s="151" t="s">
        <v>6962</v>
      </c>
      <c r="J11" s="151" t="s">
        <v>6962</v>
      </c>
      <c r="K11" s="151">
        <f t="shared" si="2"/>
        <v>0</v>
      </c>
      <c r="L11" s="151" t="s">
        <v>9020</v>
      </c>
    </row>
    <row r="12" spans="1:12" x14ac:dyDescent="0.25">
      <c r="A12" s="151" t="s">
        <v>2082</v>
      </c>
      <c r="B12" s="151" t="s">
        <v>2997</v>
      </c>
      <c r="C12" s="151" t="s">
        <v>3010</v>
      </c>
      <c r="D12" s="151">
        <f t="shared" si="0"/>
        <v>0</v>
      </c>
      <c r="E12" s="151" t="str">
        <f t="shared" si="1"/>
        <v>GC-INI</v>
      </c>
      <c r="F12" s="151">
        <f>+IF(AND(C12*1&gt;=200,E12="GC-04314"),IF(D12=0,MAX(F$2:F11)+1,0),0)</f>
        <v>0</v>
      </c>
      <c r="H12" s="151" t="s">
        <v>5913</v>
      </c>
      <c r="I12" s="151" t="s">
        <v>6962</v>
      </c>
      <c r="J12" s="151" t="s">
        <v>6962</v>
      </c>
      <c r="K12" s="151">
        <f t="shared" si="2"/>
        <v>0</v>
      </c>
      <c r="L12" s="151" t="s">
        <v>9020</v>
      </c>
    </row>
    <row r="13" spans="1:12" x14ac:dyDescent="0.25">
      <c r="A13" s="151" t="s">
        <v>2083</v>
      </c>
      <c r="B13" s="151" t="s">
        <v>2997</v>
      </c>
      <c r="C13" s="151" t="s">
        <v>3011</v>
      </c>
      <c r="D13" s="151">
        <f t="shared" si="0"/>
        <v>0</v>
      </c>
      <c r="E13" s="151" t="str">
        <f t="shared" si="1"/>
        <v>GC-INI</v>
      </c>
      <c r="F13" s="151">
        <f>+IF(AND(C13*1&gt;=200,E13="GC-04314"),IF(D13=0,MAX(F$2:F12)+1,0),0)</f>
        <v>0</v>
      </c>
      <c r="H13" s="151" t="s">
        <v>5914</v>
      </c>
      <c r="I13" s="151" t="s">
        <v>6962</v>
      </c>
      <c r="J13" s="151" t="s">
        <v>6962</v>
      </c>
      <c r="K13" s="151">
        <f t="shared" si="2"/>
        <v>0</v>
      </c>
      <c r="L13" s="151" t="s">
        <v>9020</v>
      </c>
    </row>
    <row r="14" spans="1:12" x14ac:dyDescent="0.25">
      <c r="A14" s="151" t="s">
        <v>2122</v>
      </c>
      <c r="B14" s="151" t="s">
        <v>2997</v>
      </c>
      <c r="C14" s="151" t="s">
        <v>3050</v>
      </c>
      <c r="D14" s="151">
        <f t="shared" si="0"/>
        <v>650000000000044</v>
      </c>
      <c r="E14" s="151" t="str">
        <f t="shared" si="1"/>
        <v/>
      </c>
      <c r="F14" s="151">
        <f>+IF(AND(C14*1&gt;=200,E14="GC-04314"),IF(D14=0,MAX(F$2:F13)+1,0),0)</f>
        <v>0</v>
      </c>
      <c r="H14" s="151" t="s">
        <v>3923</v>
      </c>
      <c r="I14" s="151" t="s">
        <v>6962</v>
      </c>
      <c r="J14" s="151" t="s">
        <v>6962</v>
      </c>
      <c r="K14" s="151">
        <f t="shared" si="2"/>
        <v>0</v>
      </c>
      <c r="L14" s="151" t="s">
        <v>9021</v>
      </c>
    </row>
    <row r="15" spans="1:12" x14ac:dyDescent="0.25">
      <c r="A15" s="151" t="s">
        <v>2123</v>
      </c>
      <c r="B15" s="151" t="s">
        <v>2997</v>
      </c>
      <c r="C15" s="151" t="s">
        <v>3051</v>
      </c>
      <c r="D15" s="151">
        <f t="shared" si="0"/>
        <v>650000000000045</v>
      </c>
      <c r="E15" s="151" t="str">
        <f t="shared" si="1"/>
        <v/>
      </c>
      <c r="F15" s="151">
        <f>+IF(AND(C15*1&gt;=200,E15="GC-04314"),IF(D15=0,MAX(F$2:F14)+1,0),0)</f>
        <v>0</v>
      </c>
      <c r="H15" s="151" t="s">
        <v>3923</v>
      </c>
      <c r="I15" s="151" t="s">
        <v>391</v>
      </c>
      <c r="J15" s="151" t="s">
        <v>6964</v>
      </c>
      <c r="K15" s="151">
        <f t="shared" si="2"/>
        <v>650000000000002</v>
      </c>
      <c r="L15" s="151" t="s">
        <v>9021</v>
      </c>
    </row>
    <row r="16" spans="1:12" x14ac:dyDescent="0.25">
      <c r="A16" s="151" t="s">
        <v>2124</v>
      </c>
      <c r="B16" s="151" t="s">
        <v>2997</v>
      </c>
      <c r="C16" s="151" t="s">
        <v>3052</v>
      </c>
      <c r="D16" s="151">
        <f t="shared" si="0"/>
        <v>0</v>
      </c>
      <c r="E16" s="151" t="str">
        <f t="shared" si="1"/>
        <v>GC-04313</v>
      </c>
      <c r="F16" s="151">
        <f>+IF(AND(C16*1&gt;=200,E16="GC-04314"),IF(D16=0,MAX(F$2:F15)+1,0),0)</f>
        <v>0</v>
      </c>
      <c r="H16" s="151" t="s">
        <v>3924</v>
      </c>
      <c r="I16" s="151" t="s">
        <v>6962</v>
      </c>
      <c r="J16" s="151" t="s">
        <v>6962</v>
      </c>
      <c r="K16" s="151">
        <f t="shared" si="2"/>
        <v>0</v>
      </c>
      <c r="L16" s="151" t="s">
        <v>9021</v>
      </c>
    </row>
    <row r="17" spans="1:12" x14ac:dyDescent="0.25">
      <c r="A17" s="151" t="s">
        <v>2141</v>
      </c>
      <c r="B17" s="151" t="s">
        <v>2997</v>
      </c>
      <c r="C17" s="151" t="s">
        <v>3069</v>
      </c>
      <c r="D17" s="151">
        <f t="shared" si="0"/>
        <v>650000000000026</v>
      </c>
      <c r="E17" s="151" t="str">
        <f t="shared" si="1"/>
        <v/>
      </c>
      <c r="F17" s="151">
        <f>+IF(AND(C17*1&gt;=200,E17="GC-04314"),IF(D17=0,MAX(F$2:F16)+1,0),0)</f>
        <v>0</v>
      </c>
      <c r="H17" s="151" t="s">
        <v>3924</v>
      </c>
      <c r="I17" s="151" t="s">
        <v>391</v>
      </c>
      <c r="J17" s="151" t="s">
        <v>6965</v>
      </c>
      <c r="K17" s="151">
        <f t="shared" si="2"/>
        <v>650000000000006</v>
      </c>
      <c r="L17" s="151" t="s">
        <v>9021</v>
      </c>
    </row>
    <row r="18" spans="1:12" x14ac:dyDescent="0.25">
      <c r="A18" s="151" t="s">
        <v>2086</v>
      </c>
      <c r="B18" s="151" t="s">
        <v>2997</v>
      </c>
      <c r="C18" s="151" t="s">
        <v>3014</v>
      </c>
      <c r="D18" s="151">
        <f t="shared" si="0"/>
        <v>0</v>
      </c>
      <c r="E18" s="151" t="str">
        <f t="shared" si="1"/>
        <v>GC-04314</v>
      </c>
      <c r="F18" s="151">
        <f>+IF(AND(C18*1&gt;=200,E18="GC-04314"),IF(D18=0,MAX(F$2:F17)+1,0),0)</f>
        <v>0</v>
      </c>
      <c r="H18" s="151" t="s">
        <v>3925</v>
      </c>
      <c r="I18" s="151" t="s">
        <v>6962</v>
      </c>
      <c r="J18" s="151" t="s">
        <v>6962</v>
      </c>
      <c r="K18" s="151">
        <f t="shared" si="2"/>
        <v>0</v>
      </c>
      <c r="L18" s="151" t="s">
        <v>9021</v>
      </c>
    </row>
    <row r="19" spans="1:12" x14ac:dyDescent="0.25">
      <c r="A19" s="151" t="s">
        <v>2112</v>
      </c>
      <c r="B19" s="151" t="s">
        <v>2997</v>
      </c>
      <c r="C19" s="151" t="s">
        <v>3040</v>
      </c>
      <c r="D19" s="151">
        <f t="shared" si="0"/>
        <v>650000000000159</v>
      </c>
      <c r="E19" s="151" t="str">
        <f t="shared" si="1"/>
        <v/>
      </c>
      <c r="F19" s="151">
        <f>+IF(AND(C19*1&gt;=200,E19="GC-04314"),IF(D19=0,MAX(F$2:F18)+1,0),0)</f>
        <v>0</v>
      </c>
      <c r="H19" s="151" t="s">
        <v>3925</v>
      </c>
      <c r="I19" s="151" t="s">
        <v>391</v>
      </c>
      <c r="J19" s="151" t="s">
        <v>6966</v>
      </c>
      <c r="K19" s="151">
        <f t="shared" si="2"/>
        <v>650000000000013</v>
      </c>
      <c r="L19" s="151" t="s">
        <v>9021</v>
      </c>
    </row>
    <row r="20" spans="1:12" x14ac:dyDescent="0.25">
      <c r="A20" s="151" t="s">
        <v>2143</v>
      </c>
      <c r="B20" s="151" t="s">
        <v>2997</v>
      </c>
      <c r="C20" s="151" t="s">
        <v>2020</v>
      </c>
      <c r="D20" s="151">
        <f t="shared" si="0"/>
        <v>650000000000175</v>
      </c>
      <c r="E20" s="151" t="str">
        <f t="shared" si="1"/>
        <v/>
      </c>
      <c r="F20" s="151">
        <f>+IF(AND(C20*1&gt;=200,E20="GC-04314"),IF(D20=0,MAX(F$2:F19)+1,0),0)</f>
        <v>0</v>
      </c>
      <c r="H20" s="151" t="s">
        <v>3926</v>
      </c>
      <c r="I20" s="151" t="s">
        <v>391</v>
      </c>
      <c r="J20" s="151" t="s">
        <v>6967</v>
      </c>
      <c r="K20" s="151">
        <f t="shared" si="2"/>
        <v>650000000000014</v>
      </c>
      <c r="L20" s="151" t="s">
        <v>9021</v>
      </c>
    </row>
    <row r="21" spans="1:12" x14ac:dyDescent="0.25">
      <c r="A21" s="151" t="s">
        <v>2144</v>
      </c>
      <c r="B21" s="151" t="s">
        <v>2997</v>
      </c>
      <c r="C21" s="151" t="s">
        <v>3071</v>
      </c>
      <c r="D21" s="151">
        <f t="shared" si="0"/>
        <v>650000000000117</v>
      </c>
      <c r="E21" s="151" t="str">
        <f t="shared" si="1"/>
        <v/>
      </c>
      <c r="F21" s="151">
        <f>+IF(AND(C21*1&gt;=200,E21="GC-04314"),IF(D21=0,MAX(F$2:F20)+1,0),0)</f>
        <v>0</v>
      </c>
      <c r="H21" s="151" t="s">
        <v>5915</v>
      </c>
      <c r="I21" s="151" t="s">
        <v>6962</v>
      </c>
      <c r="J21" s="151" t="s">
        <v>6968</v>
      </c>
      <c r="K21" s="151">
        <f t="shared" si="2"/>
        <v>650000000000015</v>
      </c>
      <c r="L21" s="151" t="s">
        <v>9022</v>
      </c>
    </row>
    <row r="22" spans="1:12" x14ac:dyDescent="0.25">
      <c r="A22" s="151" t="s">
        <v>2145</v>
      </c>
      <c r="B22" s="151" t="s">
        <v>2997</v>
      </c>
      <c r="C22" s="151" t="s">
        <v>3072</v>
      </c>
      <c r="D22" s="151">
        <f t="shared" si="0"/>
        <v>650000000000129</v>
      </c>
      <c r="E22" s="151" t="str">
        <f t="shared" si="1"/>
        <v/>
      </c>
      <c r="F22" s="151">
        <f>+IF(AND(C22*1&gt;=200,E22="GC-04314"),IF(D22=0,MAX(F$2:F21)+1,0),0)</f>
        <v>0</v>
      </c>
      <c r="H22" s="151" t="s">
        <v>3927</v>
      </c>
      <c r="I22" s="151" t="s">
        <v>391</v>
      </c>
      <c r="J22" s="151" t="s">
        <v>6969</v>
      </c>
      <c r="K22" s="151">
        <f t="shared" si="2"/>
        <v>650000000000016</v>
      </c>
      <c r="L22" s="151" t="s">
        <v>9021</v>
      </c>
    </row>
    <row r="23" spans="1:12" x14ac:dyDescent="0.25">
      <c r="A23" s="151" t="s">
        <v>2146</v>
      </c>
      <c r="B23" s="151" t="s">
        <v>2997</v>
      </c>
      <c r="C23" s="151" t="s">
        <v>3073</v>
      </c>
      <c r="D23" s="151">
        <f t="shared" si="0"/>
        <v>650000000000144</v>
      </c>
      <c r="E23" s="151" t="str">
        <f t="shared" si="1"/>
        <v/>
      </c>
      <c r="F23" s="151">
        <f>+IF(AND(C23*1&gt;=200,E23="GC-04314"),IF(D23=0,MAX(F$2:F22)+1,0),0)</f>
        <v>0</v>
      </c>
      <c r="H23" s="151" t="s">
        <v>3928</v>
      </c>
      <c r="I23" s="151" t="s">
        <v>391</v>
      </c>
      <c r="J23" s="151" t="s">
        <v>6969</v>
      </c>
      <c r="K23" s="151">
        <f t="shared" si="2"/>
        <v>650000000000016</v>
      </c>
      <c r="L23" s="151" t="s">
        <v>9023</v>
      </c>
    </row>
    <row r="24" spans="1:12" x14ac:dyDescent="0.25">
      <c r="A24" s="151" t="s">
        <v>2147</v>
      </c>
      <c r="B24" s="151" t="s">
        <v>2997</v>
      </c>
      <c r="C24" s="151" t="s">
        <v>3074</v>
      </c>
      <c r="D24" s="151">
        <f t="shared" si="0"/>
        <v>0</v>
      </c>
      <c r="E24" s="151" t="str">
        <f t="shared" si="1"/>
        <v>GC-04311</v>
      </c>
      <c r="F24" s="151">
        <f>+IF(AND(C24*1&gt;=200,E24="GC-04314"),IF(D24=0,MAX(F$2:F23)+1,0),0)</f>
        <v>0</v>
      </c>
      <c r="H24" s="151" t="s">
        <v>3929</v>
      </c>
      <c r="I24" s="151" t="s">
        <v>6962</v>
      </c>
      <c r="J24" s="151" t="s">
        <v>6962</v>
      </c>
      <c r="K24" s="151">
        <f t="shared" si="2"/>
        <v>0</v>
      </c>
      <c r="L24" s="151" t="s">
        <v>9021</v>
      </c>
    </row>
    <row r="25" spans="1:12" x14ac:dyDescent="0.25">
      <c r="A25" s="151" t="s">
        <v>2148</v>
      </c>
      <c r="B25" s="151" t="s">
        <v>2997</v>
      </c>
      <c r="C25" s="151" t="s">
        <v>3075</v>
      </c>
      <c r="D25" s="151">
        <f t="shared" si="0"/>
        <v>650000000000125</v>
      </c>
      <c r="E25" s="151" t="str">
        <f t="shared" si="1"/>
        <v/>
      </c>
      <c r="F25" s="151">
        <f>+IF(AND(C25*1&gt;=200,E25="GC-04314"),IF(D25=0,MAX(F$2:F24)+1,0),0)</f>
        <v>0</v>
      </c>
      <c r="H25" s="151" t="s">
        <v>3929</v>
      </c>
      <c r="I25" s="151" t="s">
        <v>391</v>
      </c>
      <c r="J25" s="151" t="s">
        <v>6970</v>
      </c>
      <c r="K25" s="151">
        <f t="shared" si="2"/>
        <v>650000000000018</v>
      </c>
      <c r="L25" s="151" t="s">
        <v>9021</v>
      </c>
    </row>
    <row r="26" spans="1:12" x14ac:dyDescent="0.25">
      <c r="A26" s="151" t="s">
        <v>2149</v>
      </c>
      <c r="B26" s="151" t="s">
        <v>2997</v>
      </c>
      <c r="C26" s="151" t="s">
        <v>3076</v>
      </c>
      <c r="D26" s="151">
        <f t="shared" si="0"/>
        <v>650000000000130</v>
      </c>
      <c r="E26" s="151" t="str">
        <f t="shared" si="1"/>
        <v/>
      </c>
      <c r="F26" s="151">
        <f>+IF(AND(C26*1&gt;=200,E26="GC-04314"),IF(D26=0,MAX(F$2:F25)+1,0),0)</f>
        <v>0</v>
      </c>
      <c r="H26" s="151" t="s">
        <v>5916</v>
      </c>
      <c r="I26" s="151" t="s">
        <v>6962</v>
      </c>
      <c r="J26" s="151" t="s">
        <v>6962</v>
      </c>
      <c r="K26" s="151">
        <f t="shared" si="2"/>
        <v>0</v>
      </c>
      <c r="L26" s="151" t="s">
        <v>9020</v>
      </c>
    </row>
    <row r="27" spans="1:12" x14ac:dyDescent="0.25">
      <c r="A27" s="151" t="s">
        <v>2150</v>
      </c>
      <c r="B27" s="151" t="s">
        <v>2997</v>
      </c>
      <c r="C27" s="151" t="s">
        <v>3077</v>
      </c>
      <c r="D27" s="151">
        <f t="shared" si="0"/>
        <v>650000000000131</v>
      </c>
      <c r="E27" s="151" t="str">
        <f t="shared" si="1"/>
        <v/>
      </c>
      <c r="F27" s="151">
        <f>+IF(AND(C27*1&gt;=200,E27="GC-04314"),IF(D27=0,MAX(F$2:F26)+1,0),0)</f>
        <v>0</v>
      </c>
      <c r="H27" s="151" t="s">
        <v>3930</v>
      </c>
      <c r="I27" s="151" t="s">
        <v>391</v>
      </c>
      <c r="J27" s="151" t="s">
        <v>6971</v>
      </c>
      <c r="K27" s="151">
        <f t="shared" si="2"/>
        <v>650000000000017</v>
      </c>
      <c r="L27" s="151" t="s">
        <v>9021</v>
      </c>
    </row>
    <row r="28" spans="1:12" x14ac:dyDescent="0.25">
      <c r="A28" s="151" t="s">
        <v>2151</v>
      </c>
      <c r="B28" s="151" t="s">
        <v>2997</v>
      </c>
      <c r="C28" s="151" t="s">
        <v>3078</v>
      </c>
      <c r="D28" s="151">
        <f t="shared" si="0"/>
        <v>650000000000177</v>
      </c>
      <c r="E28" s="151" t="str">
        <f t="shared" si="1"/>
        <v/>
      </c>
      <c r="F28" s="151">
        <f>+IF(AND(C28*1&gt;=200,E28="GC-04314"),IF(D28=0,MAX(F$2:F27)+1,0),0)</f>
        <v>0</v>
      </c>
      <c r="H28" s="151" t="s">
        <v>3931</v>
      </c>
      <c r="I28" s="151" t="s">
        <v>391</v>
      </c>
      <c r="J28" s="151" t="s">
        <v>6972</v>
      </c>
      <c r="K28" s="151">
        <f t="shared" si="2"/>
        <v>650000000000080</v>
      </c>
      <c r="L28" s="151" t="s">
        <v>9023</v>
      </c>
    </row>
    <row r="29" spans="1:12" x14ac:dyDescent="0.25">
      <c r="A29" s="151" t="s">
        <v>2152</v>
      </c>
      <c r="B29" s="151" t="s">
        <v>2997</v>
      </c>
      <c r="C29" s="151" t="s">
        <v>3079</v>
      </c>
      <c r="D29" s="151">
        <f t="shared" si="0"/>
        <v>650000000000132</v>
      </c>
      <c r="E29" s="151" t="str">
        <f t="shared" si="1"/>
        <v/>
      </c>
      <c r="F29" s="151">
        <f>+IF(AND(C29*1&gt;=200,E29="GC-04314"),IF(D29=0,MAX(F$2:F28)+1,0),0)</f>
        <v>0</v>
      </c>
      <c r="H29" s="151" t="s">
        <v>5917</v>
      </c>
      <c r="I29" s="151" t="s">
        <v>6962</v>
      </c>
      <c r="J29" s="151" t="s">
        <v>6962</v>
      </c>
      <c r="K29" s="151">
        <f t="shared" si="2"/>
        <v>0</v>
      </c>
      <c r="L29" s="151" t="s">
        <v>9020</v>
      </c>
    </row>
    <row r="30" spans="1:12" x14ac:dyDescent="0.25">
      <c r="A30" s="151" t="s">
        <v>2153</v>
      </c>
      <c r="B30" s="151" t="s">
        <v>2997</v>
      </c>
      <c r="C30" s="151" t="s">
        <v>3080</v>
      </c>
      <c r="D30" s="151">
        <f t="shared" si="0"/>
        <v>650000000000189</v>
      </c>
      <c r="E30" s="151" t="str">
        <f t="shared" si="1"/>
        <v/>
      </c>
      <c r="F30" s="151">
        <f>+IF(AND(C30*1&gt;=200,E30="GC-04314"),IF(D30=0,MAX(F$2:F29)+1,0),0)</f>
        <v>0</v>
      </c>
      <c r="H30" s="151" t="s">
        <v>3932</v>
      </c>
      <c r="I30" s="151" t="s">
        <v>391</v>
      </c>
      <c r="J30" s="151" t="s">
        <v>6973</v>
      </c>
      <c r="K30" s="151">
        <f t="shared" si="2"/>
        <v>650000000000081</v>
      </c>
      <c r="L30" s="151" t="s">
        <v>9021</v>
      </c>
    </row>
    <row r="31" spans="1:12" x14ac:dyDescent="0.25">
      <c r="A31" s="151" t="s">
        <v>2154</v>
      </c>
      <c r="B31" s="151" t="s">
        <v>2997</v>
      </c>
      <c r="C31" s="151" t="s">
        <v>3081</v>
      </c>
      <c r="D31" s="151">
        <f t="shared" si="0"/>
        <v>650000000000172</v>
      </c>
      <c r="E31" s="151" t="str">
        <f t="shared" si="1"/>
        <v/>
      </c>
      <c r="F31" s="151">
        <f>+IF(AND(C31*1&gt;=200,E31="GC-04314"),IF(D31=0,MAX(F$2:F30)+1,0),0)</f>
        <v>0</v>
      </c>
      <c r="H31" s="151" t="s">
        <v>5918</v>
      </c>
      <c r="I31" s="151" t="s">
        <v>6962</v>
      </c>
      <c r="J31" s="151" t="s">
        <v>6962</v>
      </c>
      <c r="K31" s="151">
        <f t="shared" si="2"/>
        <v>0</v>
      </c>
      <c r="L31" s="151" t="s">
        <v>9021</v>
      </c>
    </row>
    <row r="32" spans="1:12" x14ac:dyDescent="0.25">
      <c r="A32" s="151" t="s">
        <v>2155</v>
      </c>
      <c r="B32" s="151" t="s">
        <v>2997</v>
      </c>
      <c r="C32" s="151" t="s">
        <v>3082</v>
      </c>
      <c r="D32" s="151">
        <f t="shared" si="0"/>
        <v>650000000000133</v>
      </c>
      <c r="E32" s="151" t="str">
        <f t="shared" si="1"/>
        <v/>
      </c>
      <c r="F32" s="151">
        <f>+IF(AND(C32*1&gt;=200,E32="GC-04314"),IF(D32=0,MAX(F$2:F31)+1,0),0)</f>
        <v>0</v>
      </c>
      <c r="H32" s="151" t="s">
        <v>3933</v>
      </c>
      <c r="I32" s="151" t="s">
        <v>391</v>
      </c>
      <c r="J32" s="151" t="s">
        <v>6974</v>
      </c>
      <c r="K32" s="151">
        <f t="shared" si="2"/>
        <v>650000000000083</v>
      </c>
      <c r="L32" s="151" t="s">
        <v>9021</v>
      </c>
    </row>
    <row r="33" spans="1:12" x14ac:dyDescent="0.25">
      <c r="A33" s="151" t="s">
        <v>2156</v>
      </c>
      <c r="B33" s="151" t="s">
        <v>2997</v>
      </c>
      <c r="C33" s="151" t="s">
        <v>3083</v>
      </c>
      <c r="D33" s="151">
        <f t="shared" si="0"/>
        <v>650000000000173</v>
      </c>
      <c r="E33" s="151" t="str">
        <f t="shared" si="1"/>
        <v/>
      </c>
      <c r="F33" s="151">
        <f>+IF(AND(C33*1&gt;=200,E33="GC-04314"),IF(D33=0,MAX(F$2:F32)+1,0),0)</f>
        <v>0</v>
      </c>
      <c r="H33" s="151" t="s">
        <v>5919</v>
      </c>
      <c r="I33" s="151" t="s">
        <v>6962</v>
      </c>
      <c r="J33" s="151" t="s">
        <v>6962</v>
      </c>
      <c r="K33" s="151">
        <f t="shared" si="2"/>
        <v>0</v>
      </c>
      <c r="L33" s="151" t="s">
        <v>9021</v>
      </c>
    </row>
    <row r="34" spans="1:12" x14ac:dyDescent="0.25">
      <c r="A34" s="151" t="s">
        <v>2157</v>
      </c>
      <c r="B34" s="151" t="s">
        <v>2997</v>
      </c>
      <c r="C34" s="151" t="s">
        <v>3084</v>
      </c>
      <c r="D34" s="151">
        <f t="shared" si="0"/>
        <v>650000000000134</v>
      </c>
      <c r="E34" s="151" t="str">
        <f t="shared" si="1"/>
        <v/>
      </c>
      <c r="F34" s="151">
        <f>+IF(AND(C34*1&gt;=200,E34="GC-04314"),IF(D34=0,MAX(F$2:F33)+1,0),0)</f>
        <v>0</v>
      </c>
      <c r="H34" s="151" t="s">
        <v>5919</v>
      </c>
      <c r="I34" s="151" t="s">
        <v>6962</v>
      </c>
      <c r="J34" s="151" t="s">
        <v>6975</v>
      </c>
      <c r="K34" s="151">
        <f t="shared" si="2"/>
        <v>650000000000082</v>
      </c>
      <c r="L34" s="151" t="s">
        <v>9021</v>
      </c>
    </row>
    <row r="35" spans="1:12" x14ac:dyDescent="0.25">
      <c r="A35" s="151" t="s">
        <v>2158</v>
      </c>
      <c r="B35" s="151" t="s">
        <v>2997</v>
      </c>
      <c r="C35" s="151" t="s">
        <v>3085</v>
      </c>
      <c r="D35" s="151">
        <f t="shared" si="0"/>
        <v>650000000000145</v>
      </c>
      <c r="E35" s="151" t="str">
        <f t="shared" si="1"/>
        <v/>
      </c>
      <c r="F35" s="151">
        <f>+IF(AND(C35*1&gt;=200,E35="GC-04314"),IF(D35=0,MAX(F$2:F34)+1,0),0)</f>
        <v>0</v>
      </c>
      <c r="H35" s="151" t="s">
        <v>3934</v>
      </c>
      <c r="I35" s="151" t="s">
        <v>6962</v>
      </c>
      <c r="J35" s="151" t="s">
        <v>6962</v>
      </c>
      <c r="K35" s="151">
        <f t="shared" si="2"/>
        <v>0</v>
      </c>
      <c r="L35" s="151" t="s">
        <v>9020</v>
      </c>
    </row>
    <row r="36" spans="1:12" x14ac:dyDescent="0.25">
      <c r="A36" s="151" t="s">
        <v>2159</v>
      </c>
      <c r="B36" s="151" t="s">
        <v>2997</v>
      </c>
      <c r="C36" s="151" t="s">
        <v>3086</v>
      </c>
      <c r="D36" s="151">
        <f t="shared" si="0"/>
        <v>650000000000146</v>
      </c>
      <c r="E36" s="151" t="str">
        <f t="shared" si="1"/>
        <v/>
      </c>
      <c r="F36" s="151">
        <f>+IF(AND(C36*1&gt;=200,E36="GC-04314"),IF(D36=0,MAX(F$2:F35)+1,0),0)</f>
        <v>0</v>
      </c>
      <c r="H36" s="151" t="s">
        <v>3934</v>
      </c>
      <c r="I36" s="151" t="s">
        <v>391</v>
      </c>
      <c r="J36" s="151" t="s">
        <v>6975</v>
      </c>
      <c r="K36" s="151">
        <f t="shared" si="2"/>
        <v>650000000000082</v>
      </c>
      <c r="L36" s="151" t="s">
        <v>9020</v>
      </c>
    </row>
    <row r="37" spans="1:12" x14ac:dyDescent="0.25">
      <c r="A37" s="151" t="s">
        <v>2160</v>
      </c>
      <c r="B37" s="151" t="s">
        <v>2997</v>
      </c>
      <c r="C37" s="151" t="s">
        <v>3087</v>
      </c>
      <c r="D37" s="151">
        <f t="shared" si="0"/>
        <v>650000000000137</v>
      </c>
      <c r="E37" s="151" t="str">
        <f t="shared" si="1"/>
        <v/>
      </c>
      <c r="F37" s="151">
        <f>+IF(AND(C37*1&gt;=200,E37="GC-04314"),IF(D37=0,MAX(F$2:F36)+1,0),0)</f>
        <v>0</v>
      </c>
      <c r="H37" s="151" t="s">
        <v>3934</v>
      </c>
      <c r="I37" s="151" t="s">
        <v>395</v>
      </c>
      <c r="J37" s="151" t="s">
        <v>6962</v>
      </c>
      <c r="K37" s="151">
        <f t="shared" si="2"/>
        <v>0</v>
      </c>
      <c r="L37" s="151" t="s">
        <v>9020</v>
      </c>
    </row>
    <row r="38" spans="1:12" x14ac:dyDescent="0.25">
      <c r="A38" s="151" t="s">
        <v>2161</v>
      </c>
      <c r="B38" s="151" t="s">
        <v>2997</v>
      </c>
      <c r="C38" s="151" t="s">
        <v>3088</v>
      </c>
      <c r="D38" s="151">
        <f t="shared" si="0"/>
        <v>650000000000148</v>
      </c>
      <c r="E38" s="151" t="str">
        <f t="shared" si="1"/>
        <v/>
      </c>
      <c r="F38" s="151">
        <f>+IF(AND(C38*1&gt;=200,E38="GC-04314"),IF(D38=0,MAX(F$2:F37)+1,0),0)</f>
        <v>0</v>
      </c>
      <c r="H38" s="151" t="s">
        <v>3934</v>
      </c>
      <c r="I38" s="151" t="s">
        <v>391</v>
      </c>
      <c r="J38" s="151" t="s">
        <v>6975</v>
      </c>
      <c r="K38" s="151">
        <f t="shared" si="2"/>
        <v>650000000000082</v>
      </c>
      <c r="L38" s="151" t="s">
        <v>9020</v>
      </c>
    </row>
    <row r="39" spans="1:12" x14ac:dyDescent="0.25">
      <c r="A39" s="151" t="s">
        <v>2162</v>
      </c>
      <c r="B39" s="151" t="s">
        <v>2997</v>
      </c>
      <c r="C39" s="151" t="s">
        <v>3089</v>
      </c>
      <c r="D39" s="151">
        <f t="shared" si="0"/>
        <v>650000000000147</v>
      </c>
      <c r="E39" s="151" t="str">
        <f t="shared" si="1"/>
        <v/>
      </c>
      <c r="F39" s="151">
        <f>+IF(AND(C39*1&gt;=200,E39="GC-04314"),IF(D39=0,MAX(F$2:F38)+1,0),0)</f>
        <v>0</v>
      </c>
      <c r="H39" s="151" t="s">
        <v>3935</v>
      </c>
      <c r="I39" s="151" t="s">
        <v>6962</v>
      </c>
      <c r="J39" s="151" t="s">
        <v>6962</v>
      </c>
      <c r="K39" s="151">
        <f t="shared" si="2"/>
        <v>0</v>
      </c>
      <c r="L39" s="151" t="s">
        <v>9020</v>
      </c>
    </row>
    <row r="40" spans="1:12" x14ac:dyDescent="0.25">
      <c r="A40" s="151" t="s">
        <v>2163</v>
      </c>
      <c r="B40" s="151" t="s">
        <v>2997</v>
      </c>
      <c r="C40" s="151" t="s">
        <v>3090</v>
      </c>
      <c r="D40" s="151">
        <f t="shared" si="0"/>
        <v>0</v>
      </c>
      <c r="E40" s="151" t="str">
        <f t="shared" si="1"/>
        <v>GC-04311</v>
      </c>
      <c r="F40" s="151">
        <f>+IF(AND(C40*1&gt;=200,E40="GC-04314"),IF(D40=0,MAX(F$2:F39)+1,0),0)</f>
        <v>0</v>
      </c>
      <c r="H40" s="151" t="s">
        <v>3935</v>
      </c>
      <c r="I40" s="151" t="s">
        <v>6976</v>
      </c>
      <c r="J40" s="151" t="s">
        <v>6975</v>
      </c>
      <c r="K40" s="151">
        <f t="shared" si="2"/>
        <v>650000000000082</v>
      </c>
      <c r="L40" s="151" t="s">
        <v>9020</v>
      </c>
    </row>
    <row r="41" spans="1:12" x14ac:dyDescent="0.25">
      <c r="A41" s="151" t="s">
        <v>2164</v>
      </c>
      <c r="B41" s="151" t="s">
        <v>2997</v>
      </c>
      <c r="C41" s="151" t="s">
        <v>3091</v>
      </c>
      <c r="D41" s="151">
        <f t="shared" si="0"/>
        <v>650000000000135</v>
      </c>
      <c r="E41" s="151" t="str">
        <f t="shared" si="1"/>
        <v/>
      </c>
      <c r="F41" s="151">
        <f>+IF(AND(C41*1&gt;=200,E41="GC-04314"),IF(D41=0,MAX(F$2:F40)+1,0),0)</f>
        <v>0</v>
      </c>
      <c r="H41" s="151" t="s">
        <v>3935</v>
      </c>
      <c r="I41" s="151" t="s">
        <v>6977</v>
      </c>
      <c r="J41" s="151" t="s">
        <v>6962</v>
      </c>
      <c r="K41" s="151">
        <f t="shared" si="2"/>
        <v>0</v>
      </c>
      <c r="L41" s="151" t="s">
        <v>9020</v>
      </c>
    </row>
    <row r="42" spans="1:12" x14ac:dyDescent="0.25">
      <c r="A42" s="151" t="s">
        <v>2165</v>
      </c>
      <c r="B42" s="151" t="s">
        <v>2997</v>
      </c>
      <c r="C42" s="151" t="s">
        <v>3092</v>
      </c>
      <c r="D42" s="151">
        <f t="shared" si="0"/>
        <v>650000000000138</v>
      </c>
      <c r="E42" s="151" t="str">
        <f t="shared" si="1"/>
        <v/>
      </c>
      <c r="F42" s="151">
        <f>+IF(AND(C42*1&gt;=200,E42="GC-04314"),IF(D42=0,MAX(F$2:F41)+1,0),0)</f>
        <v>0</v>
      </c>
      <c r="H42" s="151" t="s">
        <v>3935</v>
      </c>
      <c r="I42" s="151" t="s">
        <v>391</v>
      </c>
      <c r="J42" s="151" t="s">
        <v>6975</v>
      </c>
      <c r="K42" s="151">
        <f t="shared" si="2"/>
        <v>650000000000082</v>
      </c>
      <c r="L42" s="151" t="s">
        <v>9020</v>
      </c>
    </row>
    <row r="43" spans="1:12" x14ac:dyDescent="0.25">
      <c r="A43" s="151" t="s">
        <v>2166</v>
      </c>
      <c r="B43" s="151" t="s">
        <v>2997</v>
      </c>
      <c r="C43" s="151" t="s">
        <v>3093</v>
      </c>
      <c r="D43" s="151">
        <f t="shared" si="0"/>
        <v>650000000000139</v>
      </c>
      <c r="E43" s="151" t="str">
        <f t="shared" si="1"/>
        <v/>
      </c>
      <c r="F43" s="151">
        <f>+IF(AND(C43*1&gt;=200,E43="GC-04314"),IF(D43=0,MAX(F$2:F42)+1,0),0)</f>
        <v>0</v>
      </c>
      <c r="H43" s="151" t="s">
        <v>5920</v>
      </c>
      <c r="I43" s="151" t="s">
        <v>6962</v>
      </c>
      <c r="J43" s="151" t="s">
        <v>6978</v>
      </c>
      <c r="K43" s="151">
        <f t="shared" si="2"/>
        <v>650000000000108</v>
      </c>
      <c r="L43" s="151" t="s">
        <v>9021</v>
      </c>
    </row>
    <row r="44" spans="1:12" x14ac:dyDescent="0.25">
      <c r="A44" s="151" t="s">
        <v>2167</v>
      </c>
      <c r="B44" s="151" t="s">
        <v>2997</v>
      </c>
      <c r="C44" s="151" t="s">
        <v>3094</v>
      </c>
      <c r="D44" s="151">
        <f t="shared" si="0"/>
        <v>650000000000139</v>
      </c>
      <c r="E44" s="151" t="str">
        <f t="shared" si="1"/>
        <v/>
      </c>
      <c r="F44" s="151">
        <f>+IF(AND(C44*1&gt;=200,E44="GC-04314"),IF(D44=0,MAX(F$2:F43)+1,0),0)</f>
        <v>0</v>
      </c>
      <c r="H44" s="151" t="s">
        <v>5921</v>
      </c>
      <c r="I44" s="151" t="s">
        <v>6962</v>
      </c>
      <c r="J44" s="151" t="s">
        <v>6962</v>
      </c>
      <c r="K44" s="151">
        <f t="shared" si="2"/>
        <v>0</v>
      </c>
      <c r="L44" s="151" t="s">
        <v>9020</v>
      </c>
    </row>
    <row r="45" spans="1:12" x14ac:dyDescent="0.25">
      <c r="A45" s="151" t="s">
        <v>2168</v>
      </c>
      <c r="B45" s="151" t="s">
        <v>2997</v>
      </c>
      <c r="C45" s="151" t="s">
        <v>3095</v>
      </c>
      <c r="D45" s="151">
        <f t="shared" si="0"/>
        <v>650000000000141</v>
      </c>
      <c r="E45" s="151" t="str">
        <f t="shared" si="1"/>
        <v/>
      </c>
      <c r="F45" s="151">
        <f>+IF(AND(C45*1&gt;=200,E45="GC-04314"),IF(D45=0,MAX(F$2:F44)+1,0),0)</f>
        <v>0</v>
      </c>
      <c r="H45" s="151" t="s">
        <v>5922</v>
      </c>
      <c r="I45" s="151" t="s">
        <v>6962</v>
      </c>
      <c r="J45" s="151" t="s">
        <v>6962</v>
      </c>
      <c r="K45" s="151">
        <f t="shared" si="2"/>
        <v>0</v>
      </c>
      <c r="L45" s="151" t="s">
        <v>9021</v>
      </c>
    </row>
    <row r="46" spans="1:12" x14ac:dyDescent="0.25">
      <c r="A46" s="151" t="s">
        <v>2169</v>
      </c>
      <c r="B46" s="151" t="s">
        <v>2997</v>
      </c>
      <c r="C46" s="151" t="s">
        <v>3096</v>
      </c>
      <c r="D46" s="151">
        <f t="shared" si="0"/>
        <v>650000000000181</v>
      </c>
      <c r="E46" s="151" t="str">
        <f t="shared" si="1"/>
        <v/>
      </c>
      <c r="F46" s="151">
        <f>+IF(AND(C46*1&gt;=200,E46="GC-04314"),IF(D46=0,MAX(F$2:F45)+1,0),0)</f>
        <v>0</v>
      </c>
      <c r="H46" s="151" t="s">
        <v>5923</v>
      </c>
      <c r="I46" s="151" t="s">
        <v>6962</v>
      </c>
      <c r="J46" s="151" t="s">
        <v>6962</v>
      </c>
      <c r="K46" s="151">
        <f t="shared" si="2"/>
        <v>0</v>
      </c>
      <c r="L46" s="151" t="s">
        <v>9021</v>
      </c>
    </row>
    <row r="47" spans="1:12" x14ac:dyDescent="0.25">
      <c r="A47" s="151" t="s">
        <v>2170</v>
      </c>
      <c r="B47" s="151" t="s">
        <v>2997</v>
      </c>
      <c r="C47" s="151" t="s">
        <v>3097</v>
      </c>
      <c r="D47" s="151">
        <f t="shared" si="0"/>
        <v>650000000000142</v>
      </c>
      <c r="E47" s="151" t="str">
        <f t="shared" si="1"/>
        <v/>
      </c>
      <c r="F47" s="151">
        <f>+IF(AND(C47*1&gt;=200,E47="GC-04314"),IF(D47=0,MAX(F$2:F46)+1,0),0)</f>
        <v>0</v>
      </c>
      <c r="H47" s="151" t="s">
        <v>5924</v>
      </c>
      <c r="I47" s="151" t="s">
        <v>6962</v>
      </c>
      <c r="J47" s="151" t="s">
        <v>6962</v>
      </c>
      <c r="K47" s="151">
        <f t="shared" si="2"/>
        <v>0</v>
      </c>
      <c r="L47" s="151" t="s">
        <v>9022</v>
      </c>
    </row>
    <row r="48" spans="1:12" x14ac:dyDescent="0.25">
      <c r="A48" s="151" t="s">
        <v>2171</v>
      </c>
      <c r="B48" s="151" t="s">
        <v>2997</v>
      </c>
      <c r="C48" s="151" t="s">
        <v>3098</v>
      </c>
      <c r="D48" s="151">
        <f t="shared" si="0"/>
        <v>650000000000149</v>
      </c>
      <c r="E48" s="151" t="str">
        <f t="shared" si="1"/>
        <v/>
      </c>
      <c r="F48" s="151">
        <f>+IF(AND(C48*1&gt;=200,E48="GC-04314"),IF(D48=0,MAX(F$2:F47)+1,0),0)</f>
        <v>0</v>
      </c>
      <c r="H48" s="151" t="s">
        <v>5925</v>
      </c>
      <c r="I48" s="151" t="s">
        <v>6962</v>
      </c>
      <c r="J48" s="151" t="s">
        <v>6962</v>
      </c>
      <c r="K48" s="151">
        <f t="shared" si="2"/>
        <v>0</v>
      </c>
      <c r="L48" s="151" t="s">
        <v>9023</v>
      </c>
    </row>
    <row r="49" spans="1:12" x14ac:dyDescent="0.25">
      <c r="A49" s="151" t="s">
        <v>2172</v>
      </c>
      <c r="B49" s="151" t="s">
        <v>2997</v>
      </c>
      <c r="C49" s="151" t="s">
        <v>3099</v>
      </c>
      <c r="D49" s="151">
        <f t="shared" si="0"/>
        <v>650000000000184</v>
      </c>
      <c r="E49" s="151" t="str">
        <f t="shared" si="1"/>
        <v/>
      </c>
      <c r="F49" s="151">
        <f>+IF(AND(C49*1&gt;=200,E49="GC-04314"),IF(D49=0,MAX(F$2:F48)+1,0),0)</f>
        <v>0</v>
      </c>
      <c r="H49" s="151" t="s">
        <v>5926</v>
      </c>
      <c r="I49" s="151" t="s">
        <v>6962</v>
      </c>
      <c r="J49" s="151" t="s">
        <v>6962</v>
      </c>
      <c r="K49" s="151">
        <f t="shared" si="2"/>
        <v>0</v>
      </c>
      <c r="L49" s="151" t="s">
        <v>9020</v>
      </c>
    </row>
    <row r="50" spans="1:12" x14ac:dyDescent="0.25">
      <c r="A50" s="151" t="s">
        <v>2173</v>
      </c>
      <c r="B50" s="151" t="s">
        <v>2997</v>
      </c>
      <c r="C50" s="151" t="s">
        <v>3100</v>
      </c>
      <c r="D50" s="151">
        <f t="shared" si="0"/>
        <v>650000000000185</v>
      </c>
      <c r="E50" s="151" t="str">
        <f t="shared" si="1"/>
        <v/>
      </c>
      <c r="F50" s="151">
        <f>+IF(AND(C50*1&gt;=200,E50="GC-04314"),IF(D50=0,MAX(F$2:F49)+1,0),0)</f>
        <v>0</v>
      </c>
      <c r="H50" s="151" t="s">
        <v>5927</v>
      </c>
      <c r="I50" s="151" t="s">
        <v>6962</v>
      </c>
      <c r="J50" s="151" t="s">
        <v>6962</v>
      </c>
      <c r="K50" s="151">
        <f t="shared" si="2"/>
        <v>0</v>
      </c>
      <c r="L50" s="151" t="s">
        <v>9020</v>
      </c>
    </row>
    <row r="51" spans="1:12" x14ac:dyDescent="0.25">
      <c r="A51" s="151" t="s">
        <v>2174</v>
      </c>
      <c r="B51" s="151" t="s">
        <v>2997</v>
      </c>
      <c r="C51" s="151" t="s">
        <v>3101</v>
      </c>
      <c r="D51" s="151">
        <f t="shared" si="0"/>
        <v>650000000000186</v>
      </c>
      <c r="E51" s="151" t="str">
        <f t="shared" si="1"/>
        <v/>
      </c>
      <c r="F51" s="151">
        <f>+IF(AND(C51*1&gt;=200,E51="GC-04314"),IF(D51=0,MAX(F$2:F50)+1,0),0)</f>
        <v>0</v>
      </c>
      <c r="H51" s="151" t="s">
        <v>5928</v>
      </c>
      <c r="I51" s="151" t="s">
        <v>6962</v>
      </c>
      <c r="J51" s="151" t="s">
        <v>6962</v>
      </c>
      <c r="K51" s="151">
        <f t="shared" si="2"/>
        <v>0</v>
      </c>
      <c r="L51" s="151" t="s">
        <v>9020</v>
      </c>
    </row>
    <row r="52" spans="1:12" x14ac:dyDescent="0.25">
      <c r="A52" s="151" t="s">
        <v>2175</v>
      </c>
      <c r="B52" s="151" t="s">
        <v>2997</v>
      </c>
      <c r="C52" s="151" t="s">
        <v>3102</v>
      </c>
      <c r="D52" s="151">
        <f t="shared" si="0"/>
        <v>650000000000187</v>
      </c>
      <c r="E52" s="151" t="str">
        <f t="shared" si="1"/>
        <v/>
      </c>
      <c r="F52" s="151">
        <f>+IF(AND(C52*1&gt;=200,E52="GC-04314"),IF(D52=0,MAX(F$2:F51)+1,0),0)</f>
        <v>0</v>
      </c>
      <c r="H52" s="151" t="s">
        <v>5929</v>
      </c>
      <c r="I52" s="151" t="s">
        <v>6962</v>
      </c>
      <c r="J52" s="151" t="s">
        <v>6962</v>
      </c>
      <c r="K52" s="151">
        <f t="shared" si="2"/>
        <v>0</v>
      </c>
      <c r="L52" s="151" t="s">
        <v>9020</v>
      </c>
    </row>
    <row r="53" spans="1:12" x14ac:dyDescent="0.25">
      <c r="A53" s="151" t="s">
        <v>2176</v>
      </c>
      <c r="B53" s="151" t="s">
        <v>2997</v>
      </c>
      <c r="C53" s="151" t="s">
        <v>3103</v>
      </c>
      <c r="D53" s="151">
        <f t="shared" si="0"/>
        <v>650000000000188</v>
      </c>
      <c r="E53" s="151" t="str">
        <f t="shared" si="1"/>
        <v/>
      </c>
      <c r="F53" s="151">
        <f>+IF(AND(C53*1&gt;=200,E53="GC-04314"),IF(D53=0,MAX(F$2:F52)+1,0),0)</f>
        <v>0</v>
      </c>
      <c r="H53" s="151" t="s">
        <v>5930</v>
      </c>
      <c r="I53" s="151" t="s">
        <v>6962</v>
      </c>
      <c r="J53" s="151" t="s">
        <v>6962</v>
      </c>
      <c r="K53" s="151">
        <f t="shared" si="2"/>
        <v>0</v>
      </c>
      <c r="L53" s="151" t="s">
        <v>9020</v>
      </c>
    </row>
    <row r="54" spans="1:12" x14ac:dyDescent="0.25">
      <c r="A54" s="151" t="s">
        <v>2177</v>
      </c>
      <c r="B54" s="151" t="s">
        <v>2997</v>
      </c>
      <c r="C54" s="151" t="s">
        <v>3104</v>
      </c>
      <c r="D54" s="151">
        <f t="shared" si="0"/>
        <v>650000000000118</v>
      </c>
      <c r="E54" s="151" t="str">
        <f t="shared" si="1"/>
        <v/>
      </c>
      <c r="F54" s="151">
        <f>+IF(AND(C54*1&gt;=200,E54="GC-04314"),IF(D54=0,MAX(F$2:F53)+1,0),0)</f>
        <v>0</v>
      </c>
      <c r="H54" s="151" t="s">
        <v>5931</v>
      </c>
      <c r="I54" s="151" t="s">
        <v>6962</v>
      </c>
      <c r="J54" s="151" t="s">
        <v>6962</v>
      </c>
      <c r="K54" s="151">
        <f t="shared" si="2"/>
        <v>0</v>
      </c>
      <c r="L54" s="151" t="s">
        <v>9020</v>
      </c>
    </row>
    <row r="55" spans="1:12" x14ac:dyDescent="0.25">
      <c r="A55" s="151" t="s">
        <v>2178</v>
      </c>
      <c r="B55" s="151" t="s">
        <v>2997</v>
      </c>
      <c r="C55" s="151" t="s">
        <v>3105</v>
      </c>
      <c r="D55" s="151">
        <f t="shared" si="0"/>
        <v>650000000000190</v>
      </c>
      <c r="E55" s="151" t="str">
        <f t="shared" si="1"/>
        <v/>
      </c>
      <c r="F55" s="151">
        <f>+IF(AND(C55*1&gt;=200,E55="GC-04314"),IF(D55=0,MAX(F$2:F54)+1,0),0)</f>
        <v>0</v>
      </c>
      <c r="H55" s="151" t="s">
        <v>5932</v>
      </c>
      <c r="I55" s="151" t="s">
        <v>6962</v>
      </c>
      <c r="J55" s="151" t="s">
        <v>6962</v>
      </c>
      <c r="K55" s="151">
        <f t="shared" si="2"/>
        <v>0</v>
      </c>
      <c r="L55" s="151" t="s">
        <v>9020</v>
      </c>
    </row>
    <row r="56" spans="1:12" x14ac:dyDescent="0.25">
      <c r="A56" s="151" t="s">
        <v>2179</v>
      </c>
      <c r="B56" s="151" t="s">
        <v>2997</v>
      </c>
      <c r="C56" s="151" t="s">
        <v>3106</v>
      </c>
      <c r="D56" s="151">
        <f t="shared" si="0"/>
        <v>650000000000191</v>
      </c>
      <c r="E56" s="151" t="str">
        <f t="shared" si="1"/>
        <v/>
      </c>
      <c r="F56" s="151">
        <f>+IF(AND(C56*1&gt;=200,E56="GC-04314"),IF(D56=0,MAX(F$2:F55)+1,0),0)</f>
        <v>0</v>
      </c>
      <c r="H56" s="151" t="s">
        <v>5933</v>
      </c>
      <c r="I56" s="151" t="s">
        <v>6962</v>
      </c>
      <c r="J56" s="151" t="s">
        <v>6962</v>
      </c>
      <c r="K56" s="151">
        <f t="shared" si="2"/>
        <v>0</v>
      </c>
      <c r="L56" s="151" t="s">
        <v>9020</v>
      </c>
    </row>
    <row r="57" spans="1:12" x14ac:dyDescent="0.25">
      <c r="A57" s="151" t="s">
        <v>2180</v>
      </c>
      <c r="B57" s="151" t="s">
        <v>2997</v>
      </c>
      <c r="C57" s="151" t="s">
        <v>3107</v>
      </c>
      <c r="D57" s="151">
        <f t="shared" si="0"/>
        <v>650000000000192</v>
      </c>
      <c r="E57" s="151" t="str">
        <f t="shared" si="1"/>
        <v/>
      </c>
      <c r="F57" s="151">
        <f>+IF(AND(C57*1&gt;=200,E57="GC-04314"),IF(D57=0,MAX(F$2:F56)+1,0),0)</f>
        <v>0</v>
      </c>
      <c r="H57" s="151" t="s">
        <v>5934</v>
      </c>
      <c r="I57" s="151" t="s">
        <v>6962</v>
      </c>
      <c r="J57" s="151" t="s">
        <v>6962</v>
      </c>
      <c r="K57" s="151">
        <f t="shared" si="2"/>
        <v>0</v>
      </c>
      <c r="L57" s="151" t="s">
        <v>9020</v>
      </c>
    </row>
    <row r="58" spans="1:12" x14ac:dyDescent="0.25">
      <c r="A58" s="151" t="s">
        <v>2181</v>
      </c>
      <c r="B58" s="151" t="s">
        <v>2997</v>
      </c>
      <c r="C58" s="151" t="s">
        <v>3108</v>
      </c>
      <c r="D58" s="151">
        <f t="shared" si="0"/>
        <v>650000000002161</v>
      </c>
      <c r="E58" s="151" t="str">
        <f t="shared" si="1"/>
        <v/>
      </c>
      <c r="F58" s="151">
        <f>+IF(AND(C58*1&gt;=200,E58="GC-04314"),IF(D58=0,MAX(F$2:F57)+1,0),0)</f>
        <v>0</v>
      </c>
      <c r="H58" s="151" t="s">
        <v>5935</v>
      </c>
      <c r="I58" s="151" t="s">
        <v>6962</v>
      </c>
      <c r="J58" s="151" t="s">
        <v>6962</v>
      </c>
      <c r="K58" s="151">
        <f t="shared" si="2"/>
        <v>0</v>
      </c>
      <c r="L58" s="151" t="s">
        <v>9020</v>
      </c>
    </row>
    <row r="59" spans="1:12" x14ac:dyDescent="0.25">
      <c r="A59" s="151" t="s">
        <v>2182</v>
      </c>
      <c r="B59" s="151" t="s">
        <v>2997</v>
      </c>
      <c r="C59" s="151" t="s">
        <v>3109</v>
      </c>
      <c r="D59" s="151">
        <f t="shared" si="0"/>
        <v>650000000002162</v>
      </c>
      <c r="E59" s="151" t="str">
        <f t="shared" si="1"/>
        <v/>
      </c>
      <c r="F59" s="151">
        <f>+IF(AND(C59*1&gt;=200,E59="GC-04314"),IF(D59=0,MAX(F$2:F58)+1,0),0)</f>
        <v>0</v>
      </c>
      <c r="H59" s="151" t="s">
        <v>5936</v>
      </c>
      <c r="I59" s="151" t="s">
        <v>6962</v>
      </c>
      <c r="J59" s="151" t="s">
        <v>6962</v>
      </c>
      <c r="K59" s="151">
        <f t="shared" si="2"/>
        <v>0</v>
      </c>
      <c r="L59" s="151" t="s">
        <v>9020</v>
      </c>
    </row>
    <row r="60" spans="1:12" x14ac:dyDescent="0.25">
      <c r="A60" s="151" t="s">
        <v>2183</v>
      </c>
      <c r="B60" s="151" t="s">
        <v>2997</v>
      </c>
      <c r="C60" s="151" t="s">
        <v>3110</v>
      </c>
      <c r="D60" s="151">
        <f t="shared" si="0"/>
        <v>650000000002163</v>
      </c>
      <c r="E60" s="151" t="str">
        <f t="shared" si="1"/>
        <v/>
      </c>
      <c r="F60" s="151">
        <f>+IF(AND(C60*1&gt;=200,E60="GC-04314"),IF(D60=0,MAX(F$2:F59)+1,0),0)</f>
        <v>0</v>
      </c>
      <c r="H60" s="151" t="s">
        <v>5937</v>
      </c>
      <c r="I60" s="151" t="s">
        <v>6962</v>
      </c>
      <c r="J60" s="151" t="s">
        <v>6962</v>
      </c>
      <c r="K60" s="151">
        <f t="shared" si="2"/>
        <v>0</v>
      </c>
      <c r="L60" s="151" t="s">
        <v>9020</v>
      </c>
    </row>
    <row r="61" spans="1:12" x14ac:dyDescent="0.25">
      <c r="A61" s="151" t="s">
        <v>2184</v>
      </c>
      <c r="B61" s="151" t="s">
        <v>2997</v>
      </c>
      <c r="C61" s="151" t="s">
        <v>3111</v>
      </c>
      <c r="D61" s="151">
        <f t="shared" si="0"/>
        <v>0</v>
      </c>
      <c r="E61" s="151" t="str">
        <f t="shared" si="1"/>
        <v>GC-04311</v>
      </c>
      <c r="F61" s="151">
        <f>+IF(AND(C61*1&gt;=200,E61="GC-04314"),IF(D61=0,MAX(F$2:F60)+1,0),0)</f>
        <v>0</v>
      </c>
      <c r="H61" s="151" t="s">
        <v>5938</v>
      </c>
      <c r="I61" s="151" t="s">
        <v>6962</v>
      </c>
      <c r="J61" s="151" t="s">
        <v>6962</v>
      </c>
      <c r="K61" s="151">
        <f t="shared" si="2"/>
        <v>0</v>
      </c>
      <c r="L61" s="151" t="s">
        <v>9020</v>
      </c>
    </row>
    <row r="62" spans="1:12" x14ac:dyDescent="0.25">
      <c r="A62" s="151" t="s">
        <v>2185</v>
      </c>
      <c r="B62" s="151" t="s">
        <v>2997</v>
      </c>
      <c r="C62" s="151" t="s">
        <v>3112</v>
      </c>
      <c r="D62" s="151">
        <f t="shared" si="0"/>
        <v>0</v>
      </c>
      <c r="E62" s="151" t="str">
        <f t="shared" si="1"/>
        <v>GC-04311</v>
      </c>
      <c r="F62" s="151">
        <f>+IF(AND(C62*1&gt;=200,E62="GC-04314"),IF(D62=0,MAX(F$2:F61)+1,0),0)</f>
        <v>0</v>
      </c>
      <c r="H62" s="151" t="s">
        <v>5939</v>
      </c>
      <c r="I62" s="151" t="s">
        <v>6962</v>
      </c>
      <c r="J62" s="151" t="s">
        <v>6962</v>
      </c>
      <c r="K62" s="151">
        <f t="shared" si="2"/>
        <v>0</v>
      </c>
      <c r="L62" s="151" t="s">
        <v>9020</v>
      </c>
    </row>
    <row r="63" spans="1:12" x14ac:dyDescent="0.25">
      <c r="A63" s="151" t="s">
        <v>2186</v>
      </c>
      <c r="B63" s="151" t="s">
        <v>2997</v>
      </c>
      <c r="C63" s="151" t="s">
        <v>3113</v>
      </c>
      <c r="D63" s="151">
        <f t="shared" si="0"/>
        <v>0</v>
      </c>
      <c r="E63" s="151" t="str">
        <f t="shared" si="1"/>
        <v>GC-04311</v>
      </c>
      <c r="F63" s="151">
        <f>+IF(AND(C63*1&gt;=200,E63="GC-04314"),IF(D63=0,MAX(F$2:F62)+1,0),0)</f>
        <v>0</v>
      </c>
      <c r="H63" s="151" t="s">
        <v>5940</v>
      </c>
      <c r="I63" s="151" t="s">
        <v>6962</v>
      </c>
      <c r="J63" s="151" t="s">
        <v>6962</v>
      </c>
      <c r="K63" s="151">
        <f t="shared" si="2"/>
        <v>0</v>
      </c>
      <c r="L63" s="151" t="s">
        <v>9020</v>
      </c>
    </row>
    <row r="64" spans="1:12" x14ac:dyDescent="0.25">
      <c r="A64" s="151" t="s">
        <v>2187</v>
      </c>
      <c r="B64" s="151" t="s">
        <v>2997</v>
      </c>
      <c r="C64" s="151" t="s">
        <v>3114</v>
      </c>
      <c r="D64" s="151">
        <f t="shared" si="0"/>
        <v>0</v>
      </c>
      <c r="E64" s="151" t="str">
        <f t="shared" si="1"/>
        <v>GC-04311</v>
      </c>
      <c r="F64" s="151">
        <f>+IF(AND(C64*1&gt;=200,E64="GC-04314"),IF(D64=0,MAX(F$2:F63)+1,0),0)</f>
        <v>0</v>
      </c>
      <c r="H64" s="151" t="s">
        <v>5941</v>
      </c>
      <c r="I64" s="151" t="s">
        <v>6962</v>
      </c>
      <c r="J64" s="151" t="s">
        <v>6962</v>
      </c>
      <c r="K64" s="151">
        <f t="shared" si="2"/>
        <v>0</v>
      </c>
      <c r="L64" s="151" t="s">
        <v>9020</v>
      </c>
    </row>
    <row r="65" spans="1:12" x14ac:dyDescent="0.25">
      <c r="A65" s="151" t="s">
        <v>2188</v>
      </c>
      <c r="B65" s="151" t="s">
        <v>2997</v>
      </c>
      <c r="C65" s="151" t="s">
        <v>3115</v>
      </c>
      <c r="D65" s="151">
        <f t="shared" si="0"/>
        <v>0</v>
      </c>
      <c r="E65" s="151" t="str">
        <f t="shared" si="1"/>
        <v>GC-04311</v>
      </c>
      <c r="F65" s="151">
        <f>+IF(AND(C65*1&gt;=200,E65="GC-04314"),IF(D65=0,MAX(F$2:F64)+1,0),0)</f>
        <v>0</v>
      </c>
      <c r="H65" s="151" t="s">
        <v>5942</v>
      </c>
      <c r="I65" s="151" t="s">
        <v>6962</v>
      </c>
      <c r="J65" s="151" t="s">
        <v>6962</v>
      </c>
      <c r="K65" s="151">
        <f t="shared" si="2"/>
        <v>0</v>
      </c>
      <c r="L65" s="151" t="s">
        <v>9020</v>
      </c>
    </row>
    <row r="66" spans="1:12" x14ac:dyDescent="0.25">
      <c r="A66" s="151" t="s">
        <v>2189</v>
      </c>
      <c r="B66" s="151" t="s">
        <v>2997</v>
      </c>
      <c r="C66" s="151" t="s">
        <v>3116</v>
      </c>
      <c r="D66" s="151">
        <f t="shared" ref="D66:D129" si="3">+SUMIFS(K:K,H:H,A66)</f>
        <v>0</v>
      </c>
      <c r="E66" s="151" t="str">
        <f t="shared" ref="E66:E129" si="4">+IF(D66=0,VLOOKUP(A66,$H:$L,5,FALSE),"")</f>
        <v>GC-04311</v>
      </c>
      <c r="F66" s="151">
        <f>+IF(AND(C66*1&gt;=200,E66="GC-04314"),IF(D66=0,MAX(F$2:F65)+1,0),0)</f>
        <v>0</v>
      </c>
      <c r="H66" s="151" t="s">
        <v>5943</v>
      </c>
      <c r="I66" s="151" t="s">
        <v>6962</v>
      </c>
      <c r="J66" s="151" t="s">
        <v>6962</v>
      </c>
      <c r="K66" s="151">
        <f t="shared" si="2"/>
        <v>0</v>
      </c>
      <c r="L66" s="151" t="s">
        <v>9020</v>
      </c>
    </row>
    <row r="67" spans="1:12" x14ac:dyDescent="0.25">
      <c r="A67" s="151" t="s">
        <v>2190</v>
      </c>
      <c r="B67" s="151" t="s">
        <v>2997</v>
      </c>
      <c r="C67" s="151" t="s">
        <v>3117</v>
      </c>
      <c r="D67" s="151">
        <f t="shared" si="3"/>
        <v>0</v>
      </c>
      <c r="E67" s="151" t="str">
        <f t="shared" si="4"/>
        <v>GC-04311</v>
      </c>
      <c r="F67" s="151">
        <f>+IF(AND(C67*1&gt;=200,E67="GC-04314"),IF(D67=0,MAX(F$2:F66)+1,0),0)</f>
        <v>0</v>
      </c>
      <c r="H67" s="151" t="s">
        <v>5944</v>
      </c>
      <c r="I67" s="151" t="s">
        <v>6962</v>
      </c>
      <c r="J67" s="151" t="s">
        <v>6962</v>
      </c>
      <c r="K67" s="151">
        <f t="shared" ref="K67:K130" si="5">+IFERROR(J67*1,0)</f>
        <v>0</v>
      </c>
      <c r="L67" s="151" t="s">
        <v>9020</v>
      </c>
    </row>
    <row r="68" spans="1:12" x14ac:dyDescent="0.25">
      <c r="A68" s="151" t="s">
        <v>2191</v>
      </c>
      <c r="B68" s="151" t="s">
        <v>2997</v>
      </c>
      <c r="C68" s="151" t="s">
        <v>3118</v>
      </c>
      <c r="D68" s="151">
        <f t="shared" si="3"/>
        <v>0</v>
      </c>
      <c r="E68" s="151" t="str">
        <f t="shared" si="4"/>
        <v>GC-04311</v>
      </c>
      <c r="F68" s="151">
        <f>+IF(AND(C68*1&gt;=200,E68="GC-04314"),IF(D68=0,MAX(F$2:F67)+1,0),0)</f>
        <v>0</v>
      </c>
      <c r="H68" s="151" t="s">
        <v>5945</v>
      </c>
      <c r="I68" s="151" t="s">
        <v>6962</v>
      </c>
      <c r="J68" s="151" t="s">
        <v>6962</v>
      </c>
      <c r="K68" s="151">
        <f t="shared" si="5"/>
        <v>0</v>
      </c>
      <c r="L68" s="151" t="s">
        <v>9020</v>
      </c>
    </row>
    <row r="69" spans="1:12" x14ac:dyDescent="0.25">
      <c r="A69" s="151" t="s">
        <v>2192</v>
      </c>
      <c r="B69" s="151" t="s">
        <v>2997</v>
      </c>
      <c r="C69" s="151" t="s">
        <v>3119</v>
      </c>
      <c r="D69" s="151">
        <f t="shared" si="3"/>
        <v>0</v>
      </c>
      <c r="E69" s="151" t="str">
        <f t="shared" si="4"/>
        <v>GC-04311</v>
      </c>
      <c r="F69" s="151">
        <f>+IF(AND(C69*1&gt;=200,E69="GC-04314"),IF(D69=0,MAX(F$2:F68)+1,0),0)</f>
        <v>0</v>
      </c>
      <c r="H69" s="151" t="s">
        <v>5946</v>
      </c>
      <c r="I69" s="151" t="s">
        <v>6962</v>
      </c>
      <c r="J69" s="151" t="s">
        <v>6962</v>
      </c>
      <c r="K69" s="151">
        <f t="shared" si="5"/>
        <v>0</v>
      </c>
      <c r="L69" s="151" t="s">
        <v>9020</v>
      </c>
    </row>
    <row r="70" spans="1:12" x14ac:dyDescent="0.25">
      <c r="A70" s="151" t="s">
        <v>2193</v>
      </c>
      <c r="B70" s="151" t="s">
        <v>2997</v>
      </c>
      <c r="C70" s="151" t="s">
        <v>3120</v>
      </c>
      <c r="D70" s="151">
        <f t="shared" si="3"/>
        <v>0</v>
      </c>
      <c r="E70" s="151" t="str">
        <f t="shared" si="4"/>
        <v>GC-04311</v>
      </c>
      <c r="F70" s="151">
        <f>+IF(AND(C70*1&gt;=200,E70="GC-04314"),IF(D70=0,MAX(F$2:F69)+1,0),0)</f>
        <v>0</v>
      </c>
      <c r="H70" s="151" t="s">
        <v>5947</v>
      </c>
      <c r="I70" s="151" t="s">
        <v>6962</v>
      </c>
      <c r="J70" s="151" t="s">
        <v>6962</v>
      </c>
      <c r="K70" s="151">
        <f t="shared" si="5"/>
        <v>0</v>
      </c>
      <c r="L70" s="151" t="s">
        <v>9020</v>
      </c>
    </row>
    <row r="71" spans="1:12" x14ac:dyDescent="0.25">
      <c r="A71" s="151" t="s">
        <v>2194</v>
      </c>
      <c r="B71" s="151" t="s">
        <v>2997</v>
      </c>
      <c r="C71" s="151" t="s">
        <v>3121</v>
      </c>
      <c r="D71" s="151">
        <f t="shared" si="3"/>
        <v>650000000002164</v>
      </c>
      <c r="E71" s="151" t="str">
        <f t="shared" si="4"/>
        <v/>
      </c>
      <c r="F71" s="151">
        <f>+IF(AND(C71*1&gt;=200,E71="GC-04314"),IF(D71=0,MAX(F$2:F70)+1,0),0)</f>
        <v>0</v>
      </c>
      <c r="H71" s="151" t="s">
        <v>5948</v>
      </c>
      <c r="I71" s="151" t="s">
        <v>6962</v>
      </c>
      <c r="J71" s="151" t="s">
        <v>6962</v>
      </c>
      <c r="K71" s="151">
        <f t="shared" si="5"/>
        <v>0</v>
      </c>
      <c r="L71" s="151" t="s">
        <v>9020</v>
      </c>
    </row>
    <row r="72" spans="1:12" x14ac:dyDescent="0.25">
      <c r="A72" s="151" t="s">
        <v>2195</v>
      </c>
      <c r="B72" s="151" t="s">
        <v>2997</v>
      </c>
      <c r="C72" s="151" t="s">
        <v>3122</v>
      </c>
      <c r="D72" s="151">
        <f t="shared" si="3"/>
        <v>650000000002167</v>
      </c>
      <c r="E72" s="151" t="str">
        <f t="shared" si="4"/>
        <v/>
      </c>
      <c r="F72" s="151">
        <f>+IF(AND(C72*1&gt;=200,E72="GC-04314"),IF(D72=0,MAX(F$2:F71)+1,0),0)</f>
        <v>0</v>
      </c>
      <c r="H72" s="151" t="s">
        <v>5949</v>
      </c>
      <c r="I72" s="151" t="s">
        <v>6962</v>
      </c>
      <c r="J72" s="151" t="s">
        <v>6962</v>
      </c>
      <c r="K72" s="151">
        <f t="shared" si="5"/>
        <v>0</v>
      </c>
      <c r="L72" s="151" t="s">
        <v>9020</v>
      </c>
    </row>
    <row r="73" spans="1:12" x14ac:dyDescent="0.25">
      <c r="A73" s="151" t="s">
        <v>2196</v>
      </c>
      <c r="B73" s="151" t="s">
        <v>2997</v>
      </c>
      <c r="C73" s="151" t="s">
        <v>3123</v>
      </c>
      <c r="D73" s="151">
        <f t="shared" si="3"/>
        <v>0</v>
      </c>
      <c r="E73" s="151" t="str">
        <f t="shared" si="4"/>
        <v>GC-04314</v>
      </c>
      <c r="F73" s="151">
        <f>+IF(AND(C73*1&gt;=200,E73="GC-04314"),IF(D73=0,MAX(F$2:F72)+1,0),0)</f>
        <v>1</v>
      </c>
      <c r="H73" s="151" t="s">
        <v>5950</v>
      </c>
      <c r="I73" s="151" t="s">
        <v>6962</v>
      </c>
      <c r="J73" s="151" t="s">
        <v>6962</v>
      </c>
      <c r="K73" s="151">
        <f t="shared" si="5"/>
        <v>0</v>
      </c>
      <c r="L73" s="151" t="s">
        <v>9020</v>
      </c>
    </row>
    <row r="74" spans="1:12" x14ac:dyDescent="0.25">
      <c r="A74" s="151" t="s">
        <v>2197</v>
      </c>
      <c r="B74" s="151" t="s">
        <v>2997</v>
      </c>
      <c r="C74" s="151" t="s">
        <v>3124</v>
      </c>
      <c r="D74" s="151">
        <f t="shared" si="3"/>
        <v>650000000002166</v>
      </c>
      <c r="E74" s="151" t="str">
        <f t="shared" si="4"/>
        <v/>
      </c>
      <c r="F74" s="151">
        <f>+IF(AND(C74*1&gt;=200,E74="GC-04314"),IF(D74=0,MAX(F$2:F73)+1,0),0)</f>
        <v>0</v>
      </c>
      <c r="H74" s="151" t="s">
        <v>5951</v>
      </c>
      <c r="I74" s="151" t="s">
        <v>6962</v>
      </c>
      <c r="J74" s="151" t="s">
        <v>6962</v>
      </c>
      <c r="K74" s="151">
        <f t="shared" si="5"/>
        <v>0</v>
      </c>
      <c r="L74" s="151" t="s">
        <v>9020</v>
      </c>
    </row>
    <row r="75" spans="1:12" x14ac:dyDescent="0.25">
      <c r="A75" s="151" t="s">
        <v>2198</v>
      </c>
      <c r="B75" s="151" t="s">
        <v>2997</v>
      </c>
      <c r="C75" s="151" t="s">
        <v>3125</v>
      </c>
      <c r="D75" s="151">
        <f t="shared" si="3"/>
        <v>650000000002172</v>
      </c>
      <c r="E75" s="151" t="str">
        <f t="shared" si="4"/>
        <v/>
      </c>
      <c r="F75" s="151">
        <f>+IF(AND(C75*1&gt;=200,E75="GC-04314"),IF(D75=0,MAX(F$2:F74)+1,0),0)</f>
        <v>0</v>
      </c>
      <c r="H75" s="151" t="s">
        <v>5952</v>
      </c>
      <c r="I75" s="151" t="s">
        <v>6962</v>
      </c>
      <c r="J75" s="151" t="s">
        <v>6962</v>
      </c>
      <c r="K75" s="151">
        <f t="shared" si="5"/>
        <v>0</v>
      </c>
      <c r="L75" s="151" t="s">
        <v>9020</v>
      </c>
    </row>
    <row r="76" spans="1:12" x14ac:dyDescent="0.25">
      <c r="A76" s="151" t="s">
        <v>2199</v>
      </c>
      <c r="B76" s="151" t="s">
        <v>2997</v>
      </c>
      <c r="C76" s="151" t="s">
        <v>3126</v>
      </c>
      <c r="D76" s="151">
        <f t="shared" si="3"/>
        <v>650000000002177</v>
      </c>
      <c r="E76" s="151" t="str">
        <f t="shared" si="4"/>
        <v/>
      </c>
      <c r="F76" s="151">
        <f>+IF(AND(C76*1&gt;=200,E76="GC-04314"),IF(D76=0,MAX(F$2:F75)+1,0),0)</f>
        <v>0</v>
      </c>
      <c r="H76" s="151" t="s">
        <v>5953</v>
      </c>
      <c r="I76" s="151" t="s">
        <v>6962</v>
      </c>
      <c r="J76" s="151" t="s">
        <v>6962</v>
      </c>
      <c r="K76" s="151">
        <f t="shared" si="5"/>
        <v>0</v>
      </c>
      <c r="L76" s="151" t="s">
        <v>9020</v>
      </c>
    </row>
    <row r="77" spans="1:12" x14ac:dyDescent="0.25">
      <c r="A77" s="151" t="s">
        <v>2200</v>
      </c>
      <c r="B77" s="151" t="s">
        <v>2997</v>
      </c>
      <c r="C77" s="151" t="s">
        <v>3127</v>
      </c>
      <c r="D77" s="151">
        <f t="shared" si="3"/>
        <v>650000000002177</v>
      </c>
      <c r="E77" s="151" t="str">
        <f t="shared" si="4"/>
        <v/>
      </c>
      <c r="F77" s="151">
        <f>+IF(AND(C77*1&gt;=200,E77="GC-04314"),IF(D77=0,MAX(F$2:F76)+1,0),0)</f>
        <v>0</v>
      </c>
      <c r="H77" s="151" t="s">
        <v>5954</v>
      </c>
      <c r="I77" s="151" t="s">
        <v>6962</v>
      </c>
      <c r="J77" s="151" t="s">
        <v>6962</v>
      </c>
      <c r="K77" s="151">
        <f t="shared" si="5"/>
        <v>0</v>
      </c>
      <c r="L77" s="151" t="s">
        <v>9020</v>
      </c>
    </row>
    <row r="78" spans="1:12" x14ac:dyDescent="0.25">
      <c r="A78" s="151" t="s">
        <v>2201</v>
      </c>
      <c r="B78" s="151" t="s">
        <v>2997</v>
      </c>
      <c r="C78" s="151" t="s">
        <v>3128</v>
      </c>
      <c r="D78" s="151">
        <f t="shared" si="3"/>
        <v>650000000002179</v>
      </c>
      <c r="E78" s="151" t="str">
        <f t="shared" si="4"/>
        <v/>
      </c>
      <c r="F78" s="151">
        <f>+IF(AND(C78*1&gt;=200,E78="GC-04314"),IF(D78=0,MAX(F$2:F77)+1,0),0)</f>
        <v>0</v>
      </c>
      <c r="H78" s="151" t="s">
        <v>5955</v>
      </c>
      <c r="I78" s="151" t="s">
        <v>6962</v>
      </c>
      <c r="J78" s="151" t="s">
        <v>6962</v>
      </c>
      <c r="K78" s="151">
        <f t="shared" si="5"/>
        <v>0</v>
      </c>
      <c r="L78" s="151" t="s">
        <v>9020</v>
      </c>
    </row>
    <row r="79" spans="1:12" x14ac:dyDescent="0.25">
      <c r="A79" s="151" t="s">
        <v>2202</v>
      </c>
      <c r="B79" s="151" t="s">
        <v>2997</v>
      </c>
      <c r="C79" s="151" t="s">
        <v>3129</v>
      </c>
      <c r="D79" s="151">
        <f t="shared" si="3"/>
        <v>650000000002169</v>
      </c>
      <c r="E79" s="151" t="str">
        <f t="shared" si="4"/>
        <v/>
      </c>
      <c r="F79" s="151">
        <f>+IF(AND(C79*1&gt;=200,E79="GC-04314"),IF(D79=0,MAX(F$2:F78)+1,0),0)</f>
        <v>0</v>
      </c>
      <c r="H79" s="151" t="s">
        <v>5956</v>
      </c>
      <c r="I79" s="151" t="s">
        <v>6962</v>
      </c>
      <c r="J79" s="151" t="s">
        <v>6962</v>
      </c>
      <c r="K79" s="151">
        <f t="shared" si="5"/>
        <v>0</v>
      </c>
      <c r="L79" s="151" t="s">
        <v>9020</v>
      </c>
    </row>
    <row r="80" spans="1:12" x14ac:dyDescent="0.25">
      <c r="A80" s="151" t="s">
        <v>2203</v>
      </c>
      <c r="B80" s="151" t="s">
        <v>2997</v>
      </c>
      <c r="C80" s="151" t="s">
        <v>3130</v>
      </c>
      <c r="D80" s="151">
        <f t="shared" si="3"/>
        <v>650000000002180</v>
      </c>
      <c r="E80" s="151" t="str">
        <f t="shared" si="4"/>
        <v/>
      </c>
      <c r="F80" s="151">
        <f>+IF(AND(C80*1&gt;=200,E80="GC-04314"),IF(D80=0,MAX(F$2:F79)+1,0),0)</f>
        <v>0</v>
      </c>
      <c r="H80" s="151" t="s">
        <v>5957</v>
      </c>
      <c r="I80" s="151" t="s">
        <v>6962</v>
      </c>
      <c r="J80" s="151" t="s">
        <v>6962</v>
      </c>
      <c r="K80" s="151">
        <f t="shared" si="5"/>
        <v>0</v>
      </c>
      <c r="L80" s="151" t="s">
        <v>9020</v>
      </c>
    </row>
    <row r="81" spans="1:12" x14ac:dyDescent="0.25">
      <c r="A81" s="151" t="s">
        <v>2204</v>
      </c>
      <c r="B81" s="151" t="s">
        <v>2997</v>
      </c>
      <c r="C81" s="151" t="s">
        <v>3131</v>
      </c>
      <c r="D81" s="151">
        <f t="shared" si="3"/>
        <v>650000000002170</v>
      </c>
      <c r="E81" s="151" t="str">
        <f t="shared" si="4"/>
        <v/>
      </c>
      <c r="F81" s="151">
        <f>+IF(AND(C81*1&gt;=200,E81="GC-04314"),IF(D81=0,MAX(F$2:F80)+1,0),0)</f>
        <v>0</v>
      </c>
      <c r="H81" s="151" t="s">
        <v>5958</v>
      </c>
      <c r="I81" s="151" t="s">
        <v>6962</v>
      </c>
      <c r="J81" s="151" t="s">
        <v>6962</v>
      </c>
      <c r="K81" s="151">
        <f t="shared" si="5"/>
        <v>0</v>
      </c>
      <c r="L81" s="151" t="s">
        <v>9020</v>
      </c>
    </row>
    <row r="82" spans="1:12" x14ac:dyDescent="0.25">
      <c r="A82" s="151" t="s">
        <v>2205</v>
      </c>
      <c r="B82" s="151" t="s">
        <v>2997</v>
      </c>
      <c r="C82" s="151" t="s">
        <v>3132</v>
      </c>
      <c r="D82" s="151">
        <f t="shared" si="3"/>
        <v>0</v>
      </c>
      <c r="E82" s="151" t="str">
        <f t="shared" si="4"/>
        <v>GC-04314</v>
      </c>
      <c r="F82" s="151">
        <f>+IF(AND(C82*1&gt;=200,E82="GC-04314"),IF(D82=0,MAX(F$2:F81)+1,0),0)</f>
        <v>2</v>
      </c>
      <c r="H82" s="151" t="s">
        <v>5959</v>
      </c>
      <c r="I82" s="151" t="s">
        <v>6962</v>
      </c>
      <c r="J82" s="151" t="s">
        <v>6962</v>
      </c>
      <c r="K82" s="151">
        <f t="shared" si="5"/>
        <v>0</v>
      </c>
      <c r="L82" s="151" t="s">
        <v>9020</v>
      </c>
    </row>
    <row r="83" spans="1:12" x14ac:dyDescent="0.25">
      <c r="A83" s="151" t="s">
        <v>2206</v>
      </c>
      <c r="B83" s="151" t="s">
        <v>2997</v>
      </c>
      <c r="C83" s="151" t="s">
        <v>3133</v>
      </c>
      <c r="D83" s="151">
        <f t="shared" si="3"/>
        <v>650000000002183</v>
      </c>
      <c r="E83" s="151" t="str">
        <f t="shared" si="4"/>
        <v/>
      </c>
      <c r="F83" s="151">
        <f>+IF(AND(C83*1&gt;=200,E83="GC-04314"),IF(D83=0,MAX(F$2:F82)+1,0),0)</f>
        <v>0</v>
      </c>
      <c r="H83" s="151" t="s">
        <v>5960</v>
      </c>
      <c r="I83" s="151" t="s">
        <v>6962</v>
      </c>
      <c r="J83" s="151" t="s">
        <v>6962</v>
      </c>
      <c r="K83" s="151">
        <f t="shared" si="5"/>
        <v>0</v>
      </c>
      <c r="L83" s="151" t="s">
        <v>9020</v>
      </c>
    </row>
    <row r="84" spans="1:12" x14ac:dyDescent="0.25">
      <c r="A84" s="151" t="s">
        <v>2207</v>
      </c>
      <c r="B84" s="151" t="s">
        <v>2997</v>
      </c>
      <c r="C84" s="151" t="s">
        <v>3134</v>
      </c>
      <c r="D84" s="151">
        <f t="shared" si="3"/>
        <v>650000000002183</v>
      </c>
      <c r="E84" s="151" t="str">
        <f t="shared" si="4"/>
        <v/>
      </c>
      <c r="F84" s="151">
        <f>+IF(AND(C84*1&gt;=200,E84="GC-04314"),IF(D84=0,MAX(F$2:F83)+1,0),0)</f>
        <v>0</v>
      </c>
      <c r="H84" s="151" t="s">
        <v>5961</v>
      </c>
      <c r="I84" s="151" t="s">
        <v>6962</v>
      </c>
      <c r="J84" s="151" t="s">
        <v>6962</v>
      </c>
      <c r="K84" s="151">
        <f t="shared" si="5"/>
        <v>0</v>
      </c>
      <c r="L84" s="151" t="s">
        <v>9020</v>
      </c>
    </row>
    <row r="85" spans="1:12" x14ac:dyDescent="0.25">
      <c r="A85" s="151" t="s">
        <v>2208</v>
      </c>
      <c r="B85" s="151" t="s">
        <v>2997</v>
      </c>
      <c r="C85" s="151" t="s">
        <v>3135</v>
      </c>
      <c r="D85" s="151">
        <f t="shared" si="3"/>
        <v>650000000002185</v>
      </c>
      <c r="E85" s="151" t="str">
        <f t="shared" si="4"/>
        <v/>
      </c>
      <c r="F85" s="151">
        <f>+IF(AND(C85*1&gt;=200,E85="GC-04314"),IF(D85=0,MAX(F$2:F84)+1,0),0)</f>
        <v>0</v>
      </c>
      <c r="H85" s="151" t="s">
        <v>5962</v>
      </c>
      <c r="I85" s="151" t="s">
        <v>6962</v>
      </c>
      <c r="J85" s="151" t="s">
        <v>6962</v>
      </c>
      <c r="K85" s="151">
        <f t="shared" si="5"/>
        <v>0</v>
      </c>
      <c r="L85" s="151" t="s">
        <v>9020</v>
      </c>
    </row>
    <row r="86" spans="1:12" x14ac:dyDescent="0.25">
      <c r="A86" s="151" t="s">
        <v>2209</v>
      </c>
      <c r="B86" s="151" t="s">
        <v>2997</v>
      </c>
      <c r="C86" s="151" t="s">
        <v>3136</v>
      </c>
      <c r="D86" s="151">
        <f t="shared" si="3"/>
        <v>650000000002185</v>
      </c>
      <c r="E86" s="151" t="str">
        <f t="shared" si="4"/>
        <v/>
      </c>
      <c r="F86" s="151">
        <f>+IF(AND(C86*1&gt;=200,E86="GC-04314"),IF(D86=0,MAX(F$2:F85)+1,0),0)</f>
        <v>0</v>
      </c>
      <c r="H86" s="151" t="s">
        <v>5963</v>
      </c>
      <c r="I86" s="151" t="s">
        <v>6962</v>
      </c>
      <c r="J86" s="151" t="s">
        <v>6962</v>
      </c>
      <c r="K86" s="151">
        <f t="shared" si="5"/>
        <v>0</v>
      </c>
      <c r="L86" s="151" t="s">
        <v>9020</v>
      </c>
    </row>
    <row r="87" spans="1:12" x14ac:dyDescent="0.25">
      <c r="A87" s="151" t="s">
        <v>2210</v>
      </c>
      <c r="B87" s="151" t="s">
        <v>2997</v>
      </c>
      <c r="C87" s="151" t="s">
        <v>3137</v>
      </c>
      <c r="D87" s="151">
        <f t="shared" si="3"/>
        <v>650000000002187</v>
      </c>
      <c r="E87" s="151" t="str">
        <f t="shared" si="4"/>
        <v/>
      </c>
      <c r="F87" s="151">
        <f>+IF(AND(C87*1&gt;=200,E87="GC-04314"),IF(D87=0,MAX(F$2:F86)+1,0),0)</f>
        <v>0</v>
      </c>
      <c r="H87" s="151" t="s">
        <v>5964</v>
      </c>
      <c r="I87" s="151" t="s">
        <v>6962</v>
      </c>
      <c r="J87" s="151" t="s">
        <v>6962</v>
      </c>
      <c r="K87" s="151">
        <f t="shared" si="5"/>
        <v>0</v>
      </c>
      <c r="L87" s="151" t="s">
        <v>9020</v>
      </c>
    </row>
    <row r="88" spans="1:12" x14ac:dyDescent="0.25">
      <c r="A88" s="151" t="s">
        <v>2211</v>
      </c>
      <c r="B88" s="151" t="s">
        <v>2997</v>
      </c>
      <c r="C88" s="151" t="s">
        <v>3138</v>
      </c>
      <c r="D88" s="151">
        <f t="shared" si="3"/>
        <v>650000000002188</v>
      </c>
      <c r="E88" s="151" t="str">
        <f t="shared" si="4"/>
        <v/>
      </c>
      <c r="F88" s="151">
        <f>+IF(AND(C88*1&gt;=200,E88="GC-04314"),IF(D88=0,MAX(F$2:F87)+1,0),0)</f>
        <v>0</v>
      </c>
      <c r="H88" s="151" t="s">
        <v>5965</v>
      </c>
      <c r="I88" s="151" t="s">
        <v>6962</v>
      </c>
      <c r="J88" s="151" t="s">
        <v>6962</v>
      </c>
      <c r="K88" s="151">
        <f t="shared" si="5"/>
        <v>0</v>
      </c>
      <c r="L88" s="151" t="s">
        <v>9020</v>
      </c>
    </row>
    <row r="89" spans="1:12" x14ac:dyDescent="0.25">
      <c r="A89" s="151" t="s">
        <v>2212</v>
      </c>
      <c r="B89" s="151" t="s">
        <v>2997</v>
      </c>
      <c r="C89" s="151" t="s">
        <v>3139</v>
      </c>
      <c r="D89" s="151">
        <f t="shared" si="3"/>
        <v>650000000002189</v>
      </c>
      <c r="E89" s="151" t="str">
        <f t="shared" si="4"/>
        <v/>
      </c>
      <c r="F89" s="151">
        <f>+IF(AND(C89*1&gt;=200,E89="GC-04314"),IF(D89=0,MAX(F$2:F88)+1,0),0)</f>
        <v>0</v>
      </c>
      <c r="H89" s="151" t="s">
        <v>5966</v>
      </c>
      <c r="I89" s="151" t="s">
        <v>6962</v>
      </c>
      <c r="J89" s="151" t="s">
        <v>6962</v>
      </c>
      <c r="K89" s="151">
        <f t="shared" si="5"/>
        <v>0</v>
      </c>
      <c r="L89" s="151" t="s">
        <v>9020</v>
      </c>
    </row>
    <row r="90" spans="1:12" x14ac:dyDescent="0.25">
      <c r="A90" s="151" t="s">
        <v>2213</v>
      </c>
      <c r="B90" s="151" t="s">
        <v>2997</v>
      </c>
      <c r="C90" s="151" t="s">
        <v>3140</v>
      </c>
      <c r="D90" s="151">
        <f t="shared" si="3"/>
        <v>650000000002192</v>
      </c>
      <c r="E90" s="151" t="str">
        <f t="shared" si="4"/>
        <v/>
      </c>
      <c r="F90" s="151">
        <f>+IF(AND(C90*1&gt;=200,E90="GC-04314"),IF(D90=0,MAX(F$2:F89)+1,0),0)</f>
        <v>0</v>
      </c>
      <c r="H90" s="151" t="s">
        <v>5967</v>
      </c>
      <c r="I90" s="151" t="s">
        <v>6962</v>
      </c>
      <c r="J90" s="151" t="s">
        <v>6962</v>
      </c>
      <c r="K90" s="151">
        <f t="shared" si="5"/>
        <v>0</v>
      </c>
      <c r="L90" s="151" t="s">
        <v>9020</v>
      </c>
    </row>
    <row r="91" spans="1:12" x14ac:dyDescent="0.25">
      <c r="A91" s="151" t="s">
        <v>2214</v>
      </c>
      <c r="B91" s="151" t="s">
        <v>2997</v>
      </c>
      <c r="C91" s="151" t="s">
        <v>3141</v>
      </c>
      <c r="D91" s="151">
        <f t="shared" si="3"/>
        <v>0</v>
      </c>
      <c r="E91" s="151" t="str">
        <f t="shared" si="4"/>
        <v>GC-04314</v>
      </c>
      <c r="F91" s="151">
        <f>+IF(AND(C91*1&gt;=200,E91="GC-04314"),IF(D91=0,MAX(F$2:F90)+1,0),0)</f>
        <v>3</v>
      </c>
      <c r="H91" s="151" t="s">
        <v>5968</v>
      </c>
      <c r="I91" s="151" t="s">
        <v>6962</v>
      </c>
      <c r="J91" s="151" t="s">
        <v>6962</v>
      </c>
      <c r="K91" s="151">
        <f t="shared" si="5"/>
        <v>0</v>
      </c>
      <c r="L91" s="151" t="s">
        <v>9020</v>
      </c>
    </row>
    <row r="92" spans="1:12" x14ac:dyDescent="0.25">
      <c r="A92" s="151" t="s">
        <v>2215</v>
      </c>
      <c r="B92" s="151" t="s">
        <v>2997</v>
      </c>
      <c r="C92" s="151" t="s">
        <v>3142</v>
      </c>
      <c r="D92" s="151">
        <f t="shared" si="3"/>
        <v>650000000002194</v>
      </c>
      <c r="E92" s="151" t="str">
        <f t="shared" si="4"/>
        <v/>
      </c>
      <c r="F92" s="151">
        <f>+IF(AND(C92*1&gt;=200,E92="GC-04314"),IF(D92=0,MAX(F$2:F91)+1,0),0)</f>
        <v>0</v>
      </c>
      <c r="H92" s="151" t="s">
        <v>5969</v>
      </c>
      <c r="I92" s="151" t="s">
        <v>6962</v>
      </c>
      <c r="J92" s="151" t="s">
        <v>6962</v>
      </c>
      <c r="K92" s="151">
        <f t="shared" si="5"/>
        <v>0</v>
      </c>
      <c r="L92" s="151" t="s">
        <v>9020</v>
      </c>
    </row>
    <row r="93" spans="1:12" x14ac:dyDescent="0.25">
      <c r="A93" s="151" t="s">
        <v>2216</v>
      </c>
      <c r="B93" s="151" t="s">
        <v>2997</v>
      </c>
      <c r="C93" s="151" t="s">
        <v>3143</v>
      </c>
      <c r="D93" s="151">
        <f t="shared" si="3"/>
        <v>650000000002195</v>
      </c>
      <c r="E93" s="151" t="str">
        <f t="shared" si="4"/>
        <v/>
      </c>
      <c r="F93" s="151">
        <f>+IF(AND(C93*1&gt;=200,E93="GC-04314"),IF(D93=0,MAX(F$2:F92)+1,0),0)</f>
        <v>0</v>
      </c>
      <c r="H93" s="151" t="s">
        <v>5970</v>
      </c>
      <c r="I93" s="151" t="s">
        <v>6962</v>
      </c>
      <c r="J93" s="151" t="s">
        <v>6962</v>
      </c>
      <c r="K93" s="151">
        <f t="shared" si="5"/>
        <v>0</v>
      </c>
      <c r="L93" s="151" t="s">
        <v>9020</v>
      </c>
    </row>
    <row r="94" spans="1:12" x14ac:dyDescent="0.25">
      <c r="A94" s="151" t="s">
        <v>2217</v>
      </c>
      <c r="B94" s="151" t="s">
        <v>2997</v>
      </c>
      <c r="C94" s="151" t="s">
        <v>3144</v>
      </c>
      <c r="D94" s="151">
        <f t="shared" si="3"/>
        <v>650000000002196</v>
      </c>
      <c r="E94" s="151" t="str">
        <f t="shared" si="4"/>
        <v/>
      </c>
      <c r="F94" s="151">
        <f>+IF(AND(C94*1&gt;=200,E94="GC-04314"),IF(D94=0,MAX(F$2:F93)+1,0),0)</f>
        <v>0</v>
      </c>
      <c r="H94" s="151" t="s">
        <v>5971</v>
      </c>
      <c r="I94" s="151" t="s">
        <v>6962</v>
      </c>
      <c r="J94" s="151" t="s">
        <v>6962</v>
      </c>
      <c r="K94" s="151">
        <f t="shared" si="5"/>
        <v>0</v>
      </c>
      <c r="L94" s="151" t="s">
        <v>9020</v>
      </c>
    </row>
    <row r="95" spans="1:12" x14ac:dyDescent="0.25">
      <c r="A95" s="151" t="s">
        <v>2218</v>
      </c>
      <c r="B95" s="151" t="s">
        <v>2997</v>
      </c>
      <c r="C95" s="151" t="s">
        <v>3145</v>
      </c>
      <c r="D95" s="151">
        <f t="shared" si="3"/>
        <v>650000000002197</v>
      </c>
      <c r="E95" s="151" t="str">
        <f t="shared" si="4"/>
        <v/>
      </c>
      <c r="F95" s="151">
        <f>+IF(AND(C95*1&gt;=200,E95="GC-04314"),IF(D95=0,MAX(F$2:F94)+1,0),0)</f>
        <v>0</v>
      </c>
      <c r="H95" s="151" t="s">
        <v>5972</v>
      </c>
      <c r="I95" s="151" t="s">
        <v>6962</v>
      </c>
      <c r="J95" s="151" t="s">
        <v>6962</v>
      </c>
      <c r="K95" s="151">
        <f t="shared" si="5"/>
        <v>0</v>
      </c>
      <c r="L95" s="151" t="s">
        <v>9020</v>
      </c>
    </row>
    <row r="96" spans="1:12" x14ac:dyDescent="0.25">
      <c r="A96" s="151" t="s">
        <v>2219</v>
      </c>
      <c r="B96" s="151" t="s">
        <v>2997</v>
      </c>
      <c r="C96" s="151" t="s">
        <v>3146</v>
      </c>
      <c r="D96" s="151">
        <f t="shared" si="3"/>
        <v>650000000002198</v>
      </c>
      <c r="E96" s="151" t="str">
        <f t="shared" si="4"/>
        <v/>
      </c>
      <c r="F96" s="151">
        <f>+IF(AND(C96*1&gt;=200,E96="GC-04314"),IF(D96=0,MAX(F$2:F95)+1,0),0)</f>
        <v>0</v>
      </c>
      <c r="H96" s="151" t="s">
        <v>5973</v>
      </c>
      <c r="I96" s="151" t="s">
        <v>6962</v>
      </c>
      <c r="J96" s="151" t="s">
        <v>6962</v>
      </c>
      <c r="K96" s="151">
        <f t="shared" si="5"/>
        <v>0</v>
      </c>
      <c r="L96" s="151" t="s">
        <v>9020</v>
      </c>
    </row>
    <row r="97" spans="1:12" x14ac:dyDescent="0.25">
      <c r="A97" s="151" t="s">
        <v>2220</v>
      </c>
      <c r="B97" s="151" t="s">
        <v>2997</v>
      </c>
      <c r="C97" s="151" t="s">
        <v>3147</v>
      </c>
      <c r="D97" s="151">
        <f t="shared" si="3"/>
        <v>650000000002215</v>
      </c>
      <c r="E97" s="151" t="str">
        <f t="shared" si="4"/>
        <v/>
      </c>
      <c r="F97" s="151">
        <f>+IF(AND(C97*1&gt;=200,E97="GC-04314"),IF(D97=0,MAX(F$2:F96)+1,0),0)</f>
        <v>0</v>
      </c>
      <c r="H97" s="151" t="s">
        <v>5974</v>
      </c>
      <c r="I97" s="151" t="s">
        <v>6962</v>
      </c>
      <c r="J97" s="151" t="s">
        <v>6962</v>
      </c>
      <c r="K97" s="151">
        <f t="shared" si="5"/>
        <v>0</v>
      </c>
      <c r="L97" s="151" t="s">
        <v>9020</v>
      </c>
    </row>
    <row r="98" spans="1:12" x14ac:dyDescent="0.25">
      <c r="A98" s="151" t="s">
        <v>2221</v>
      </c>
      <c r="B98" s="151" t="s">
        <v>2997</v>
      </c>
      <c r="C98" s="151" t="s">
        <v>3148</v>
      </c>
      <c r="D98" s="151">
        <f t="shared" si="3"/>
        <v>0</v>
      </c>
      <c r="E98" s="151" t="str">
        <f t="shared" si="4"/>
        <v>GC-04314</v>
      </c>
      <c r="F98" s="151">
        <f>+IF(AND(C98*1&gt;=200,E98="GC-04314"),IF(D98=0,MAX(F$2:F97)+1,0),0)</f>
        <v>4</v>
      </c>
      <c r="H98" s="151" t="s">
        <v>5975</v>
      </c>
      <c r="I98" s="151" t="s">
        <v>6962</v>
      </c>
      <c r="J98" s="151" t="s">
        <v>6962</v>
      </c>
      <c r="K98" s="151">
        <f t="shared" si="5"/>
        <v>0</v>
      </c>
      <c r="L98" s="151" t="s">
        <v>9020</v>
      </c>
    </row>
    <row r="99" spans="1:12" x14ac:dyDescent="0.25">
      <c r="A99" s="151" t="s">
        <v>2222</v>
      </c>
      <c r="B99" s="151" t="s">
        <v>2997</v>
      </c>
      <c r="C99" s="151" t="s">
        <v>3149</v>
      </c>
      <c r="D99" s="151">
        <f t="shared" si="3"/>
        <v>0</v>
      </c>
      <c r="E99" s="151" t="str">
        <f t="shared" si="4"/>
        <v>GC-04314</v>
      </c>
      <c r="F99" s="151">
        <f>+IF(AND(C99*1&gt;=200,E99="GC-04314"),IF(D99=0,MAX(F$2:F98)+1,0),0)</f>
        <v>5</v>
      </c>
      <c r="H99" s="151" t="s">
        <v>5976</v>
      </c>
      <c r="I99" s="151" t="s">
        <v>6962</v>
      </c>
      <c r="J99" s="151" t="s">
        <v>6962</v>
      </c>
      <c r="K99" s="151">
        <f t="shared" si="5"/>
        <v>0</v>
      </c>
      <c r="L99" s="151" t="s">
        <v>9020</v>
      </c>
    </row>
    <row r="100" spans="1:12" x14ac:dyDescent="0.25">
      <c r="A100" s="151" t="s">
        <v>2223</v>
      </c>
      <c r="B100" s="151" t="s">
        <v>2997</v>
      </c>
      <c r="C100" s="151" t="s">
        <v>3150</v>
      </c>
      <c r="D100" s="151">
        <f t="shared" si="3"/>
        <v>0</v>
      </c>
      <c r="E100" s="151" t="str">
        <f t="shared" si="4"/>
        <v>GC-04314</v>
      </c>
      <c r="F100" s="151">
        <f>+IF(AND(C100*1&gt;=200,E100="GC-04314"),IF(D100=0,MAX(F$2:F99)+1,0),0)</f>
        <v>6</v>
      </c>
      <c r="H100" s="151" t="s">
        <v>5977</v>
      </c>
      <c r="I100" s="151" t="s">
        <v>6962</v>
      </c>
      <c r="J100" s="151" t="s">
        <v>6962</v>
      </c>
      <c r="K100" s="151">
        <f t="shared" si="5"/>
        <v>0</v>
      </c>
      <c r="L100" s="151" t="s">
        <v>9020</v>
      </c>
    </row>
    <row r="101" spans="1:12" x14ac:dyDescent="0.25">
      <c r="A101" s="151" t="s">
        <v>2224</v>
      </c>
      <c r="B101" s="151" t="s">
        <v>2997</v>
      </c>
      <c r="C101" s="151" t="s">
        <v>3151</v>
      </c>
      <c r="D101" s="151">
        <f t="shared" si="3"/>
        <v>650000000002207</v>
      </c>
      <c r="E101" s="151" t="str">
        <f t="shared" si="4"/>
        <v/>
      </c>
      <c r="F101" s="151">
        <f>+IF(AND(C101*1&gt;=200,E101="GC-04314"),IF(D101=0,MAX(F$2:F100)+1,0),0)</f>
        <v>0</v>
      </c>
      <c r="H101" s="151" t="s">
        <v>5978</v>
      </c>
      <c r="I101" s="151" t="s">
        <v>6962</v>
      </c>
      <c r="J101" s="151" t="s">
        <v>6962</v>
      </c>
      <c r="K101" s="151">
        <f t="shared" si="5"/>
        <v>0</v>
      </c>
      <c r="L101" s="151" t="s">
        <v>9020</v>
      </c>
    </row>
    <row r="102" spans="1:12" x14ac:dyDescent="0.25">
      <c r="A102" s="151" t="s">
        <v>2225</v>
      </c>
      <c r="B102" s="151" t="s">
        <v>2997</v>
      </c>
      <c r="C102" s="151" t="s">
        <v>3152</v>
      </c>
      <c r="D102" s="151">
        <f t="shared" si="3"/>
        <v>650000000002209</v>
      </c>
      <c r="E102" s="151" t="str">
        <f t="shared" si="4"/>
        <v/>
      </c>
      <c r="F102" s="151">
        <f>+IF(AND(C102*1&gt;=200,E102="GC-04314"),IF(D102=0,MAX(F$2:F101)+1,0),0)</f>
        <v>0</v>
      </c>
      <c r="H102" s="151" t="s">
        <v>5979</v>
      </c>
      <c r="I102" s="151" t="s">
        <v>6962</v>
      </c>
      <c r="J102" s="151" t="s">
        <v>6962</v>
      </c>
      <c r="K102" s="151">
        <f t="shared" si="5"/>
        <v>0</v>
      </c>
      <c r="L102" s="151" t="s">
        <v>9020</v>
      </c>
    </row>
    <row r="103" spans="1:12" x14ac:dyDescent="0.25">
      <c r="A103" s="151" t="s">
        <v>2226</v>
      </c>
      <c r="B103" s="151" t="s">
        <v>2997</v>
      </c>
      <c r="C103" s="151" t="s">
        <v>3153</v>
      </c>
      <c r="D103" s="151">
        <f t="shared" si="3"/>
        <v>650000000002210</v>
      </c>
      <c r="E103" s="151" t="str">
        <f t="shared" si="4"/>
        <v/>
      </c>
      <c r="F103" s="151">
        <f>+IF(AND(C103*1&gt;=200,E103="GC-04314"),IF(D103=0,MAX(F$2:F102)+1,0),0)</f>
        <v>0</v>
      </c>
      <c r="H103" s="151" t="s">
        <v>5980</v>
      </c>
      <c r="I103" s="151" t="s">
        <v>6962</v>
      </c>
      <c r="J103" s="151" t="s">
        <v>6962</v>
      </c>
      <c r="K103" s="151">
        <f t="shared" si="5"/>
        <v>0</v>
      </c>
      <c r="L103" s="151" t="s">
        <v>9020</v>
      </c>
    </row>
    <row r="104" spans="1:12" x14ac:dyDescent="0.25">
      <c r="A104" s="151" t="s">
        <v>2227</v>
      </c>
      <c r="B104" s="151" t="s">
        <v>2997</v>
      </c>
      <c r="C104" s="151" t="s">
        <v>3154</v>
      </c>
      <c r="D104" s="151">
        <f t="shared" si="3"/>
        <v>650000000002213</v>
      </c>
      <c r="E104" s="151" t="str">
        <f t="shared" si="4"/>
        <v/>
      </c>
      <c r="F104" s="151">
        <f>+IF(AND(C104*1&gt;=200,E104="GC-04314"),IF(D104=0,MAX(F$2:F103)+1,0),0)</f>
        <v>0</v>
      </c>
      <c r="H104" s="151" t="s">
        <v>5981</v>
      </c>
      <c r="I104" s="151" t="s">
        <v>6962</v>
      </c>
      <c r="J104" s="151" t="s">
        <v>6962</v>
      </c>
      <c r="K104" s="151">
        <f t="shared" si="5"/>
        <v>0</v>
      </c>
      <c r="L104" s="151" t="s">
        <v>9020</v>
      </c>
    </row>
    <row r="105" spans="1:12" x14ac:dyDescent="0.25">
      <c r="A105" s="151" t="s">
        <v>2228</v>
      </c>
      <c r="B105" s="151" t="s">
        <v>2997</v>
      </c>
      <c r="C105" s="151" t="s">
        <v>3155</v>
      </c>
      <c r="D105" s="151">
        <f t="shared" si="3"/>
        <v>650000000002214</v>
      </c>
      <c r="E105" s="151" t="str">
        <f t="shared" si="4"/>
        <v/>
      </c>
      <c r="F105" s="151">
        <f>+IF(AND(C105*1&gt;=200,E105="GC-04314"),IF(D105=0,MAX(F$2:F104)+1,0),0)</f>
        <v>0</v>
      </c>
      <c r="H105" s="151" t="s">
        <v>5982</v>
      </c>
      <c r="I105" s="151" t="s">
        <v>6962</v>
      </c>
      <c r="J105" s="151" t="s">
        <v>6962</v>
      </c>
      <c r="K105" s="151">
        <f t="shared" si="5"/>
        <v>0</v>
      </c>
      <c r="L105" s="151" t="s">
        <v>9020</v>
      </c>
    </row>
    <row r="106" spans="1:12" x14ac:dyDescent="0.25">
      <c r="A106" s="151" t="s">
        <v>2229</v>
      </c>
      <c r="B106" s="151" t="s">
        <v>2997</v>
      </c>
      <c r="C106" s="151" t="s">
        <v>3156</v>
      </c>
      <c r="D106" s="151">
        <f t="shared" si="3"/>
        <v>650000000002212</v>
      </c>
      <c r="E106" s="151" t="str">
        <f t="shared" si="4"/>
        <v/>
      </c>
      <c r="F106" s="151">
        <f>+IF(AND(C106*1&gt;=200,E106="GC-04314"),IF(D106=0,MAX(F$2:F105)+1,0),0)</f>
        <v>0</v>
      </c>
      <c r="H106" s="151" t="s">
        <v>5983</v>
      </c>
      <c r="I106" s="151" t="s">
        <v>6962</v>
      </c>
      <c r="J106" s="151" t="s">
        <v>6962</v>
      </c>
      <c r="K106" s="151">
        <f t="shared" si="5"/>
        <v>0</v>
      </c>
      <c r="L106" s="151" t="s">
        <v>9020</v>
      </c>
    </row>
    <row r="107" spans="1:12" x14ac:dyDescent="0.25">
      <c r="A107" s="151" t="s">
        <v>2230</v>
      </c>
      <c r="B107" s="151" t="s">
        <v>2997</v>
      </c>
      <c r="C107" s="151" t="s">
        <v>3157</v>
      </c>
      <c r="D107" s="151">
        <f t="shared" si="3"/>
        <v>0</v>
      </c>
      <c r="E107" s="151" t="str">
        <f t="shared" si="4"/>
        <v>GC-04314</v>
      </c>
      <c r="F107" s="151">
        <f>+IF(AND(C107*1&gt;=200,E107="GC-04314"),IF(D107=0,MAX(F$2:F106)+1,0),0)</f>
        <v>7</v>
      </c>
      <c r="H107" s="151" t="s">
        <v>5984</v>
      </c>
      <c r="I107" s="151" t="s">
        <v>6962</v>
      </c>
      <c r="J107" s="151" t="s">
        <v>6962</v>
      </c>
      <c r="K107" s="151">
        <f t="shared" si="5"/>
        <v>0</v>
      </c>
      <c r="L107" s="151" t="s">
        <v>9020</v>
      </c>
    </row>
    <row r="108" spans="1:12" x14ac:dyDescent="0.25">
      <c r="A108" s="151" t="s">
        <v>2231</v>
      </c>
      <c r="B108" s="151" t="s">
        <v>2997</v>
      </c>
      <c r="C108" s="151" t="s">
        <v>3158</v>
      </c>
      <c r="D108" s="151">
        <f t="shared" si="3"/>
        <v>0</v>
      </c>
      <c r="E108" s="151" t="str">
        <f t="shared" si="4"/>
        <v>GC-04314</v>
      </c>
      <c r="F108" s="151">
        <f>+IF(AND(C108*1&gt;=200,E108="GC-04314"),IF(D108=0,MAX(F$2:F107)+1,0),0)</f>
        <v>8</v>
      </c>
      <c r="H108" s="151" t="s">
        <v>5985</v>
      </c>
      <c r="I108" s="151" t="s">
        <v>6962</v>
      </c>
      <c r="J108" s="151" t="s">
        <v>6962</v>
      </c>
      <c r="K108" s="151">
        <f t="shared" si="5"/>
        <v>0</v>
      </c>
      <c r="L108" s="151" t="s">
        <v>9020</v>
      </c>
    </row>
    <row r="109" spans="1:12" x14ac:dyDescent="0.25">
      <c r="A109" s="151" t="s">
        <v>2232</v>
      </c>
      <c r="B109" s="151" t="s">
        <v>2997</v>
      </c>
      <c r="C109" s="151" t="s">
        <v>3159</v>
      </c>
      <c r="D109" s="151">
        <f t="shared" si="3"/>
        <v>0</v>
      </c>
      <c r="E109" s="151" t="str">
        <f t="shared" si="4"/>
        <v>GC-04314</v>
      </c>
      <c r="F109" s="151">
        <f>+IF(AND(C109*1&gt;=200,E109="GC-04314"),IF(D109=0,MAX(F$2:F108)+1,0),0)</f>
        <v>9</v>
      </c>
      <c r="H109" s="151" t="s">
        <v>5986</v>
      </c>
      <c r="I109" s="151" t="s">
        <v>6962</v>
      </c>
      <c r="J109" s="151" t="s">
        <v>6962</v>
      </c>
      <c r="K109" s="151">
        <f t="shared" si="5"/>
        <v>0</v>
      </c>
      <c r="L109" s="151" t="s">
        <v>9020</v>
      </c>
    </row>
    <row r="110" spans="1:12" x14ac:dyDescent="0.25">
      <c r="A110" s="151" t="s">
        <v>2233</v>
      </c>
      <c r="B110" s="151" t="s">
        <v>2997</v>
      </c>
      <c r="C110" s="151" t="s">
        <v>3160</v>
      </c>
      <c r="D110" s="151">
        <f t="shared" si="3"/>
        <v>0</v>
      </c>
      <c r="E110" s="151" t="str">
        <f t="shared" si="4"/>
        <v>GC-04314</v>
      </c>
      <c r="F110" s="151">
        <f>+IF(AND(C110*1&gt;=200,E110="GC-04314"),IF(D110=0,MAX(F$2:F109)+1,0),0)</f>
        <v>10</v>
      </c>
      <c r="H110" s="151" t="s">
        <v>5987</v>
      </c>
      <c r="I110" s="151" t="s">
        <v>6962</v>
      </c>
      <c r="J110" s="151" t="s">
        <v>6962</v>
      </c>
      <c r="K110" s="151">
        <f t="shared" si="5"/>
        <v>0</v>
      </c>
      <c r="L110" s="151" t="s">
        <v>9020</v>
      </c>
    </row>
    <row r="111" spans="1:12" x14ac:dyDescent="0.25">
      <c r="A111" s="151" t="s">
        <v>2234</v>
      </c>
      <c r="B111" s="151" t="s">
        <v>2997</v>
      </c>
      <c r="C111" s="151" t="s">
        <v>3161</v>
      </c>
      <c r="D111" s="151">
        <f t="shared" si="3"/>
        <v>0</v>
      </c>
      <c r="E111" s="151" t="str">
        <f t="shared" si="4"/>
        <v>GC-04313</v>
      </c>
      <c r="F111" s="151">
        <f>+IF(AND(C111*1&gt;=200,E111="GC-04314"),IF(D111=0,MAX(F$2:F110)+1,0),0)</f>
        <v>0</v>
      </c>
      <c r="H111" s="151" t="s">
        <v>5988</v>
      </c>
      <c r="I111" s="151" t="s">
        <v>6962</v>
      </c>
      <c r="J111" s="151" t="s">
        <v>6962</v>
      </c>
      <c r="K111" s="151">
        <f t="shared" si="5"/>
        <v>0</v>
      </c>
      <c r="L111" s="151" t="s">
        <v>9020</v>
      </c>
    </row>
    <row r="112" spans="1:12" x14ac:dyDescent="0.25">
      <c r="A112" s="151" t="s">
        <v>2235</v>
      </c>
      <c r="B112" s="151" t="s">
        <v>2997</v>
      </c>
      <c r="C112" s="151" t="s">
        <v>3162</v>
      </c>
      <c r="D112" s="151">
        <f t="shared" si="3"/>
        <v>0</v>
      </c>
      <c r="E112" s="151" t="str">
        <f t="shared" si="4"/>
        <v>GC-04314</v>
      </c>
      <c r="F112" s="151">
        <f>+IF(AND(C112*1&gt;=200,E112="GC-04314"),IF(D112=0,MAX(F$2:F111)+1,0),0)</f>
        <v>11</v>
      </c>
      <c r="H112" s="151" t="s">
        <v>5989</v>
      </c>
      <c r="I112" s="151" t="s">
        <v>6962</v>
      </c>
      <c r="J112" s="151" t="s">
        <v>6962</v>
      </c>
      <c r="K112" s="151">
        <f t="shared" si="5"/>
        <v>0</v>
      </c>
      <c r="L112" s="151" t="s">
        <v>9020</v>
      </c>
    </row>
    <row r="113" spans="1:12" x14ac:dyDescent="0.25">
      <c r="A113" s="151" t="s">
        <v>2236</v>
      </c>
      <c r="B113" s="151" t="s">
        <v>2997</v>
      </c>
      <c r="C113" s="151" t="s">
        <v>3163</v>
      </c>
      <c r="D113" s="151">
        <f t="shared" si="3"/>
        <v>0</v>
      </c>
      <c r="E113" s="151" t="str">
        <f t="shared" si="4"/>
        <v>GC-04314</v>
      </c>
      <c r="F113" s="151">
        <f>+IF(AND(C113*1&gt;=200,E113="GC-04314"),IF(D113=0,MAX(F$2:F112)+1,0),0)</f>
        <v>12</v>
      </c>
      <c r="H113" s="151" t="s">
        <v>5990</v>
      </c>
      <c r="I113" s="151" t="s">
        <v>6962</v>
      </c>
      <c r="J113" s="151" t="s">
        <v>6962</v>
      </c>
      <c r="K113" s="151">
        <f t="shared" si="5"/>
        <v>0</v>
      </c>
      <c r="L113" s="151" t="s">
        <v>9020</v>
      </c>
    </row>
    <row r="114" spans="1:12" x14ac:dyDescent="0.25">
      <c r="A114" s="151" t="s">
        <v>2237</v>
      </c>
      <c r="B114" s="151" t="s">
        <v>2997</v>
      </c>
      <c r="C114" s="151" t="s">
        <v>3164</v>
      </c>
      <c r="D114" s="151">
        <f t="shared" si="3"/>
        <v>0</v>
      </c>
      <c r="E114" s="151" t="str">
        <f t="shared" si="4"/>
        <v>GC-04314</v>
      </c>
      <c r="F114" s="151">
        <f>+IF(AND(C114*1&gt;=200,E114="GC-04314"),IF(D114=0,MAX(F$2:F113)+1,0),0)</f>
        <v>13</v>
      </c>
      <c r="H114" s="151" t="s">
        <v>5991</v>
      </c>
      <c r="I114" s="151" t="s">
        <v>6962</v>
      </c>
      <c r="J114" s="151" t="s">
        <v>6962</v>
      </c>
      <c r="K114" s="151">
        <f t="shared" si="5"/>
        <v>0</v>
      </c>
      <c r="L114" s="151" t="s">
        <v>9020</v>
      </c>
    </row>
    <row r="115" spans="1:12" x14ac:dyDescent="0.25">
      <c r="A115" s="151" t="s">
        <v>2238</v>
      </c>
      <c r="B115" s="151" t="s">
        <v>2997</v>
      </c>
      <c r="C115" s="151" t="s">
        <v>3165</v>
      </c>
      <c r="D115" s="151">
        <f t="shared" si="3"/>
        <v>0</v>
      </c>
      <c r="E115" s="151" t="str">
        <f t="shared" si="4"/>
        <v>GC-04314</v>
      </c>
      <c r="F115" s="151">
        <f>+IF(AND(C115*1&gt;=200,E115="GC-04314"),IF(D115=0,MAX(F$2:F114)+1,0),0)</f>
        <v>14</v>
      </c>
      <c r="H115" s="151" t="s">
        <v>5992</v>
      </c>
      <c r="I115" s="151" t="s">
        <v>6962</v>
      </c>
      <c r="J115" s="151" t="s">
        <v>6962</v>
      </c>
      <c r="K115" s="151">
        <f t="shared" si="5"/>
        <v>0</v>
      </c>
      <c r="L115" s="151" t="s">
        <v>9020</v>
      </c>
    </row>
    <row r="116" spans="1:12" x14ac:dyDescent="0.25">
      <c r="A116" s="151" t="s">
        <v>2239</v>
      </c>
      <c r="B116" s="151" t="s">
        <v>2997</v>
      </c>
      <c r="C116" s="151" t="s">
        <v>3166</v>
      </c>
      <c r="D116" s="151">
        <f t="shared" si="3"/>
        <v>0</v>
      </c>
      <c r="E116" s="151" t="str">
        <f t="shared" si="4"/>
        <v>GC-04314</v>
      </c>
      <c r="F116" s="151">
        <f>+IF(AND(C116*1&gt;=200,E116="GC-04314"),IF(D116=0,MAX(F$2:F115)+1,0),0)</f>
        <v>15</v>
      </c>
      <c r="H116" s="151" t="s">
        <v>5993</v>
      </c>
      <c r="I116" s="151" t="s">
        <v>6962</v>
      </c>
      <c r="J116" s="151" t="s">
        <v>6962</v>
      </c>
      <c r="K116" s="151">
        <f t="shared" si="5"/>
        <v>0</v>
      </c>
      <c r="L116" s="151" t="s">
        <v>9020</v>
      </c>
    </row>
    <row r="117" spans="1:12" x14ac:dyDescent="0.25">
      <c r="A117" s="151" t="s">
        <v>2240</v>
      </c>
      <c r="B117" s="151" t="s">
        <v>2997</v>
      </c>
      <c r="C117" s="151" t="s">
        <v>3167</v>
      </c>
      <c r="D117" s="151">
        <f t="shared" si="3"/>
        <v>0</v>
      </c>
      <c r="E117" s="151" t="str">
        <f t="shared" si="4"/>
        <v>GC-04314</v>
      </c>
      <c r="F117" s="151">
        <f>+IF(AND(C117*1&gt;=200,E117="GC-04314"),IF(D117=0,MAX(F$2:F116)+1,0),0)</f>
        <v>16</v>
      </c>
      <c r="H117" s="151" t="s">
        <v>5994</v>
      </c>
      <c r="I117" s="151" t="s">
        <v>6962</v>
      </c>
      <c r="J117" s="151" t="s">
        <v>6962</v>
      </c>
      <c r="K117" s="151">
        <f t="shared" si="5"/>
        <v>0</v>
      </c>
      <c r="L117" s="151" t="s">
        <v>9020</v>
      </c>
    </row>
    <row r="118" spans="1:12" x14ac:dyDescent="0.25">
      <c r="A118" s="151" t="s">
        <v>2241</v>
      </c>
      <c r="B118" s="151" t="s">
        <v>2997</v>
      </c>
      <c r="C118" s="151" t="s">
        <v>3168</v>
      </c>
      <c r="D118" s="151">
        <f t="shared" si="3"/>
        <v>0</v>
      </c>
      <c r="E118" s="151" t="str">
        <f t="shared" si="4"/>
        <v>GC-04314</v>
      </c>
      <c r="F118" s="151">
        <f>+IF(AND(C118*1&gt;=200,E118="GC-04314"),IF(D118=0,MAX(F$2:F117)+1,0),0)</f>
        <v>17</v>
      </c>
      <c r="H118" s="151" t="s">
        <v>5995</v>
      </c>
      <c r="I118" s="151" t="s">
        <v>6962</v>
      </c>
      <c r="J118" s="151" t="s">
        <v>6962</v>
      </c>
      <c r="K118" s="151">
        <f t="shared" si="5"/>
        <v>0</v>
      </c>
      <c r="L118" s="151" t="s">
        <v>9020</v>
      </c>
    </row>
    <row r="119" spans="1:12" x14ac:dyDescent="0.25">
      <c r="A119" s="151" t="s">
        <v>2242</v>
      </c>
      <c r="B119" s="151" t="s">
        <v>2997</v>
      </c>
      <c r="C119" s="151" t="s">
        <v>3169</v>
      </c>
      <c r="D119" s="151">
        <f t="shared" si="3"/>
        <v>0</v>
      </c>
      <c r="E119" s="151" t="str">
        <f t="shared" si="4"/>
        <v>GC-04314</v>
      </c>
      <c r="F119" s="151">
        <f>+IF(AND(C119*1&gt;=200,E119="GC-04314"),IF(D119=0,MAX(F$2:F118)+1,0),0)</f>
        <v>18</v>
      </c>
      <c r="H119" s="151" t="s">
        <v>5996</v>
      </c>
      <c r="I119" s="151" t="s">
        <v>6962</v>
      </c>
      <c r="J119" s="151" t="s">
        <v>6962</v>
      </c>
      <c r="K119" s="151">
        <f t="shared" si="5"/>
        <v>0</v>
      </c>
      <c r="L119" s="151" t="s">
        <v>9020</v>
      </c>
    </row>
    <row r="120" spans="1:12" x14ac:dyDescent="0.25">
      <c r="A120" s="151" t="s">
        <v>2243</v>
      </c>
      <c r="B120" s="151" t="s">
        <v>2997</v>
      </c>
      <c r="C120" s="151" t="s">
        <v>3170</v>
      </c>
      <c r="D120" s="151">
        <f t="shared" si="3"/>
        <v>0</v>
      </c>
      <c r="E120" s="151" t="str">
        <f t="shared" si="4"/>
        <v>GC-04314</v>
      </c>
      <c r="F120" s="151">
        <f>+IF(AND(C120*1&gt;=200,E120="GC-04314"),IF(D120=0,MAX(F$2:F119)+1,0),0)</f>
        <v>19</v>
      </c>
      <c r="H120" s="151" t="s">
        <v>5997</v>
      </c>
      <c r="I120" s="151" t="s">
        <v>6962</v>
      </c>
      <c r="J120" s="151" t="s">
        <v>6962</v>
      </c>
      <c r="K120" s="151">
        <f t="shared" si="5"/>
        <v>0</v>
      </c>
      <c r="L120" s="151" t="s">
        <v>9020</v>
      </c>
    </row>
    <row r="121" spans="1:12" x14ac:dyDescent="0.25">
      <c r="A121" s="151" t="s">
        <v>2244</v>
      </c>
      <c r="B121" s="151" t="s">
        <v>2997</v>
      </c>
      <c r="C121" s="151" t="s">
        <v>3171</v>
      </c>
      <c r="D121" s="151">
        <f t="shared" si="3"/>
        <v>0</v>
      </c>
      <c r="E121" s="151" t="str">
        <f t="shared" si="4"/>
        <v>GC-04314</v>
      </c>
      <c r="F121" s="151">
        <f>+IF(AND(C121*1&gt;=200,E121="GC-04314"),IF(D121=0,MAX(F$2:F120)+1,0),0)</f>
        <v>20</v>
      </c>
      <c r="H121" s="151" t="s">
        <v>5998</v>
      </c>
      <c r="I121" s="151" t="s">
        <v>6962</v>
      </c>
      <c r="J121" s="151" t="s">
        <v>6962</v>
      </c>
      <c r="K121" s="151">
        <f t="shared" si="5"/>
        <v>0</v>
      </c>
      <c r="L121" s="151" t="s">
        <v>9020</v>
      </c>
    </row>
    <row r="122" spans="1:12" x14ac:dyDescent="0.25">
      <c r="A122" s="151" t="s">
        <v>2245</v>
      </c>
      <c r="B122" s="151" t="s">
        <v>2997</v>
      </c>
      <c r="C122" s="151" t="s">
        <v>3172</v>
      </c>
      <c r="D122" s="151">
        <f t="shared" si="3"/>
        <v>0</v>
      </c>
      <c r="E122" s="151" t="str">
        <f t="shared" si="4"/>
        <v>GC-04314</v>
      </c>
      <c r="F122" s="151">
        <f>+IF(AND(C122*1&gt;=200,E122="GC-04314"),IF(D122=0,MAX(F$2:F121)+1,0),0)</f>
        <v>21</v>
      </c>
      <c r="H122" s="151" t="s">
        <v>5999</v>
      </c>
      <c r="I122" s="151" t="s">
        <v>6962</v>
      </c>
      <c r="J122" s="151" t="s">
        <v>6962</v>
      </c>
      <c r="K122" s="151">
        <f t="shared" si="5"/>
        <v>0</v>
      </c>
      <c r="L122" s="151" t="s">
        <v>9020</v>
      </c>
    </row>
    <row r="123" spans="1:12" x14ac:dyDescent="0.25">
      <c r="A123" s="151" t="s">
        <v>2246</v>
      </c>
      <c r="B123" s="151" t="s">
        <v>2997</v>
      </c>
      <c r="C123" s="151" t="s">
        <v>3173</v>
      </c>
      <c r="D123" s="151">
        <f t="shared" si="3"/>
        <v>0</v>
      </c>
      <c r="E123" s="151" t="str">
        <f t="shared" si="4"/>
        <v>GC-04314</v>
      </c>
      <c r="F123" s="151">
        <f>+IF(AND(C123*1&gt;=200,E123="GC-04314"),IF(D123=0,MAX(F$2:F122)+1,0),0)</f>
        <v>22</v>
      </c>
      <c r="H123" s="151" t="s">
        <v>6000</v>
      </c>
      <c r="I123" s="151" t="s">
        <v>6962</v>
      </c>
      <c r="J123" s="151" t="s">
        <v>6962</v>
      </c>
      <c r="K123" s="151">
        <f t="shared" si="5"/>
        <v>0</v>
      </c>
      <c r="L123" s="151" t="s">
        <v>9020</v>
      </c>
    </row>
    <row r="124" spans="1:12" x14ac:dyDescent="0.25">
      <c r="A124" s="151" t="s">
        <v>2247</v>
      </c>
      <c r="B124" s="151" t="s">
        <v>2997</v>
      </c>
      <c r="C124" s="151" t="s">
        <v>3174</v>
      </c>
      <c r="D124" s="151">
        <f t="shared" si="3"/>
        <v>0</v>
      </c>
      <c r="E124" s="151" t="str">
        <f t="shared" si="4"/>
        <v>GC-04314</v>
      </c>
      <c r="F124" s="151">
        <f>+IF(AND(C124*1&gt;=200,E124="GC-04314"),IF(D124=0,MAX(F$2:F123)+1,0),0)</f>
        <v>23</v>
      </c>
      <c r="H124" s="151" t="s">
        <v>6001</v>
      </c>
      <c r="I124" s="151" t="s">
        <v>6962</v>
      </c>
      <c r="J124" s="151" t="s">
        <v>6962</v>
      </c>
      <c r="K124" s="151">
        <f t="shared" si="5"/>
        <v>0</v>
      </c>
      <c r="L124" s="151" t="s">
        <v>9020</v>
      </c>
    </row>
    <row r="125" spans="1:12" x14ac:dyDescent="0.25">
      <c r="A125" s="151" t="s">
        <v>2248</v>
      </c>
      <c r="B125" s="151" t="s">
        <v>2997</v>
      </c>
      <c r="C125" s="151" t="s">
        <v>3175</v>
      </c>
      <c r="D125" s="151">
        <f t="shared" si="3"/>
        <v>0</v>
      </c>
      <c r="E125" s="151" t="str">
        <f t="shared" si="4"/>
        <v>GC-04314</v>
      </c>
      <c r="F125" s="151">
        <f>+IF(AND(C125*1&gt;=200,E125="GC-04314"),IF(D125=0,MAX(F$2:F124)+1,0),0)</f>
        <v>24</v>
      </c>
      <c r="H125" s="151" t="s">
        <v>6002</v>
      </c>
      <c r="I125" s="151" t="s">
        <v>6962</v>
      </c>
      <c r="J125" s="151" t="s">
        <v>6962</v>
      </c>
      <c r="K125" s="151">
        <f t="shared" si="5"/>
        <v>0</v>
      </c>
      <c r="L125" s="151" t="s">
        <v>9020</v>
      </c>
    </row>
    <row r="126" spans="1:12" x14ac:dyDescent="0.25">
      <c r="A126" s="151" t="s">
        <v>2249</v>
      </c>
      <c r="B126" s="151" t="s">
        <v>2997</v>
      </c>
      <c r="C126" s="151" t="s">
        <v>3176</v>
      </c>
      <c r="D126" s="151">
        <f t="shared" si="3"/>
        <v>0</v>
      </c>
      <c r="E126" s="151" t="str">
        <f t="shared" si="4"/>
        <v>GC-04314</v>
      </c>
      <c r="F126" s="151">
        <f>+IF(AND(C126*1&gt;=200,E126="GC-04314"),IF(D126=0,MAX(F$2:F125)+1,0),0)</f>
        <v>25</v>
      </c>
      <c r="H126" s="151" t="s">
        <v>6003</v>
      </c>
      <c r="I126" s="151" t="s">
        <v>6962</v>
      </c>
      <c r="J126" s="151" t="s">
        <v>6962</v>
      </c>
      <c r="K126" s="151">
        <f t="shared" si="5"/>
        <v>0</v>
      </c>
      <c r="L126" s="151" t="s">
        <v>9020</v>
      </c>
    </row>
    <row r="127" spans="1:12" x14ac:dyDescent="0.25">
      <c r="A127" s="151" t="s">
        <v>2250</v>
      </c>
      <c r="B127" s="151" t="s">
        <v>2997</v>
      </c>
      <c r="C127" s="151" t="s">
        <v>3177</v>
      </c>
      <c r="D127" s="151">
        <f t="shared" si="3"/>
        <v>0</v>
      </c>
      <c r="E127" s="151" t="str">
        <f t="shared" si="4"/>
        <v>GC-04314</v>
      </c>
      <c r="F127" s="151">
        <f>+IF(AND(C127*1&gt;=200,E127="GC-04314"),IF(D127=0,MAX(F$2:F126)+1,0),0)</f>
        <v>26</v>
      </c>
      <c r="H127" s="151" t="s">
        <v>6004</v>
      </c>
      <c r="I127" s="151" t="s">
        <v>6962</v>
      </c>
      <c r="J127" s="151" t="s">
        <v>6962</v>
      </c>
      <c r="K127" s="151">
        <f t="shared" si="5"/>
        <v>0</v>
      </c>
      <c r="L127" s="151" t="s">
        <v>9020</v>
      </c>
    </row>
    <row r="128" spans="1:12" x14ac:dyDescent="0.25">
      <c r="A128" s="151" t="s">
        <v>2251</v>
      </c>
      <c r="B128" s="151" t="s">
        <v>2997</v>
      </c>
      <c r="C128" s="151" t="s">
        <v>3178</v>
      </c>
      <c r="D128" s="151">
        <f t="shared" si="3"/>
        <v>0</v>
      </c>
      <c r="E128" s="151" t="str">
        <f t="shared" si="4"/>
        <v>GC-04314</v>
      </c>
      <c r="F128" s="151">
        <f>+IF(AND(C128*1&gt;=200,E128="GC-04314"),IF(D128=0,MAX(F$2:F127)+1,0),0)</f>
        <v>27</v>
      </c>
      <c r="H128" s="151" t="s">
        <v>6005</v>
      </c>
      <c r="I128" s="151" t="s">
        <v>6962</v>
      </c>
      <c r="J128" s="151" t="s">
        <v>6962</v>
      </c>
      <c r="K128" s="151">
        <f t="shared" si="5"/>
        <v>0</v>
      </c>
      <c r="L128" s="151" t="s">
        <v>9020</v>
      </c>
    </row>
    <row r="129" spans="1:12" x14ac:dyDescent="0.25">
      <c r="A129" s="151" t="s">
        <v>2252</v>
      </c>
      <c r="B129" s="151" t="s">
        <v>2997</v>
      </c>
      <c r="C129" s="151" t="s">
        <v>3179</v>
      </c>
      <c r="D129" s="151">
        <f t="shared" si="3"/>
        <v>0</v>
      </c>
      <c r="E129" s="151" t="str">
        <f t="shared" si="4"/>
        <v>GC-04314</v>
      </c>
      <c r="F129" s="151">
        <f>+IF(AND(C129*1&gt;=200,E129="GC-04314"),IF(D129=0,MAX(F$2:F128)+1,0),0)</f>
        <v>28</v>
      </c>
      <c r="H129" s="151" t="s">
        <v>6006</v>
      </c>
      <c r="I129" s="151" t="s">
        <v>6962</v>
      </c>
      <c r="J129" s="151" t="s">
        <v>6962</v>
      </c>
      <c r="K129" s="151">
        <f t="shared" si="5"/>
        <v>0</v>
      </c>
      <c r="L129" s="151" t="s">
        <v>9020</v>
      </c>
    </row>
    <row r="130" spans="1:12" x14ac:dyDescent="0.25">
      <c r="A130" s="151" t="s">
        <v>2253</v>
      </c>
      <c r="B130" s="151" t="s">
        <v>2997</v>
      </c>
      <c r="C130" s="151" t="s">
        <v>3180</v>
      </c>
      <c r="D130" s="151">
        <f t="shared" ref="D130:D193" si="6">+SUMIFS(K:K,H:H,A130)</f>
        <v>0</v>
      </c>
      <c r="E130" s="151" t="str">
        <f t="shared" ref="E130:E193" si="7">+IF(D130=0,VLOOKUP(A130,$H:$L,5,FALSE),"")</f>
        <v>GC-04314</v>
      </c>
      <c r="F130" s="151">
        <f>+IF(AND(C130*1&gt;=200,E130="GC-04314"),IF(D130=0,MAX(F$2:F129)+1,0),0)</f>
        <v>29</v>
      </c>
      <c r="H130" s="151" t="s">
        <v>6007</v>
      </c>
      <c r="I130" s="151" t="s">
        <v>6962</v>
      </c>
      <c r="J130" s="151" t="s">
        <v>6962</v>
      </c>
      <c r="K130" s="151">
        <f t="shared" si="5"/>
        <v>0</v>
      </c>
      <c r="L130" s="151" t="s">
        <v>9020</v>
      </c>
    </row>
    <row r="131" spans="1:12" x14ac:dyDescent="0.25">
      <c r="A131" s="151" t="s">
        <v>2254</v>
      </c>
      <c r="B131" s="151" t="s">
        <v>2997</v>
      </c>
      <c r="C131" s="151" t="s">
        <v>3181</v>
      </c>
      <c r="D131" s="151">
        <f t="shared" si="6"/>
        <v>0</v>
      </c>
      <c r="E131" s="151" t="str">
        <f t="shared" si="7"/>
        <v>GC-04314</v>
      </c>
      <c r="F131" s="151">
        <f>+IF(AND(C131*1&gt;=200,E131="GC-04314"),IF(D131=0,MAX(F$2:F130)+1,0),0)</f>
        <v>30</v>
      </c>
      <c r="H131" s="151" t="s">
        <v>6008</v>
      </c>
      <c r="I131" s="151" t="s">
        <v>6962</v>
      </c>
      <c r="J131" s="151" t="s">
        <v>6962</v>
      </c>
      <c r="K131" s="151">
        <f t="shared" ref="K131:K194" si="8">+IFERROR(J131*1,0)</f>
        <v>0</v>
      </c>
      <c r="L131" s="151" t="s">
        <v>9020</v>
      </c>
    </row>
    <row r="132" spans="1:12" x14ac:dyDescent="0.25">
      <c r="A132" s="151" t="s">
        <v>2255</v>
      </c>
      <c r="B132" s="151" t="s">
        <v>2997</v>
      </c>
      <c r="C132" s="151" t="s">
        <v>3182</v>
      </c>
      <c r="D132" s="151">
        <f t="shared" si="6"/>
        <v>0</v>
      </c>
      <c r="E132" s="151" t="str">
        <f t="shared" si="7"/>
        <v>GC-04314</v>
      </c>
      <c r="F132" s="151">
        <f>+IF(AND(C132*1&gt;=200,E132="GC-04314"),IF(D132=0,MAX(F$2:F131)+1,0),0)</f>
        <v>31</v>
      </c>
      <c r="H132" s="151" t="s">
        <v>6009</v>
      </c>
      <c r="I132" s="151" t="s">
        <v>6962</v>
      </c>
      <c r="J132" s="151" t="s">
        <v>6962</v>
      </c>
      <c r="K132" s="151">
        <f t="shared" si="8"/>
        <v>0</v>
      </c>
      <c r="L132" s="151" t="s">
        <v>9020</v>
      </c>
    </row>
    <row r="133" spans="1:12" x14ac:dyDescent="0.25">
      <c r="A133" s="151" t="s">
        <v>2256</v>
      </c>
      <c r="B133" s="151" t="s">
        <v>2997</v>
      </c>
      <c r="C133" s="151" t="s">
        <v>3183</v>
      </c>
      <c r="D133" s="151">
        <f t="shared" si="6"/>
        <v>0</v>
      </c>
      <c r="E133" s="151" t="str">
        <f t="shared" si="7"/>
        <v>GC-04314</v>
      </c>
      <c r="F133" s="151">
        <f>+IF(AND(C133*1&gt;=200,E133="GC-04314"),IF(D133=0,MAX(F$2:F132)+1,0),0)</f>
        <v>32</v>
      </c>
      <c r="H133" s="151" t="s">
        <v>6010</v>
      </c>
      <c r="I133" s="151" t="s">
        <v>6962</v>
      </c>
      <c r="J133" s="151" t="s">
        <v>6962</v>
      </c>
      <c r="K133" s="151">
        <f t="shared" si="8"/>
        <v>0</v>
      </c>
      <c r="L133" s="151" t="s">
        <v>9020</v>
      </c>
    </row>
    <row r="134" spans="1:12" x14ac:dyDescent="0.25">
      <c r="A134" s="151" t="s">
        <v>2257</v>
      </c>
      <c r="B134" s="151" t="s">
        <v>2997</v>
      </c>
      <c r="C134" s="151" t="s">
        <v>3184</v>
      </c>
      <c r="D134" s="151">
        <f t="shared" si="6"/>
        <v>0</v>
      </c>
      <c r="E134" s="151" t="str">
        <f t="shared" si="7"/>
        <v>GC-04314</v>
      </c>
      <c r="F134" s="151">
        <f>+IF(AND(C134*1&gt;=200,E134="GC-04314"),IF(D134=0,MAX(F$2:F133)+1,0),0)</f>
        <v>33</v>
      </c>
      <c r="H134" s="151" t="s">
        <v>6011</v>
      </c>
      <c r="I134" s="151" t="s">
        <v>6962</v>
      </c>
      <c r="J134" s="151" t="s">
        <v>6962</v>
      </c>
      <c r="K134" s="151">
        <f t="shared" si="8"/>
        <v>0</v>
      </c>
      <c r="L134" s="151" t="s">
        <v>9020</v>
      </c>
    </row>
    <row r="135" spans="1:12" x14ac:dyDescent="0.25">
      <c r="A135" s="151" t="s">
        <v>2258</v>
      </c>
      <c r="B135" s="151" t="s">
        <v>2997</v>
      </c>
      <c r="C135" s="151" t="s">
        <v>3185</v>
      </c>
      <c r="D135" s="151">
        <f t="shared" si="6"/>
        <v>0</v>
      </c>
      <c r="E135" s="151" t="str">
        <f t="shared" si="7"/>
        <v>GC-04314</v>
      </c>
      <c r="F135" s="151">
        <f>+IF(AND(C135*1&gt;=200,E135="GC-04314"),IF(D135=0,MAX(F$2:F134)+1,0),0)</f>
        <v>34</v>
      </c>
      <c r="H135" s="151" t="s">
        <v>6012</v>
      </c>
      <c r="I135" s="151" t="s">
        <v>6962</v>
      </c>
      <c r="J135" s="151" t="s">
        <v>6962</v>
      </c>
      <c r="K135" s="151">
        <f t="shared" si="8"/>
        <v>0</v>
      </c>
      <c r="L135" s="151" t="s">
        <v>9020</v>
      </c>
    </row>
    <row r="136" spans="1:12" x14ac:dyDescent="0.25">
      <c r="A136" s="151" t="s">
        <v>2259</v>
      </c>
      <c r="B136" s="151" t="s">
        <v>2997</v>
      </c>
      <c r="C136" s="151" t="s">
        <v>3186</v>
      </c>
      <c r="D136" s="151">
        <f t="shared" si="6"/>
        <v>0</v>
      </c>
      <c r="E136" s="151" t="str">
        <f t="shared" si="7"/>
        <v>GC-04314</v>
      </c>
      <c r="F136" s="151">
        <f>+IF(AND(C136*1&gt;=200,E136="GC-04314"),IF(D136=0,MAX(F$2:F135)+1,0),0)</f>
        <v>35</v>
      </c>
      <c r="H136" s="151" t="s">
        <v>6013</v>
      </c>
      <c r="I136" s="151" t="s">
        <v>6962</v>
      </c>
      <c r="J136" s="151" t="s">
        <v>6962</v>
      </c>
      <c r="K136" s="151">
        <f t="shared" si="8"/>
        <v>0</v>
      </c>
      <c r="L136" s="151" t="s">
        <v>9020</v>
      </c>
    </row>
    <row r="137" spans="1:12" x14ac:dyDescent="0.25">
      <c r="A137" s="151" t="s">
        <v>2260</v>
      </c>
      <c r="B137" s="151" t="s">
        <v>2997</v>
      </c>
      <c r="C137" s="151" t="s">
        <v>3187</v>
      </c>
      <c r="D137" s="151">
        <f t="shared" si="6"/>
        <v>0</v>
      </c>
      <c r="E137" s="151" t="str">
        <f t="shared" si="7"/>
        <v>GC-04314</v>
      </c>
      <c r="F137" s="151">
        <f>+IF(AND(C137*1&gt;=200,E137="GC-04314"),IF(D137=0,MAX(F$2:F136)+1,0),0)</f>
        <v>36</v>
      </c>
      <c r="H137" s="151" t="s">
        <v>6014</v>
      </c>
      <c r="I137" s="151" t="s">
        <v>6962</v>
      </c>
      <c r="J137" s="151" t="s">
        <v>6962</v>
      </c>
      <c r="K137" s="151">
        <f t="shared" si="8"/>
        <v>0</v>
      </c>
      <c r="L137" s="151" t="s">
        <v>9020</v>
      </c>
    </row>
    <row r="138" spans="1:12" x14ac:dyDescent="0.25">
      <c r="A138" s="151" t="s">
        <v>2261</v>
      </c>
      <c r="B138" s="151" t="s">
        <v>2997</v>
      </c>
      <c r="C138" s="151" t="s">
        <v>3188</v>
      </c>
      <c r="D138" s="151">
        <f t="shared" si="6"/>
        <v>0</v>
      </c>
      <c r="E138" s="151" t="str">
        <f t="shared" si="7"/>
        <v>GC-04314</v>
      </c>
      <c r="F138" s="151">
        <f>+IF(AND(C138*1&gt;=200,E138="GC-04314"),IF(D138=0,MAX(F$2:F137)+1,0),0)</f>
        <v>37</v>
      </c>
      <c r="H138" s="151" t="s">
        <v>6015</v>
      </c>
      <c r="I138" s="151" t="s">
        <v>6962</v>
      </c>
      <c r="J138" s="151" t="s">
        <v>6962</v>
      </c>
      <c r="K138" s="151">
        <f t="shared" si="8"/>
        <v>0</v>
      </c>
      <c r="L138" s="151" t="s">
        <v>9020</v>
      </c>
    </row>
    <row r="139" spans="1:12" x14ac:dyDescent="0.25">
      <c r="A139" s="151" t="s">
        <v>2262</v>
      </c>
      <c r="B139" s="151" t="s">
        <v>2997</v>
      </c>
      <c r="C139" s="151" t="s">
        <v>3189</v>
      </c>
      <c r="D139" s="151">
        <f t="shared" si="6"/>
        <v>0</v>
      </c>
      <c r="E139" s="151" t="str">
        <f t="shared" si="7"/>
        <v>GC-04314</v>
      </c>
      <c r="F139" s="151">
        <f>+IF(AND(C139*1&gt;=200,E139="GC-04314"),IF(D139=0,MAX(F$2:F138)+1,0),0)</f>
        <v>38</v>
      </c>
      <c r="H139" s="151" t="s">
        <v>6016</v>
      </c>
      <c r="I139" s="151" t="s">
        <v>6962</v>
      </c>
      <c r="J139" s="151" t="s">
        <v>6962</v>
      </c>
      <c r="K139" s="151">
        <f t="shared" si="8"/>
        <v>0</v>
      </c>
      <c r="L139" s="151" t="s">
        <v>9020</v>
      </c>
    </row>
    <row r="140" spans="1:12" x14ac:dyDescent="0.25">
      <c r="A140" s="151" t="s">
        <v>2263</v>
      </c>
      <c r="B140" s="151" t="s">
        <v>2997</v>
      </c>
      <c r="C140" s="151" t="s">
        <v>3190</v>
      </c>
      <c r="D140" s="151">
        <f t="shared" si="6"/>
        <v>0</v>
      </c>
      <c r="E140" s="151" t="str">
        <f t="shared" si="7"/>
        <v>GC-04314</v>
      </c>
      <c r="F140" s="151">
        <f>+IF(AND(C140*1&gt;=200,E140="GC-04314"),IF(D140=0,MAX(F$2:F139)+1,0),0)</f>
        <v>39</v>
      </c>
      <c r="H140" s="151" t="s">
        <v>6017</v>
      </c>
      <c r="I140" s="151" t="s">
        <v>6962</v>
      </c>
      <c r="J140" s="151" t="s">
        <v>6962</v>
      </c>
      <c r="K140" s="151">
        <f t="shared" si="8"/>
        <v>0</v>
      </c>
      <c r="L140" s="151" t="s">
        <v>9020</v>
      </c>
    </row>
    <row r="141" spans="1:12" x14ac:dyDescent="0.25">
      <c r="A141" s="151" t="s">
        <v>2264</v>
      </c>
      <c r="B141" s="151" t="s">
        <v>2997</v>
      </c>
      <c r="C141" s="151" t="s">
        <v>3191</v>
      </c>
      <c r="D141" s="151">
        <f t="shared" si="6"/>
        <v>0</v>
      </c>
      <c r="E141" s="151" t="str">
        <f t="shared" si="7"/>
        <v>GC-04314</v>
      </c>
      <c r="F141" s="151">
        <f>+IF(AND(C141*1&gt;=200,E141="GC-04314"),IF(D141=0,MAX(F$2:F140)+1,0),0)</f>
        <v>40</v>
      </c>
      <c r="H141" s="151" t="s">
        <v>6018</v>
      </c>
      <c r="I141" s="151" t="s">
        <v>6962</v>
      </c>
      <c r="J141" s="151" t="s">
        <v>6962</v>
      </c>
      <c r="K141" s="151">
        <f t="shared" si="8"/>
        <v>0</v>
      </c>
      <c r="L141" s="151" t="s">
        <v>9020</v>
      </c>
    </row>
    <row r="142" spans="1:12" x14ac:dyDescent="0.25">
      <c r="A142" s="151" t="s">
        <v>2265</v>
      </c>
      <c r="B142" s="151" t="s">
        <v>2997</v>
      </c>
      <c r="C142" s="151" t="s">
        <v>3192</v>
      </c>
      <c r="D142" s="151">
        <f t="shared" si="6"/>
        <v>0</v>
      </c>
      <c r="E142" s="151" t="str">
        <f t="shared" si="7"/>
        <v>GC-04314</v>
      </c>
      <c r="F142" s="151">
        <f>+IF(AND(C142*1&gt;=200,E142="GC-04314"),IF(D142=0,MAX(F$2:F141)+1,0),0)</f>
        <v>41</v>
      </c>
      <c r="H142" s="151" t="s">
        <v>6019</v>
      </c>
      <c r="I142" s="151" t="s">
        <v>6962</v>
      </c>
      <c r="J142" s="151" t="s">
        <v>6962</v>
      </c>
      <c r="K142" s="151">
        <f t="shared" si="8"/>
        <v>0</v>
      </c>
      <c r="L142" s="151" t="s">
        <v>9020</v>
      </c>
    </row>
    <row r="143" spans="1:12" x14ac:dyDescent="0.25">
      <c r="A143" s="151" t="s">
        <v>2266</v>
      </c>
      <c r="B143" s="151" t="s">
        <v>2997</v>
      </c>
      <c r="C143" s="151" t="s">
        <v>3193</v>
      </c>
      <c r="D143" s="151">
        <f t="shared" si="6"/>
        <v>0</v>
      </c>
      <c r="E143" s="151" t="str">
        <f t="shared" si="7"/>
        <v>GC-04314</v>
      </c>
      <c r="F143" s="151">
        <f>+IF(AND(C143*1&gt;=200,E143="GC-04314"),IF(D143=0,MAX(F$2:F142)+1,0),0)</f>
        <v>42</v>
      </c>
      <c r="H143" s="151" t="s">
        <v>6020</v>
      </c>
      <c r="I143" s="151" t="s">
        <v>6962</v>
      </c>
      <c r="J143" s="151" t="s">
        <v>6962</v>
      </c>
      <c r="K143" s="151">
        <f t="shared" si="8"/>
        <v>0</v>
      </c>
      <c r="L143" s="151" t="s">
        <v>9020</v>
      </c>
    </row>
    <row r="144" spans="1:12" x14ac:dyDescent="0.25">
      <c r="A144" s="151" t="s">
        <v>2267</v>
      </c>
      <c r="B144" s="151" t="s">
        <v>2997</v>
      </c>
      <c r="C144" s="151" t="s">
        <v>3194</v>
      </c>
      <c r="D144" s="151">
        <f t="shared" si="6"/>
        <v>0</v>
      </c>
      <c r="E144" s="151" t="str">
        <f t="shared" si="7"/>
        <v>GC-04314</v>
      </c>
      <c r="F144" s="151">
        <f>+IF(AND(C144*1&gt;=200,E144="GC-04314"),IF(D144=0,MAX(F$2:F143)+1,0),0)</f>
        <v>43</v>
      </c>
      <c r="H144" s="151" t="s">
        <v>6021</v>
      </c>
      <c r="I144" s="151" t="s">
        <v>6962</v>
      </c>
      <c r="J144" s="151" t="s">
        <v>6962</v>
      </c>
      <c r="K144" s="151">
        <f t="shared" si="8"/>
        <v>0</v>
      </c>
      <c r="L144" s="151" t="s">
        <v>9020</v>
      </c>
    </row>
    <row r="145" spans="1:12" x14ac:dyDescent="0.25">
      <c r="A145" s="151" t="s">
        <v>2268</v>
      </c>
      <c r="B145" s="151" t="s">
        <v>2997</v>
      </c>
      <c r="C145" s="151" t="s">
        <v>3195</v>
      </c>
      <c r="D145" s="151">
        <f t="shared" si="6"/>
        <v>0</v>
      </c>
      <c r="E145" s="151" t="str">
        <f t="shared" si="7"/>
        <v>GC-04314</v>
      </c>
      <c r="F145" s="151">
        <f>+IF(AND(C145*1&gt;=200,E145="GC-04314"),IF(D145=0,MAX(F$2:F144)+1,0),0)</f>
        <v>44</v>
      </c>
      <c r="H145" s="151" t="s">
        <v>6022</v>
      </c>
      <c r="I145" s="151" t="s">
        <v>6962</v>
      </c>
      <c r="J145" s="151" t="s">
        <v>6962</v>
      </c>
      <c r="K145" s="151">
        <f t="shared" si="8"/>
        <v>0</v>
      </c>
      <c r="L145" s="151" t="s">
        <v>9020</v>
      </c>
    </row>
    <row r="146" spans="1:12" x14ac:dyDescent="0.25">
      <c r="A146" s="151" t="s">
        <v>2269</v>
      </c>
      <c r="B146" s="151" t="s">
        <v>2997</v>
      </c>
      <c r="C146" s="151" t="s">
        <v>3196</v>
      </c>
      <c r="D146" s="151">
        <f t="shared" si="6"/>
        <v>0</v>
      </c>
      <c r="E146" s="151" t="str">
        <f t="shared" si="7"/>
        <v>GC-04314</v>
      </c>
      <c r="F146" s="151">
        <f>+IF(AND(C146*1&gt;=200,E146="GC-04314"),IF(D146=0,MAX(F$2:F145)+1,0),0)</f>
        <v>45</v>
      </c>
      <c r="H146" s="151" t="s">
        <v>6023</v>
      </c>
      <c r="I146" s="151" t="s">
        <v>6962</v>
      </c>
      <c r="J146" s="151" t="s">
        <v>6962</v>
      </c>
      <c r="K146" s="151">
        <f t="shared" si="8"/>
        <v>0</v>
      </c>
      <c r="L146" s="151" t="s">
        <v>9020</v>
      </c>
    </row>
    <row r="147" spans="1:12" x14ac:dyDescent="0.25">
      <c r="A147" s="151" t="s">
        <v>2270</v>
      </c>
      <c r="B147" s="151" t="s">
        <v>2997</v>
      </c>
      <c r="C147" s="151" t="s">
        <v>3197</v>
      </c>
      <c r="D147" s="151">
        <f t="shared" si="6"/>
        <v>0</v>
      </c>
      <c r="E147" s="151" t="str">
        <f t="shared" si="7"/>
        <v>GC-04314</v>
      </c>
      <c r="F147" s="151">
        <f>+IF(AND(C147*1&gt;=200,E147="GC-04314"),IF(D147=0,MAX(F$2:F146)+1,0),0)</f>
        <v>46</v>
      </c>
      <c r="H147" s="151" t="s">
        <v>6024</v>
      </c>
      <c r="I147" s="151" t="s">
        <v>6962</v>
      </c>
      <c r="J147" s="151" t="s">
        <v>6962</v>
      </c>
      <c r="K147" s="151">
        <f t="shared" si="8"/>
        <v>0</v>
      </c>
      <c r="L147" s="151" t="s">
        <v>9020</v>
      </c>
    </row>
    <row r="148" spans="1:12" x14ac:dyDescent="0.25">
      <c r="A148" s="151" t="s">
        <v>2271</v>
      </c>
      <c r="B148" s="151" t="s">
        <v>2997</v>
      </c>
      <c r="C148" s="151" t="s">
        <v>3198</v>
      </c>
      <c r="D148" s="151">
        <f t="shared" si="6"/>
        <v>0</v>
      </c>
      <c r="E148" s="151" t="str">
        <f t="shared" si="7"/>
        <v>GC-04314</v>
      </c>
      <c r="F148" s="151">
        <f>+IF(AND(C148*1&gt;=200,E148="GC-04314"),IF(D148=0,MAX(F$2:F147)+1,0),0)</f>
        <v>47</v>
      </c>
      <c r="H148" s="151" t="s">
        <v>6025</v>
      </c>
      <c r="I148" s="151" t="s">
        <v>6962</v>
      </c>
      <c r="J148" s="151" t="s">
        <v>6962</v>
      </c>
      <c r="K148" s="151">
        <f t="shared" si="8"/>
        <v>0</v>
      </c>
      <c r="L148" s="151" t="s">
        <v>9020</v>
      </c>
    </row>
    <row r="149" spans="1:12" x14ac:dyDescent="0.25">
      <c r="A149" s="151" t="s">
        <v>2272</v>
      </c>
      <c r="B149" s="151" t="s">
        <v>2997</v>
      </c>
      <c r="C149" s="151" t="s">
        <v>3199</v>
      </c>
      <c r="D149" s="151">
        <f t="shared" si="6"/>
        <v>0</v>
      </c>
      <c r="E149" s="151" t="str">
        <f t="shared" si="7"/>
        <v>GC-04314</v>
      </c>
      <c r="F149" s="151">
        <f>+IF(AND(C149*1&gt;=200,E149="GC-04314"),IF(D149=0,MAX(F$2:F148)+1,0),0)</f>
        <v>48</v>
      </c>
      <c r="H149" s="151" t="s">
        <v>6026</v>
      </c>
      <c r="I149" s="151" t="s">
        <v>6962</v>
      </c>
      <c r="J149" s="151" t="s">
        <v>6962</v>
      </c>
      <c r="K149" s="151">
        <f t="shared" si="8"/>
        <v>0</v>
      </c>
      <c r="L149" s="151" t="s">
        <v>9020</v>
      </c>
    </row>
    <row r="150" spans="1:12" x14ac:dyDescent="0.25">
      <c r="A150" s="151" t="s">
        <v>2273</v>
      </c>
      <c r="B150" s="151" t="s">
        <v>2997</v>
      </c>
      <c r="C150" s="151" t="s">
        <v>3200</v>
      </c>
      <c r="D150" s="151">
        <f t="shared" si="6"/>
        <v>0</v>
      </c>
      <c r="E150" s="151" t="str">
        <f t="shared" si="7"/>
        <v>GC-04314</v>
      </c>
      <c r="F150" s="151">
        <f>+IF(AND(C150*1&gt;=200,E150="GC-04314"),IF(D150=0,MAX(F$2:F149)+1,0),0)</f>
        <v>49</v>
      </c>
      <c r="H150" s="151" t="s">
        <v>6027</v>
      </c>
      <c r="I150" s="151" t="s">
        <v>6962</v>
      </c>
      <c r="J150" s="151" t="s">
        <v>6962</v>
      </c>
      <c r="K150" s="151">
        <f t="shared" si="8"/>
        <v>0</v>
      </c>
      <c r="L150" s="151" t="s">
        <v>9020</v>
      </c>
    </row>
    <row r="151" spans="1:12" x14ac:dyDescent="0.25">
      <c r="A151" s="151" t="s">
        <v>2274</v>
      </c>
      <c r="B151" s="151" t="s">
        <v>2997</v>
      </c>
      <c r="C151" s="151" t="s">
        <v>3201</v>
      </c>
      <c r="D151" s="151">
        <f t="shared" si="6"/>
        <v>0</v>
      </c>
      <c r="E151" s="151" t="str">
        <f t="shared" si="7"/>
        <v>GC-04314</v>
      </c>
      <c r="F151" s="151">
        <f>+IF(AND(C151*1&gt;=200,E151="GC-04314"),IF(D151=0,MAX(F$2:F150)+1,0),0)</f>
        <v>50</v>
      </c>
      <c r="H151" s="151" t="s">
        <v>6028</v>
      </c>
      <c r="I151" s="151" t="s">
        <v>6962</v>
      </c>
      <c r="J151" s="151" t="s">
        <v>6962</v>
      </c>
      <c r="K151" s="151">
        <f t="shared" si="8"/>
        <v>0</v>
      </c>
      <c r="L151" s="151" t="s">
        <v>9020</v>
      </c>
    </row>
    <row r="152" spans="1:12" x14ac:dyDescent="0.25">
      <c r="A152" s="151" t="s">
        <v>2275</v>
      </c>
      <c r="B152" s="151" t="s">
        <v>2997</v>
      </c>
      <c r="C152" s="151" t="s">
        <v>3202</v>
      </c>
      <c r="D152" s="151">
        <f t="shared" si="6"/>
        <v>0</v>
      </c>
      <c r="E152" s="151" t="str">
        <f t="shared" si="7"/>
        <v>GC-04314</v>
      </c>
      <c r="F152" s="151">
        <f>+IF(AND(C152*1&gt;=200,E152="GC-04314"),IF(D152=0,MAX(F$2:F151)+1,0),0)</f>
        <v>51</v>
      </c>
      <c r="H152" s="151" t="s">
        <v>6029</v>
      </c>
      <c r="I152" s="151" t="s">
        <v>6962</v>
      </c>
      <c r="J152" s="151" t="s">
        <v>6962</v>
      </c>
      <c r="K152" s="151">
        <f t="shared" si="8"/>
        <v>0</v>
      </c>
      <c r="L152" s="151" t="s">
        <v>9020</v>
      </c>
    </row>
    <row r="153" spans="1:12" x14ac:dyDescent="0.25">
      <c r="A153" s="151" t="s">
        <v>2276</v>
      </c>
      <c r="B153" s="151" t="s">
        <v>2997</v>
      </c>
      <c r="C153" s="151" t="s">
        <v>3203</v>
      </c>
      <c r="D153" s="151">
        <f t="shared" si="6"/>
        <v>0</v>
      </c>
      <c r="E153" s="151" t="str">
        <f t="shared" si="7"/>
        <v>GC-04314</v>
      </c>
      <c r="F153" s="151">
        <f>+IF(AND(C153*1&gt;=200,E153="GC-04314"),IF(D153=0,MAX(F$2:F152)+1,0),0)</f>
        <v>52</v>
      </c>
      <c r="H153" s="151" t="s">
        <v>6030</v>
      </c>
      <c r="I153" s="151" t="s">
        <v>6962</v>
      </c>
      <c r="J153" s="151" t="s">
        <v>6962</v>
      </c>
      <c r="K153" s="151">
        <f t="shared" si="8"/>
        <v>0</v>
      </c>
      <c r="L153" s="151" t="s">
        <v>9020</v>
      </c>
    </row>
    <row r="154" spans="1:12" x14ac:dyDescent="0.25">
      <c r="A154" s="151" t="s">
        <v>2277</v>
      </c>
      <c r="B154" s="151" t="s">
        <v>2997</v>
      </c>
      <c r="C154" s="151" t="s">
        <v>3204</v>
      </c>
      <c r="D154" s="151">
        <f t="shared" si="6"/>
        <v>0</v>
      </c>
      <c r="E154" s="151" t="str">
        <f t="shared" si="7"/>
        <v>GC-04314</v>
      </c>
      <c r="F154" s="151">
        <f>+IF(AND(C154*1&gt;=200,E154="GC-04314"),IF(D154=0,MAX(F$2:F153)+1,0),0)</f>
        <v>53</v>
      </c>
      <c r="H154" s="151" t="s">
        <v>6031</v>
      </c>
      <c r="I154" s="151" t="s">
        <v>6962</v>
      </c>
      <c r="J154" s="151" t="s">
        <v>6962</v>
      </c>
      <c r="K154" s="151">
        <f t="shared" si="8"/>
        <v>0</v>
      </c>
      <c r="L154" s="151" t="s">
        <v>9020</v>
      </c>
    </row>
    <row r="155" spans="1:12" x14ac:dyDescent="0.25">
      <c r="A155" s="151" t="s">
        <v>2278</v>
      </c>
      <c r="B155" s="151" t="s">
        <v>2997</v>
      </c>
      <c r="C155" s="151" t="s">
        <v>3205</v>
      </c>
      <c r="D155" s="151">
        <f t="shared" si="6"/>
        <v>0</v>
      </c>
      <c r="E155" s="151" t="str">
        <f t="shared" si="7"/>
        <v>GC-04314</v>
      </c>
      <c r="F155" s="151">
        <f>+IF(AND(C155*1&gt;=200,E155="GC-04314"),IF(D155=0,MAX(F$2:F154)+1,0),0)</f>
        <v>54</v>
      </c>
      <c r="H155" s="151" t="s">
        <v>6032</v>
      </c>
      <c r="I155" s="151" t="s">
        <v>6962</v>
      </c>
      <c r="J155" s="151" t="s">
        <v>6962</v>
      </c>
      <c r="K155" s="151">
        <f t="shared" si="8"/>
        <v>0</v>
      </c>
      <c r="L155" s="151" t="s">
        <v>9020</v>
      </c>
    </row>
    <row r="156" spans="1:12" x14ac:dyDescent="0.25">
      <c r="A156" s="151" t="s">
        <v>2279</v>
      </c>
      <c r="B156" s="151" t="s">
        <v>2997</v>
      </c>
      <c r="C156" s="151" t="s">
        <v>3206</v>
      </c>
      <c r="D156" s="151">
        <f t="shared" si="6"/>
        <v>0</v>
      </c>
      <c r="E156" s="151" t="str">
        <f t="shared" si="7"/>
        <v>GC-04314</v>
      </c>
      <c r="F156" s="151">
        <f>+IF(AND(C156*1&gt;=200,E156="GC-04314"),IF(D156=0,MAX(F$2:F155)+1,0),0)</f>
        <v>55</v>
      </c>
      <c r="H156" s="151" t="s">
        <v>6033</v>
      </c>
      <c r="I156" s="151" t="s">
        <v>6962</v>
      </c>
      <c r="J156" s="151" t="s">
        <v>6962</v>
      </c>
      <c r="K156" s="151">
        <f t="shared" si="8"/>
        <v>0</v>
      </c>
      <c r="L156" s="151" t="s">
        <v>9020</v>
      </c>
    </row>
    <row r="157" spans="1:12" x14ac:dyDescent="0.25">
      <c r="A157" s="151" t="s">
        <v>2280</v>
      </c>
      <c r="B157" s="151" t="s">
        <v>2997</v>
      </c>
      <c r="C157" s="151" t="s">
        <v>3207</v>
      </c>
      <c r="D157" s="151">
        <f t="shared" si="6"/>
        <v>0</v>
      </c>
      <c r="E157" s="151" t="str">
        <f t="shared" si="7"/>
        <v>GC-04314</v>
      </c>
      <c r="F157" s="151">
        <f>+IF(AND(C157*1&gt;=200,E157="GC-04314"),IF(D157=0,MAX(F$2:F156)+1,0),0)</f>
        <v>56</v>
      </c>
      <c r="H157" s="151" t="s">
        <v>6034</v>
      </c>
      <c r="I157" s="151" t="s">
        <v>6962</v>
      </c>
      <c r="J157" s="151" t="s">
        <v>6962</v>
      </c>
      <c r="K157" s="151">
        <f t="shared" si="8"/>
        <v>0</v>
      </c>
      <c r="L157" s="151" t="s">
        <v>9020</v>
      </c>
    </row>
    <row r="158" spans="1:12" x14ac:dyDescent="0.25">
      <c r="A158" s="151" t="s">
        <v>2281</v>
      </c>
      <c r="B158" s="151" t="s">
        <v>2997</v>
      </c>
      <c r="C158" s="151" t="s">
        <v>3208</v>
      </c>
      <c r="D158" s="151">
        <f t="shared" si="6"/>
        <v>0</v>
      </c>
      <c r="E158" s="151" t="str">
        <f t="shared" si="7"/>
        <v>GC-04314</v>
      </c>
      <c r="F158" s="151">
        <f>+IF(AND(C158*1&gt;=200,E158="GC-04314"),IF(D158=0,MAX(F$2:F157)+1,0),0)</f>
        <v>57</v>
      </c>
      <c r="H158" s="151" t="s">
        <v>6035</v>
      </c>
      <c r="I158" s="151" t="s">
        <v>6962</v>
      </c>
      <c r="J158" s="151" t="s">
        <v>6962</v>
      </c>
      <c r="K158" s="151">
        <f t="shared" si="8"/>
        <v>0</v>
      </c>
      <c r="L158" s="151" t="s">
        <v>9020</v>
      </c>
    </row>
    <row r="159" spans="1:12" x14ac:dyDescent="0.25">
      <c r="A159" s="151" t="s">
        <v>2282</v>
      </c>
      <c r="B159" s="151" t="s">
        <v>2997</v>
      </c>
      <c r="C159" s="151" t="s">
        <v>3209</v>
      </c>
      <c r="D159" s="151">
        <f t="shared" si="6"/>
        <v>0</v>
      </c>
      <c r="E159" s="151" t="str">
        <f t="shared" si="7"/>
        <v>GC-04314</v>
      </c>
      <c r="F159" s="151">
        <f>+IF(AND(C159*1&gt;=200,E159="GC-04314"),IF(D159=0,MAX(F$2:F158)+1,0),0)</f>
        <v>58</v>
      </c>
      <c r="H159" s="151" t="s">
        <v>6036</v>
      </c>
      <c r="I159" s="151" t="s">
        <v>6962</v>
      </c>
      <c r="J159" s="151" t="s">
        <v>6962</v>
      </c>
      <c r="K159" s="151">
        <f t="shared" si="8"/>
        <v>0</v>
      </c>
      <c r="L159" s="151" t="s">
        <v>9020</v>
      </c>
    </row>
    <row r="160" spans="1:12" x14ac:dyDescent="0.25">
      <c r="A160" s="151" t="s">
        <v>2283</v>
      </c>
      <c r="B160" s="151" t="s">
        <v>2997</v>
      </c>
      <c r="C160" s="151" t="s">
        <v>3210</v>
      </c>
      <c r="D160" s="151">
        <f t="shared" si="6"/>
        <v>0</v>
      </c>
      <c r="E160" s="151" t="str">
        <f t="shared" si="7"/>
        <v>GC-04314</v>
      </c>
      <c r="F160" s="151">
        <f>+IF(AND(C160*1&gt;=200,E160="GC-04314"),IF(D160=0,MAX(F$2:F159)+1,0),0)</f>
        <v>59</v>
      </c>
      <c r="H160" s="151" t="s">
        <v>6037</v>
      </c>
      <c r="I160" s="151" t="s">
        <v>6962</v>
      </c>
      <c r="J160" s="151" t="s">
        <v>6962</v>
      </c>
      <c r="K160" s="151">
        <f t="shared" si="8"/>
        <v>0</v>
      </c>
      <c r="L160" s="151" t="s">
        <v>9020</v>
      </c>
    </row>
    <row r="161" spans="1:12" x14ac:dyDescent="0.25">
      <c r="A161" s="151" t="s">
        <v>2284</v>
      </c>
      <c r="B161" s="151" t="s">
        <v>2997</v>
      </c>
      <c r="C161" s="151" t="s">
        <v>3211</v>
      </c>
      <c r="D161" s="151">
        <f t="shared" si="6"/>
        <v>0</v>
      </c>
      <c r="E161" s="151" t="str">
        <f t="shared" si="7"/>
        <v>GC-04314</v>
      </c>
      <c r="F161" s="151">
        <f>+IF(AND(C161*1&gt;=200,E161="GC-04314"),IF(D161=0,MAX(F$2:F160)+1,0),0)</f>
        <v>60</v>
      </c>
      <c r="H161" s="151" t="s">
        <v>6038</v>
      </c>
      <c r="I161" s="151" t="s">
        <v>6962</v>
      </c>
      <c r="J161" s="151" t="s">
        <v>6962</v>
      </c>
      <c r="K161" s="151">
        <f t="shared" si="8"/>
        <v>0</v>
      </c>
      <c r="L161" s="151" t="s">
        <v>9020</v>
      </c>
    </row>
    <row r="162" spans="1:12" x14ac:dyDescent="0.25">
      <c r="A162" s="151" t="s">
        <v>2285</v>
      </c>
      <c r="B162" s="151" t="s">
        <v>2997</v>
      </c>
      <c r="C162" s="151" t="s">
        <v>3212</v>
      </c>
      <c r="D162" s="151">
        <f t="shared" si="6"/>
        <v>0</v>
      </c>
      <c r="E162" s="151" t="str">
        <f t="shared" si="7"/>
        <v>GC-04314</v>
      </c>
      <c r="F162" s="151">
        <f>+IF(AND(C162*1&gt;=200,E162="GC-04314"),IF(D162=0,MAX(F$2:F161)+1,0),0)</f>
        <v>61</v>
      </c>
      <c r="H162" s="151" t="s">
        <v>6039</v>
      </c>
      <c r="I162" s="151" t="s">
        <v>6962</v>
      </c>
      <c r="J162" s="151" t="s">
        <v>6962</v>
      </c>
      <c r="K162" s="151">
        <f t="shared" si="8"/>
        <v>0</v>
      </c>
      <c r="L162" s="151" t="s">
        <v>9020</v>
      </c>
    </row>
    <row r="163" spans="1:12" x14ac:dyDescent="0.25">
      <c r="A163" s="151" t="s">
        <v>2286</v>
      </c>
      <c r="B163" s="151" t="s">
        <v>2997</v>
      </c>
      <c r="C163" s="151" t="s">
        <v>3213</v>
      </c>
      <c r="D163" s="151">
        <f t="shared" si="6"/>
        <v>0</v>
      </c>
      <c r="E163" s="151" t="str">
        <f t="shared" si="7"/>
        <v>GC-04314</v>
      </c>
      <c r="F163" s="151">
        <f>+IF(AND(C163*1&gt;=200,E163="GC-04314"),IF(D163=0,MAX(F$2:F162)+1,0),0)</f>
        <v>62</v>
      </c>
      <c r="H163" s="151" t="s">
        <v>6040</v>
      </c>
      <c r="I163" s="151" t="s">
        <v>6962</v>
      </c>
      <c r="J163" s="151" t="s">
        <v>6962</v>
      </c>
      <c r="K163" s="151">
        <f t="shared" si="8"/>
        <v>0</v>
      </c>
      <c r="L163" s="151" t="s">
        <v>9020</v>
      </c>
    </row>
    <row r="164" spans="1:12" x14ac:dyDescent="0.25">
      <c r="A164" s="151" t="s">
        <v>2287</v>
      </c>
      <c r="B164" s="151" t="s">
        <v>2997</v>
      </c>
      <c r="C164" s="151" t="s">
        <v>3214</v>
      </c>
      <c r="D164" s="151">
        <f t="shared" si="6"/>
        <v>0</v>
      </c>
      <c r="E164" s="151" t="str">
        <f t="shared" si="7"/>
        <v>GC-04314</v>
      </c>
      <c r="F164" s="151">
        <f>+IF(AND(C164*1&gt;=200,E164="GC-04314"),IF(D164=0,MAX(F$2:F163)+1,0),0)</f>
        <v>63</v>
      </c>
      <c r="H164" s="151" t="s">
        <v>6041</v>
      </c>
      <c r="I164" s="151" t="s">
        <v>6962</v>
      </c>
      <c r="J164" s="151" t="s">
        <v>6962</v>
      </c>
      <c r="K164" s="151">
        <f t="shared" si="8"/>
        <v>0</v>
      </c>
      <c r="L164" s="151" t="s">
        <v>9020</v>
      </c>
    </row>
    <row r="165" spans="1:12" x14ac:dyDescent="0.25">
      <c r="A165" s="151" t="s">
        <v>2288</v>
      </c>
      <c r="B165" s="151" t="s">
        <v>2997</v>
      </c>
      <c r="C165" s="151" t="s">
        <v>3215</v>
      </c>
      <c r="D165" s="151">
        <f t="shared" si="6"/>
        <v>0</v>
      </c>
      <c r="E165" s="151" t="str">
        <f t="shared" si="7"/>
        <v>GC-04314</v>
      </c>
      <c r="F165" s="151">
        <f>+IF(AND(C165*1&gt;=200,E165="GC-04314"),IF(D165=0,MAX(F$2:F164)+1,0),0)</f>
        <v>64</v>
      </c>
      <c r="H165" s="151" t="s">
        <v>6042</v>
      </c>
      <c r="I165" s="151" t="s">
        <v>6962</v>
      </c>
      <c r="J165" s="151" t="s">
        <v>6962</v>
      </c>
      <c r="K165" s="151">
        <f t="shared" si="8"/>
        <v>0</v>
      </c>
      <c r="L165" s="151" t="s">
        <v>9020</v>
      </c>
    </row>
    <row r="166" spans="1:12" x14ac:dyDescent="0.25">
      <c r="A166" s="151" t="s">
        <v>2289</v>
      </c>
      <c r="B166" s="151" t="s">
        <v>2997</v>
      </c>
      <c r="C166" s="151" t="s">
        <v>3216</v>
      </c>
      <c r="D166" s="151">
        <f t="shared" si="6"/>
        <v>0</v>
      </c>
      <c r="E166" s="151" t="str">
        <f t="shared" si="7"/>
        <v>GC-04314</v>
      </c>
      <c r="F166" s="151">
        <f>+IF(AND(C166*1&gt;=200,E166="GC-04314"),IF(D166=0,MAX(F$2:F165)+1,0),0)</f>
        <v>65</v>
      </c>
      <c r="H166" s="151" t="s">
        <v>6043</v>
      </c>
      <c r="I166" s="151" t="s">
        <v>6962</v>
      </c>
      <c r="J166" s="151" t="s">
        <v>6962</v>
      </c>
      <c r="K166" s="151">
        <f t="shared" si="8"/>
        <v>0</v>
      </c>
      <c r="L166" s="151" t="s">
        <v>9020</v>
      </c>
    </row>
    <row r="167" spans="1:12" x14ac:dyDescent="0.25">
      <c r="A167" s="151" t="s">
        <v>2290</v>
      </c>
      <c r="B167" s="151" t="s">
        <v>2997</v>
      </c>
      <c r="C167" s="151" t="s">
        <v>3217</v>
      </c>
      <c r="D167" s="151">
        <f t="shared" si="6"/>
        <v>0</v>
      </c>
      <c r="E167" s="151" t="str">
        <f t="shared" si="7"/>
        <v>GC-04314</v>
      </c>
      <c r="F167" s="151">
        <f>+IF(AND(C167*1&gt;=200,E167="GC-04314"),IF(D167=0,MAX(F$2:F166)+1,0),0)</f>
        <v>66</v>
      </c>
      <c r="H167" s="151" t="s">
        <v>6044</v>
      </c>
      <c r="I167" s="151" t="s">
        <v>6962</v>
      </c>
      <c r="J167" s="151" t="s">
        <v>6962</v>
      </c>
      <c r="K167" s="151">
        <f t="shared" si="8"/>
        <v>0</v>
      </c>
      <c r="L167" s="151" t="s">
        <v>9020</v>
      </c>
    </row>
    <row r="168" spans="1:12" x14ac:dyDescent="0.25">
      <c r="A168" s="151" t="s">
        <v>2291</v>
      </c>
      <c r="B168" s="151" t="s">
        <v>2997</v>
      </c>
      <c r="C168" s="151" t="s">
        <v>3218</v>
      </c>
      <c r="D168" s="151">
        <f t="shared" si="6"/>
        <v>0</v>
      </c>
      <c r="E168" s="151" t="str">
        <f t="shared" si="7"/>
        <v>GC-04314</v>
      </c>
      <c r="F168" s="151">
        <f>+IF(AND(C168*1&gt;=200,E168="GC-04314"),IF(D168=0,MAX(F$2:F167)+1,0),0)</f>
        <v>67</v>
      </c>
      <c r="H168" s="151" t="s">
        <v>6045</v>
      </c>
      <c r="I168" s="151" t="s">
        <v>6962</v>
      </c>
      <c r="J168" s="151" t="s">
        <v>6962</v>
      </c>
      <c r="K168" s="151">
        <f t="shared" si="8"/>
        <v>0</v>
      </c>
      <c r="L168" s="151" t="s">
        <v>9020</v>
      </c>
    </row>
    <row r="169" spans="1:12" x14ac:dyDescent="0.25">
      <c r="A169" s="151" t="s">
        <v>2292</v>
      </c>
      <c r="B169" s="151" t="s">
        <v>2997</v>
      </c>
      <c r="C169" s="151" t="s">
        <v>3219</v>
      </c>
      <c r="D169" s="151">
        <f t="shared" si="6"/>
        <v>0</v>
      </c>
      <c r="E169" s="151" t="str">
        <f t="shared" si="7"/>
        <v>GC-04314</v>
      </c>
      <c r="F169" s="151">
        <f>+IF(AND(C169*1&gt;=200,E169="GC-04314"),IF(D169=0,MAX(F$2:F168)+1,0),0)</f>
        <v>68</v>
      </c>
      <c r="H169" s="151" t="s">
        <v>6046</v>
      </c>
      <c r="I169" s="151" t="s">
        <v>6962</v>
      </c>
      <c r="J169" s="151" t="s">
        <v>6962</v>
      </c>
      <c r="K169" s="151">
        <f t="shared" si="8"/>
        <v>0</v>
      </c>
      <c r="L169" s="151" t="s">
        <v>9020</v>
      </c>
    </row>
    <row r="170" spans="1:12" x14ac:dyDescent="0.25">
      <c r="A170" s="151" t="s">
        <v>2293</v>
      </c>
      <c r="B170" s="151" t="s">
        <v>2997</v>
      </c>
      <c r="C170" s="151" t="s">
        <v>3220</v>
      </c>
      <c r="D170" s="151">
        <f t="shared" si="6"/>
        <v>0</v>
      </c>
      <c r="E170" s="151" t="str">
        <f t="shared" si="7"/>
        <v>GC-04314</v>
      </c>
      <c r="F170" s="151">
        <f>+IF(AND(C170*1&gt;=200,E170="GC-04314"),IF(D170=0,MAX(F$2:F169)+1,0),0)</f>
        <v>69</v>
      </c>
      <c r="H170" s="151" t="s">
        <v>6047</v>
      </c>
      <c r="I170" s="151" t="s">
        <v>6962</v>
      </c>
      <c r="J170" s="151" t="s">
        <v>6962</v>
      </c>
      <c r="K170" s="151">
        <f t="shared" si="8"/>
        <v>0</v>
      </c>
      <c r="L170" s="151" t="s">
        <v>9020</v>
      </c>
    </row>
    <row r="171" spans="1:12" x14ac:dyDescent="0.25">
      <c r="A171" s="151" t="s">
        <v>2294</v>
      </c>
      <c r="B171" s="151" t="s">
        <v>2997</v>
      </c>
      <c r="C171" s="151" t="s">
        <v>3221</v>
      </c>
      <c r="D171" s="151">
        <f t="shared" si="6"/>
        <v>0</v>
      </c>
      <c r="E171" s="151" t="str">
        <f t="shared" si="7"/>
        <v>GC-04314</v>
      </c>
      <c r="F171" s="151">
        <f>+IF(AND(C171*1&gt;=200,E171="GC-04314"),IF(D171=0,MAX(F$2:F170)+1,0),0)</f>
        <v>70</v>
      </c>
      <c r="H171" s="151" t="s">
        <v>6048</v>
      </c>
      <c r="I171" s="151" t="s">
        <v>6962</v>
      </c>
      <c r="J171" s="151" t="s">
        <v>6962</v>
      </c>
      <c r="K171" s="151">
        <f t="shared" si="8"/>
        <v>0</v>
      </c>
      <c r="L171" s="151" t="s">
        <v>9020</v>
      </c>
    </row>
    <row r="172" spans="1:12" x14ac:dyDescent="0.25">
      <c r="A172" s="151" t="s">
        <v>2295</v>
      </c>
      <c r="B172" s="151" t="s">
        <v>2997</v>
      </c>
      <c r="C172" s="151" t="s">
        <v>3222</v>
      </c>
      <c r="D172" s="151">
        <f t="shared" si="6"/>
        <v>0</v>
      </c>
      <c r="E172" s="151" t="str">
        <f t="shared" si="7"/>
        <v>GC-04314</v>
      </c>
      <c r="F172" s="151">
        <f>+IF(AND(C172*1&gt;=200,E172="GC-04314"),IF(D172=0,MAX(F$2:F171)+1,0),0)</f>
        <v>71</v>
      </c>
      <c r="H172" s="151" t="s">
        <v>6049</v>
      </c>
      <c r="I172" s="151" t="s">
        <v>6962</v>
      </c>
      <c r="J172" s="151" t="s">
        <v>6962</v>
      </c>
      <c r="K172" s="151">
        <f t="shared" si="8"/>
        <v>0</v>
      </c>
      <c r="L172" s="151" t="s">
        <v>9020</v>
      </c>
    </row>
    <row r="173" spans="1:12" x14ac:dyDescent="0.25">
      <c r="A173" s="151" t="s">
        <v>2296</v>
      </c>
      <c r="B173" s="151" t="s">
        <v>2997</v>
      </c>
      <c r="C173" s="151" t="s">
        <v>3223</v>
      </c>
      <c r="D173" s="151">
        <f t="shared" si="6"/>
        <v>0</v>
      </c>
      <c r="E173" s="151" t="str">
        <f t="shared" si="7"/>
        <v>GC-04314</v>
      </c>
      <c r="F173" s="151">
        <f>+IF(AND(C173*1&gt;=200,E173="GC-04314"),IF(D173=0,MAX(F$2:F172)+1,0),0)</f>
        <v>72</v>
      </c>
      <c r="H173" s="151" t="s">
        <v>6050</v>
      </c>
      <c r="I173" s="151" t="s">
        <v>6962</v>
      </c>
      <c r="J173" s="151" t="s">
        <v>6962</v>
      </c>
      <c r="K173" s="151">
        <f t="shared" si="8"/>
        <v>0</v>
      </c>
      <c r="L173" s="151" t="s">
        <v>9020</v>
      </c>
    </row>
    <row r="174" spans="1:12" x14ac:dyDescent="0.25">
      <c r="A174" s="151" t="s">
        <v>2297</v>
      </c>
      <c r="B174" s="151" t="s">
        <v>2997</v>
      </c>
      <c r="C174" s="151" t="s">
        <v>3224</v>
      </c>
      <c r="D174" s="151">
        <f t="shared" si="6"/>
        <v>0</v>
      </c>
      <c r="E174" s="151" t="str">
        <f t="shared" si="7"/>
        <v>GC-04314</v>
      </c>
      <c r="F174" s="151">
        <f>+IF(AND(C174*1&gt;=200,E174="GC-04314"),IF(D174=0,MAX(F$2:F173)+1,0),0)</f>
        <v>73</v>
      </c>
      <c r="H174" s="151" t="s">
        <v>6051</v>
      </c>
      <c r="I174" s="151" t="s">
        <v>6962</v>
      </c>
      <c r="J174" s="151" t="s">
        <v>6962</v>
      </c>
      <c r="K174" s="151">
        <f t="shared" si="8"/>
        <v>0</v>
      </c>
      <c r="L174" s="151" t="s">
        <v>9020</v>
      </c>
    </row>
    <row r="175" spans="1:12" x14ac:dyDescent="0.25">
      <c r="A175" s="151" t="s">
        <v>2298</v>
      </c>
      <c r="B175" s="151" t="s">
        <v>2997</v>
      </c>
      <c r="C175" s="151" t="s">
        <v>3225</v>
      </c>
      <c r="D175" s="151">
        <f t="shared" si="6"/>
        <v>0</v>
      </c>
      <c r="E175" s="151" t="str">
        <f t="shared" si="7"/>
        <v>GC-04314</v>
      </c>
      <c r="F175" s="151">
        <f>+IF(AND(C175*1&gt;=200,E175="GC-04314"),IF(D175=0,MAX(F$2:F174)+1,0),0)</f>
        <v>74</v>
      </c>
      <c r="H175" s="151" t="s">
        <v>6052</v>
      </c>
      <c r="I175" s="151" t="s">
        <v>6962</v>
      </c>
      <c r="J175" s="151" t="s">
        <v>6962</v>
      </c>
      <c r="K175" s="151">
        <f t="shared" si="8"/>
        <v>0</v>
      </c>
      <c r="L175" s="151" t="s">
        <v>9020</v>
      </c>
    </row>
    <row r="176" spans="1:12" x14ac:dyDescent="0.25">
      <c r="A176" s="151" t="s">
        <v>2299</v>
      </c>
      <c r="B176" s="151" t="s">
        <v>2997</v>
      </c>
      <c r="C176" s="151" t="s">
        <v>3226</v>
      </c>
      <c r="D176" s="151">
        <f t="shared" si="6"/>
        <v>0</v>
      </c>
      <c r="E176" s="151" t="str">
        <f t="shared" si="7"/>
        <v>GC-04314</v>
      </c>
      <c r="F176" s="151">
        <f>+IF(AND(C176*1&gt;=200,E176="GC-04314"),IF(D176=0,MAX(F$2:F175)+1,0),0)</f>
        <v>75</v>
      </c>
      <c r="H176" s="151" t="s">
        <v>6053</v>
      </c>
      <c r="I176" s="151" t="s">
        <v>6962</v>
      </c>
      <c r="J176" s="151" t="s">
        <v>6962</v>
      </c>
      <c r="K176" s="151">
        <f t="shared" si="8"/>
        <v>0</v>
      </c>
      <c r="L176" s="151" t="s">
        <v>9020</v>
      </c>
    </row>
    <row r="177" spans="1:12" x14ac:dyDescent="0.25">
      <c r="A177" s="151" t="s">
        <v>2300</v>
      </c>
      <c r="B177" s="151" t="s">
        <v>2997</v>
      </c>
      <c r="C177" s="151" t="s">
        <v>3227</v>
      </c>
      <c r="D177" s="151">
        <f t="shared" si="6"/>
        <v>0</v>
      </c>
      <c r="E177" s="151" t="str">
        <f t="shared" si="7"/>
        <v>GC-04314</v>
      </c>
      <c r="F177" s="151">
        <f>+IF(AND(C177*1&gt;=200,E177="GC-04314"),IF(D177=0,MAX(F$2:F176)+1,0),0)</f>
        <v>76</v>
      </c>
      <c r="H177" s="151" t="s">
        <v>3936</v>
      </c>
      <c r="I177" s="151" t="s">
        <v>6962</v>
      </c>
      <c r="J177" s="151" t="s">
        <v>6962</v>
      </c>
      <c r="K177" s="151">
        <f t="shared" si="8"/>
        <v>0</v>
      </c>
      <c r="L177" s="151" t="s">
        <v>9021</v>
      </c>
    </row>
    <row r="178" spans="1:12" x14ac:dyDescent="0.25">
      <c r="A178" s="151" t="s">
        <v>2301</v>
      </c>
      <c r="B178" s="151" t="s">
        <v>2997</v>
      </c>
      <c r="C178" s="151" t="s">
        <v>3228</v>
      </c>
      <c r="D178" s="151">
        <f t="shared" si="6"/>
        <v>0</v>
      </c>
      <c r="E178" s="151" t="str">
        <f t="shared" si="7"/>
        <v>GC-04314</v>
      </c>
      <c r="F178" s="151">
        <f>+IF(AND(C178*1&gt;=200,E178="GC-04314"),IF(D178=0,MAX(F$2:F177)+1,0),0)</f>
        <v>77</v>
      </c>
      <c r="H178" s="151" t="s">
        <v>3936</v>
      </c>
      <c r="I178" s="151" t="s">
        <v>391</v>
      </c>
      <c r="J178" s="151" t="s">
        <v>6979</v>
      </c>
      <c r="K178" s="151">
        <f t="shared" si="8"/>
        <v>650000000000170</v>
      </c>
      <c r="L178" s="151" t="s">
        <v>9021</v>
      </c>
    </row>
    <row r="179" spans="1:12" x14ac:dyDescent="0.25">
      <c r="A179" s="151" t="s">
        <v>2302</v>
      </c>
      <c r="B179" s="151" t="s">
        <v>2997</v>
      </c>
      <c r="C179" s="151" t="s">
        <v>3229</v>
      </c>
      <c r="D179" s="151">
        <f t="shared" si="6"/>
        <v>0</v>
      </c>
      <c r="E179" s="151" t="str">
        <f t="shared" si="7"/>
        <v>GC-04314</v>
      </c>
      <c r="F179" s="151">
        <f>+IF(AND(C179*1&gt;=200,E179="GC-04314"),IF(D179=0,MAX(F$2:F178)+1,0),0)</f>
        <v>78</v>
      </c>
      <c r="H179" s="151" t="s">
        <v>6054</v>
      </c>
      <c r="I179" s="151" t="s">
        <v>6962</v>
      </c>
      <c r="J179" s="151" t="s">
        <v>6962</v>
      </c>
      <c r="K179" s="151">
        <f t="shared" si="8"/>
        <v>0</v>
      </c>
      <c r="L179" s="151" t="s">
        <v>9020</v>
      </c>
    </row>
    <row r="180" spans="1:12" x14ac:dyDescent="0.25">
      <c r="A180" s="151" t="s">
        <v>2303</v>
      </c>
      <c r="B180" s="151" t="s">
        <v>2997</v>
      </c>
      <c r="C180" s="151" t="s">
        <v>3230</v>
      </c>
      <c r="D180" s="151">
        <f t="shared" si="6"/>
        <v>0</v>
      </c>
      <c r="E180" s="151" t="str">
        <f t="shared" si="7"/>
        <v>GC-04314</v>
      </c>
      <c r="F180" s="151">
        <f>+IF(AND(C180*1&gt;=200,E180="GC-04314"),IF(D180=0,MAX(F$2:F179)+1,0),0)</f>
        <v>79</v>
      </c>
      <c r="H180" s="151" t="s">
        <v>6055</v>
      </c>
      <c r="I180" s="151" t="s">
        <v>6962</v>
      </c>
      <c r="J180" s="151" t="s">
        <v>6962</v>
      </c>
      <c r="K180" s="151">
        <f t="shared" si="8"/>
        <v>0</v>
      </c>
      <c r="L180" s="151" t="s">
        <v>9020</v>
      </c>
    </row>
    <row r="181" spans="1:12" x14ac:dyDescent="0.25">
      <c r="A181" s="151" t="s">
        <v>2304</v>
      </c>
      <c r="B181" s="151" t="s">
        <v>2997</v>
      </c>
      <c r="C181" s="151" t="s">
        <v>3231</v>
      </c>
      <c r="D181" s="151">
        <f t="shared" si="6"/>
        <v>0</v>
      </c>
      <c r="E181" s="151" t="str">
        <f t="shared" si="7"/>
        <v>GC-04314</v>
      </c>
      <c r="F181" s="151">
        <f>+IF(AND(C181*1&gt;=200,E181="GC-04314"),IF(D181=0,MAX(F$2:F180)+1,0),0)</f>
        <v>80</v>
      </c>
      <c r="H181" s="151" t="s">
        <v>6056</v>
      </c>
      <c r="I181" s="151" t="s">
        <v>6962</v>
      </c>
      <c r="J181" s="151" t="s">
        <v>6962</v>
      </c>
      <c r="K181" s="151">
        <f t="shared" si="8"/>
        <v>0</v>
      </c>
      <c r="L181" s="151" t="s">
        <v>9020</v>
      </c>
    </row>
    <row r="182" spans="1:12" x14ac:dyDescent="0.25">
      <c r="A182" s="151" t="s">
        <v>2305</v>
      </c>
      <c r="B182" s="151" t="s">
        <v>2997</v>
      </c>
      <c r="C182" s="151" t="s">
        <v>3232</v>
      </c>
      <c r="D182" s="151">
        <f t="shared" si="6"/>
        <v>0</v>
      </c>
      <c r="E182" s="151" t="str">
        <f t="shared" si="7"/>
        <v>GC-04314</v>
      </c>
      <c r="F182" s="151">
        <f>+IF(AND(C182*1&gt;=200,E182="GC-04314"),IF(D182=0,MAX(F$2:F181)+1,0),0)</f>
        <v>81</v>
      </c>
      <c r="H182" s="151" t="s">
        <v>6057</v>
      </c>
      <c r="I182" s="151" t="s">
        <v>6962</v>
      </c>
      <c r="J182" s="151" t="s">
        <v>6962</v>
      </c>
      <c r="K182" s="151">
        <f t="shared" si="8"/>
        <v>0</v>
      </c>
      <c r="L182" s="151" t="s">
        <v>9020</v>
      </c>
    </row>
    <row r="183" spans="1:12" x14ac:dyDescent="0.25">
      <c r="A183" s="151" t="s">
        <v>2306</v>
      </c>
      <c r="B183" s="151" t="s">
        <v>2997</v>
      </c>
      <c r="C183" s="151" t="s">
        <v>3233</v>
      </c>
      <c r="D183" s="151">
        <f t="shared" si="6"/>
        <v>0</v>
      </c>
      <c r="E183" s="151" t="str">
        <f t="shared" si="7"/>
        <v>GC-04314</v>
      </c>
      <c r="F183" s="151">
        <f>+IF(AND(C183*1&gt;=200,E183="GC-04314"),IF(D183=0,MAX(F$2:F182)+1,0),0)</f>
        <v>82</v>
      </c>
      <c r="H183" s="151" t="s">
        <v>6058</v>
      </c>
      <c r="I183" s="151" t="s">
        <v>6962</v>
      </c>
      <c r="J183" s="151" t="s">
        <v>6962</v>
      </c>
      <c r="K183" s="151">
        <f t="shared" si="8"/>
        <v>0</v>
      </c>
      <c r="L183" s="151" t="s">
        <v>9020</v>
      </c>
    </row>
    <row r="184" spans="1:12" x14ac:dyDescent="0.25">
      <c r="A184" s="151" t="s">
        <v>2307</v>
      </c>
      <c r="B184" s="151" t="s">
        <v>2997</v>
      </c>
      <c r="C184" s="151" t="s">
        <v>3234</v>
      </c>
      <c r="D184" s="151">
        <f t="shared" si="6"/>
        <v>0</v>
      </c>
      <c r="E184" s="151" t="str">
        <f t="shared" si="7"/>
        <v>GC-04314</v>
      </c>
      <c r="F184" s="151">
        <f>+IF(AND(C184*1&gt;=200,E184="GC-04314"),IF(D184=0,MAX(F$2:F183)+1,0),0)</f>
        <v>83</v>
      </c>
      <c r="H184" s="151" t="s">
        <v>6059</v>
      </c>
      <c r="I184" s="151" t="s">
        <v>6962</v>
      </c>
      <c r="J184" s="151" t="s">
        <v>6962</v>
      </c>
      <c r="K184" s="151">
        <f t="shared" si="8"/>
        <v>0</v>
      </c>
      <c r="L184" s="151" t="s">
        <v>9020</v>
      </c>
    </row>
    <row r="185" spans="1:12" x14ac:dyDescent="0.25">
      <c r="A185" s="151" t="s">
        <v>2308</v>
      </c>
      <c r="B185" s="151" t="s">
        <v>2997</v>
      </c>
      <c r="C185" s="151" t="s">
        <v>3235</v>
      </c>
      <c r="D185" s="151">
        <f t="shared" si="6"/>
        <v>0</v>
      </c>
      <c r="E185" s="151" t="str">
        <f t="shared" si="7"/>
        <v>GC-04314</v>
      </c>
      <c r="F185" s="151">
        <f>+IF(AND(C185*1&gt;=200,E185="GC-04314"),IF(D185=0,MAX(F$2:F184)+1,0),0)</f>
        <v>84</v>
      </c>
      <c r="H185" s="151" t="s">
        <v>6060</v>
      </c>
      <c r="I185" s="151" t="s">
        <v>6962</v>
      </c>
      <c r="J185" s="151" t="s">
        <v>6962</v>
      </c>
      <c r="K185" s="151">
        <f t="shared" si="8"/>
        <v>0</v>
      </c>
      <c r="L185" s="151" t="s">
        <v>9020</v>
      </c>
    </row>
    <row r="186" spans="1:12" x14ac:dyDescent="0.25">
      <c r="A186" s="151" t="s">
        <v>2309</v>
      </c>
      <c r="B186" s="151" t="s">
        <v>2997</v>
      </c>
      <c r="C186" s="151" t="s">
        <v>3236</v>
      </c>
      <c r="D186" s="151">
        <f t="shared" si="6"/>
        <v>0</v>
      </c>
      <c r="E186" s="151" t="str">
        <f t="shared" si="7"/>
        <v>GC-04314</v>
      </c>
      <c r="F186" s="151">
        <f>+IF(AND(C186*1&gt;=200,E186="GC-04314"),IF(D186=0,MAX(F$2:F185)+1,0),0)</f>
        <v>85</v>
      </c>
      <c r="H186" s="151" t="s">
        <v>6061</v>
      </c>
      <c r="I186" s="151" t="s">
        <v>6962</v>
      </c>
      <c r="J186" s="151" t="s">
        <v>6962</v>
      </c>
      <c r="K186" s="151">
        <f t="shared" si="8"/>
        <v>0</v>
      </c>
      <c r="L186" s="151" t="s">
        <v>9020</v>
      </c>
    </row>
    <row r="187" spans="1:12" x14ac:dyDescent="0.25">
      <c r="A187" s="151" t="s">
        <v>2310</v>
      </c>
      <c r="B187" s="151" t="s">
        <v>2997</v>
      </c>
      <c r="C187" s="151" t="s">
        <v>3237</v>
      </c>
      <c r="D187" s="151">
        <f t="shared" si="6"/>
        <v>0</v>
      </c>
      <c r="E187" s="151" t="str">
        <f t="shared" si="7"/>
        <v>GC-04314</v>
      </c>
      <c r="F187" s="151">
        <f>+IF(AND(C187*1&gt;=200,E187="GC-04314"),IF(D187=0,MAX(F$2:F186)+1,0),0)</f>
        <v>86</v>
      </c>
      <c r="H187" s="151" t="s">
        <v>6062</v>
      </c>
      <c r="I187" s="151" t="s">
        <v>6962</v>
      </c>
      <c r="J187" s="151" t="s">
        <v>6962</v>
      </c>
      <c r="K187" s="151">
        <f t="shared" si="8"/>
        <v>0</v>
      </c>
      <c r="L187" s="151" t="s">
        <v>9020</v>
      </c>
    </row>
    <row r="188" spans="1:12" x14ac:dyDescent="0.25">
      <c r="A188" s="151" t="s">
        <v>2311</v>
      </c>
      <c r="B188" s="151" t="s">
        <v>2997</v>
      </c>
      <c r="C188" s="151" t="s">
        <v>3238</v>
      </c>
      <c r="D188" s="151">
        <f t="shared" si="6"/>
        <v>0</v>
      </c>
      <c r="E188" s="151" t="str">
        <f t="shared" si="7"/>
        <v>GC-04314</v>
      </c>
      <c r="F188" s="151">
        <f>+IF(AND(C188*1&gt;=200,E188="GC-04314"),IF(D188=0,MAX(F$2:F187)+1,0),0)</f>
        <v>87</v>
      </c>
      <c r="H188" s="151" t="s">
        <v>6063</v>
      </c>
      <c r="I188" s="151" t="s">
        <v>6962</v>
      </c>
      <c r="J188" s="151" t="s">
        <v>6962</v>
      </c>
      <c r="K188" s="151">
        <f t="shared" si="8"/>
        <v>0</v>
      </c>
      <c r="L188" s="151" t="s">
        <v>9020</v>
      </c>
    </row>
    <row r="189" spans="1:12" x14ac:dyDescent="0.25">
      <c r="A189" s="151" t="s">
        <v>2312</v>
      </c>
      <c r="B189" s="151" t="s">
        <v>2997</v>
      </c>
      <c r="C189" s="151" t="s">
        <v>3239</v>
      </c>
      <c r="D189" s="151">
        <f t="shared" si="6"/>
        <v>0</v>
      </c>
      <c r="E189" s="151" t="str">
        <f t="shared" si="7"/>
        <v>GC-04314</v>
      </c>
      <c r="F189" s="151">
        <f>+IF(AND(C189*1&gt;=200,E189="GC-04314"),IF(D189=0,MAX(F$2:F188)+1,0),0)</f>
        <v>88</v>
      </c>
      <c r="H189" s="151" t="s">
        <v>6064</v>
      </c>
      <c r="I189" s="151" t="s">
        <v>6962</v>
      </c>
      <c r="J189" s="151" t="s">
        <v>6962</v>
      </c>
      <c r="K189" s="151">
        <f t="shared" si="8"/>
        <v>0</v>
      </c>
      <c r="L189" s="151" t="s">
        <v>9020</v>
      </c>
    </row>
    <row r="190" spans="1:12" x14ac:dyDescent="0.25">
      <c r="A190" s="151" t="s">
        <v>2313</v>
      </c>
      <c r="B190" s="151" t="s">
        <v>2997</v>
      </c>
      <c r="C190" s="151" t="s">
        <v>3240</v>
      </c>
      <c r="D190" s="151">
        <f t="shared" si="6"/>
        <v>0</v>
      </c>
      <c r="E190" s="151" t="str">
        <f t="shared" si="7"/>
        <v>GC-04314</v>
      </c>
      <c r="F190" s="151">
        <f>+IF(AND(C190*1&gt;=200,E190="GC-04314"),IF(D190=0,MAX(F$2:F189)+1,0),0)</f>
        <v>89</v>
      </c>
      <c r="H190" s="151" t="s">
        <v>6065</v>
      </c>
      <c r="I190" s="151" t="s">
        <v>6962</v>
      </c>
      <c r="J190" s="151" t="s">
        <v>6962</v>
      </c>
      <c r="K190" s="151">
        <f t="shared" si="8"/>
        <v>0</v>
      </c>
      <c r="L190" s="151" t="s">
        <v>9020</v>
      </c>
    </row>
    <row r="191" spans="1:12" x14ac:dyDescent="0.25">
      <c r="A191" s="151" t="s">
        <v>2314</v>
      </c>
      <c r="B191" s="151" t="s">
        <v>2997</v>
      </c>
      <c r="C191" s="151" t="s">
        <v>3241</v>
      </c>
      <c r="D191" s="151">
        <f t="shared" si="6"/>
        <v>0</v>
      </c>
      <c r="E191" s="151" t="str">
        <f t="shared" si="7"/>
        <v>GC-04314</v>
      </c>
      <c r="F191" s="151">
        <f>+IF(AND(C191*1&gt;=200,E191="GC-04314"),IF(D191=0,MAX(F$2:F190)+1,0),0)</f>
        <v>90</v>
      </c>
      <c r="H191" s="151" t="s">
        <v>6066</v>
      </c>
      <c r="I191" s="151" t="s">
        <v>6962</v>
      </c>
      <c r="J191" s="151" t="s">
        <v>6962</v>
      </c>
      <c r="K191" s="151">
        <f t="shared" si="8"/>
        <v>0</v>
      </c>
      <c r="L191" s="151" t="s">
        <v>9020</v>
      </c>
    </row>
    <row r="192" spans="1:12" x14ac:dyDescent="0.25">
      <c r="A192" s="151" t="s">
        <v>2315</v>
      </c>
      <c r="B192" s="151" t="s">
        <v>2997</v>
      </c>
      <c r="C192" s="151" t="s">
        <v>3242</v>
      </c>
      <c r="D192" s="151">
        <f t="shared" si="6"/>
        <v>0</v>
      </c>
      <c r="E192" s="151" t="str">
        <f t="shared" si="7"/>
        <v>GC-04314</v>
      </c>
      <c r="F192" s="151">
        <f>+IF(AND(C192*1&gt;=200,E192="GC-04314"),IF(D192=0,MAX(F$2:F191)+1,0),0)</f>
        <v>91</v>
      </c>
      <c r="H192" s="151" t="s">
        <v>6067</v>
      </c>
      <c r="I192" s="151" t="s">
        <v>6962</v>
      </c>
      <c r="J192" s="151" t="s">
        <v>6962</v>
      </c>
      <c r="K192" s="151">
        <f t="shared" si="8"/>
        <v>0</v>
      </c>
      <c r="L192" s="151" t="s">
        <v>9020</v>
      </c>
    </row>
    <row r="193" spans="1:12" x14ac:dyDescent="0.25">
      <c r="A193" s="151" t="s">
        <v>2316</v>
      </c>
      <c r="B193" s="151" t="s">
        <v>2997</v>
      </c>
      <c r="C193" s="151" t="s">
        <v>3243</v>
      </c>
      <c r="D193" s="151">
        <f t="shared" si="6"/>
        <v>0</v>
      </c>
      <c r="E193" s="151" t="str">
        <f t="shared" si="7"/>
        <v>GC-04314</v>
      </c>
      <c r="F193" s="151">
        <f>+IF(AND(C193*1&gt;=200,E193="GC-04314"),IF(D193=0,MAX(F$2:F192)+1,0),0)</f>
        <v>92</v>
      </c>
      <c r="H193" s="151" t="s">
        <v>6068</v>
      </c>
      <c r="I193" s="151" t="s">
        <v>6962</v>
      </c>
      <c r="J193" s="151" t="s">
        <v>6962</v>
      </c>
      <c r="K193" s="151">
        <f t="shared" si="8"/>
        <v>0</v>
      </c>
      <c r="L193" s="151" t="s">
        <v>9020</v>
      </c>
    </row>
    <row r="194" spans="1:12" x14ac:dyDescent="0.25">
      <c r="A194" s="151" t="s">
        <v>2317</v>
      </c>
      <c r="B194" s="151" t="s">
        <v>2997</v>
      </c>
      <c r="C194" s="151" t="s">
        <v>3244</v>
      </c>
      <c r="D194" s="151">
        <f t="shared" ref="D194:D257" si="9">+SUMIFS(K:K,H:H,A194)</f>
        <v>0</v>
      </c>
      <c r="E194" s="151" t="str">
        <f t="shared" ref="E194:E257" si="10">+IF(D194=0,VLOOKUP(A194,$H:$L,5,FALSE),"")</f>
        <v>GC-04314</v>
      </c>
      <c r="F194" s="151">
        <f>+IF(AND(C194*1&gt;=200,E194="GC-04314"),IF(D194=0,MAX(F$2:F193)+1,0),0)</f>
        <v>93</v>
      </c>
      <c r="H194" s="151" t="s">
        <v>6069</v>
      </c>
      <c r="I194" s="151" t="s">
        <v>6962</v>
      </c>
      <c r="J194" s="151" t="s">
        <v>6962</v>
      </c>
      <c r="K194" s="151">
        <f t="shared" si="8"/>
        <v>0</v>
      </c>
      <c r="L194" s="151" t="s">
        <v>9020</v>
      </c>
    </row>
    <row r="195" spans="1:12" x14ac:dyDescent="0.25">
      <c r="A195" s="151" t="s">
        <v>2318</v>
      </c>
      <c r="B195" s="151" t="s">
        <v>2997</v>
      </c>
      <c r="C195" s="151" t="s">
        <v>3245</v>
      </c>
      <c r="D195" s="151">
        <f t="shared" si="9"/>
        <v>0</v>
      </c>
      <c r="E195" s="151" t="str">
        <f t="shared" si="10"/>
        <v>GC-04314</v>
      </c>
      <c r="F195" s="151">
        <f>+IF(AND(C195*1&gt;=200,E195="GC-04314"),IF(D195=0,MAX(F$2:F194)+1,0),0)</f>
        <v>94</v>
      </c>
      <c r="H195" s="151" t="s">
        <v>6070</v>
      </c>
      <c r="I195" s="151" t="s">
        <v>6962</v>
      </c>
      <c r="J195" s="151" t="s">
        <v>6962</v>
      </c>
      <c r="K195" s="151">
        <f t="shared" ref="K195:K258" si="11">+IFERROR(J195*1,0)</f>
        <v>0</v>
      </c>
      <c r="L195" s="151" t="s">
        <v>9020</v>
      </c>
    </row>
    <row r="196" spans="1:12" x14ac:dyDescent="0.25">
      <c r="A196" s="151" t="s">
        <v>2319</v>
      </c>
      <c r="B196" s="151" t="s">
        <v>2997</v>
      </c>
      <c r="C196" s="151" t="s">
        <v>3246</v>
      </c>
      <c r="D196" s="151">
        <f t="shared" si="9"/>
        <v>0</v>
      </c>
      <c r="E196" s="151" t="str">
        <f t="shared" si="10"/>
        <v>GC-04314</v>
      </c>
      <c r="F196" s="151">
        <f>+IF(AND(C196*1&gt;=200,E196="GC-04314"),IF(D196=0,MAX(F$2:F195)+1,0),0)</f>
        <v>95</v>
      </c>
      <c r="H196" s="151" t="s">
        <v>6071</v>
      </c>
      <c r="I196" s="151" t="s">
        <v>6962</v>
      </c>
      <c r="J196" s="151" t="s">
        <v>6962</v>
      </c>
      <c r="K196" s="151">
        <f t="shared" si="11"/>
        <v>0</v>
      </c>
      <c r="L196" s="151" t="s">
        <v>9020</v>
      </c>
    </row>
    <row r="197" spans="1:12" x14ac:dyDescent="0.25">
      <c r="A197" s="151" t="s">
        <v>2320</v>
      </c>
      <c r="B197" s="151" t="s">
        <v>2997</v>
      </c>
      <c r="C197" s="151" t="s">
        <v>3247</v>
      </c>
      <c r="D197" s="151">
        <f t="shared" si="9"/>
        <v>0</v>
      </c>
      <c r="E197" s="151" t="str">
        <f t="shared" si="10"/>
        <v>GC-04314</v>
      </c>
      <c r="F197" s="151">
        <f>+IF(AND(C197*1&gt;=200,E197="GC-04314"),IF(D197=0,MAX(F$2:F196)+1,0),0)</f>
        <v>96</v>
      </c>
      <c r="H197" s="151" t="s">
        <v>6072</v>
      </c>
      <c r="I197" s="151" t="s">
        <v>6962</v>
      </c>
      <c r="J197" s="151" t="s">
        <v>6962</v>
      </c>
      <c r="K197" s="151">
        <f t="shared" si="11"/>
        <v>0</v>
      </c>
      <c r="L197" s="151" t="s">
        <v>9020</v>
      </c>
    </row>
    <row r="198" spans="1:12" x14ac:dyDescent="0.25">
      <c r="A198" s="151" t="s">
        <v>2321</v>
      </c>
      <c r="B198" s="151" t="s">
        <v>2997</v>
      </c>
      <c r="C198" s="151" t="s">
        <v>3248</v>
      </c>
      <c r="D198" s="151">
        <f t="shared" si="9"/>
        <v>0</v>
      </c>
      <c r="E198" s="151" t="str">
        <f t="shared" si="10"/>
        <v>GC-04314</v>
      </c>
      <c r="F198" s="151">
        <f>+IF(AND(C198*1&gt;=200,E198="GC-04314"),IF(D198=0,MAX(F$2:F197)+1,0),0)</f>
        <v>97</v>
      </c>
      <c r="H198" s="151" t="s">
        <v>6073</v>
      </c>
      <c r="I198" s="151" t="s">
        <v>6962</v>
      </c>
      <c r="J198" s="151" t="s">
        <v>6962</v>
      </c>
      <c r="K198" s="151">
        <f t="shared" si="11"/>
        <v>0</v>
      </c>
      <c r="L198" s="151" t="s">
        <v>9020</v>
      </c>
    </row>
    <row r="199" spans="1:12" x14ac:dyDescent="0.25">
      <c r="A199" s="151" t="s">
        <v>2322</v>
      </c>
      <c r="B199" s="151" t="s">
        <v>2997</v>
      </c>
      <c r="C199" s="151" t="s">
        <v>3249</v>
      </c>
      <c r="D199" s="151">
        <f t="shared" si="9"/>
        <v>0</v>
      </c>
      <c r="E199" s="151" t="str">
        <f t="shared" si="10"/>
        <v>GC-04314</v>
      </c>
      <c r="F199" s="151">
        <f>+IF(AND(C199*1&gt;=200,E199="GC-04314"),IF(D199=0,MAX(F$2:F198)+1,0),0)</f>
        <v>98</v>
      </c>
      <c r="H199" s="151" t="s">
        <v>6074</v>
      </c>
      <c r="I199" s="151" t="s">
        <v>6962</v>
      </c>
      <c r="J199" s="151" t="s">
        <v>6962</v>
      </c>
      <c r="K199" s="151">
        <f t="shared" si="11"/>
        <v>0</v>
      </c>
      <c r="L199" s="151" t="s">
        <v>9020</v>
      </c>
    </row>
    <row r="200" spans="1:12" x14ac:dyDescent="0.25">
      <c r="A200" s="151" t="s">
        <v>2323</v>
      </c>
      <c r="B200" s="151" t="s">
        <v>2997</v>
      </c>
      <c r="C200" s="151" t="s">
        <v>3250</v>
      </c>
      <c r="D200" s="151">
        <f t="shared" si="9"/>
        <v>0</v>
      </c>
      <c r="E200" s="151" t="str">
        <f t="shared" si="10"/>
        <v>GC-04314</v>
      </c>
      <c r="F200" s="151">
        <f>+IF(AND(C200*1&gt;=200,E200="GC-04314"),IF(D200=0,MAX(F$2:F199)+1,0),0)</f>
        <v>99</v>
      </c>
      <c r="H200" s="151" t="s">
        <v>6075</v>
      </c>
      <c r="I200" s="151" t="s">
        <v>6962</v>
      </c>
      <c r="J200" s="151" t="s">
        <v>6962</v>
      </c>
      <c r="K200" s="151">
        <f t="shared" si="11"/>
        <v>0</v>
      </c>
      <c r="L200" s="151" t="s">
        <v>9020</v>
      </c>
    </row>
    <row r="201" spans="1:12" x14ac:dyDescent="0.25">
      <c r="A201" s="151" t="s">
        <v>2324</v>
      </c>
      <c r="B201" s="151" t="s">
        <v>2997</v>
      </c>
      <c r="C201" s="151" t="s">
        <v>3251</v>
      </c>
      <c r="D201" s="151">
        <f t="shared" si="9"/>
        <v>0</v>
      </c>
      <c r="E201" s="151" t="str">
        <f t="shared" si="10"/>
        <v>GC-04314</v>
      </c>
      <c r="F201" s="151">
        <f>+IF(AND(C201*1&gt;=200,E201="GC-04314"),IF(D201=0,MAX(F$2:F200)+1,0),0)</f>
        <v>100</v>
      </c>
      <c r="H201" s="151" t="s">
        <v>6076</v>
      </c>
      <c r="I201" s="151" t="s">
        <v>6962</v>
      </c>
      <c r="J201" s="151" t="s">
        <v>6962</v>
      </c>
      <c r="K201" s="151">
        <f t="shared" si="11"/>
        <v>0</v>
      </c>
      <c r="L201" s="151" t="s">
        <v>9020</v>
      </c>
    </row>
    <row r="202" spans="1:12" x14ac:dyDescent="0.25">
      <c r="A202" s="151" t="s">
        <v>2325</v>
      </c>
      <c r="B202" s="151" t="s">
        <v>2997</v>
      </c>
      <c r="C202" s="151" t="s">
        <v>3252</v>
      </c>
      <c r="D202" s="151">
        <f t="shared" si="9"/>
        <v>0</v>
      </c>
      <c r="E202" s="151" t="str">
        <f t="shared" si="10"/>
        <v>GC-04314</v>
      </c>
      <c r="F202" s="151">
        <f>+IF(AND(C202*1&gt;=200,E202="GC-04314"),IF(D202=0,MAX(F$2:F201)+1,0),0)</f>
        <v>101</v>
      </c>
      <c r="H202" s="151" t="s">
        <v>6077</v>
      </c>
      <c r="I202" s="151" t="s">
        <v>6962</v>
      </c>
      <c r="J202" s="151" t="s">
        <v>6962</v>
      </c>
      <c r="K202" s="151">
        <f t="shared" si="11"/>
        <v>0</v>
      </c>
      <c r="L202" s="151" t="s">
        <v>9020</v>
      </c>
    </row>
    <row r="203" spans="1:12" x14ac:dyDescent="0.25">
      <c r="A203" s="151" t="s">
        <v>2326</v>
      </c>
      <c r="B203" s="151" t="s">
        <v>2997</v>
      </c>
      <c r="C203" s="151" t="s">
        <v>3253</v>
      </c>
      <c r="D203" s="151">
        <f t="shared" si="9"/>
        <v>0</v>
      </c>
      <c r="E203" s="151" t="str">
        <f t="shared" si="10"/>
        <v>GC-04314</v>
      </c>
      <c r="F203" s="151">
        <f>+IF(AND(C203*1&gt;=200,E203="GC-04314"),IF(D203=0,MAX(F$2:F202)+1,0),0)</f>
        <v>102</v>
      </c>
      <c r="H203" s="151" t="s">
        <v>6078</v>
      </c>
      <c r="I203" s="151" t="s">
        <v>6962</v>
      </c>
      <c r="J203" s="151" t="s">
        <v>6962</v>
      </c>
      <c r="K203" s="151">
        <f t="shared" si="11"/>
        <v>0</v>
      </c>
      <c r="L203" s="151" t="s">
        <v>9020</v>
      </c>
    </row>
    <row r="204" spans="1:12" x14ac:dyDescent="0.25">
      <c r="A204" s="151" t="s">
        <v>2327</v>
      </c>
      <c r="B204" s="151" t="s">
        <v>2997</v>
      </c>
      <c r="C204" s="151" t="s">
        <v>3254</v>
      </c>
      <c r="D204" s="151">
        <f t="shared" si="9"/>
        <v>0</v>
      </c>
      <c r="E204" s="151" t="str">
        <f t="shared" si="10"/>
        <v>GC-04314</v>
      </c>
      <c r="F204" s="151">
        <f>+IF(AND(C204*1&gt;=200,E204="GC-04314"),IF(D204=0,MAX(F$2:F203)+1,0),0)</f>
        <v>103</v>
      </c>
      <c r="H204" s="151" t="s">
        <v>6079</v>
      </c>
      <c r="I204" s="151" t="s">
        <v>6962</v>
      </c>
      <c r="J204" s="151" t="s">
        <v>6962</v>
      </c>
      <c r="K204" s="151">
        <f t="shared" si="11"/>
        <v>0</v>
      </c>
      <c r="L204" s="151" t="s">
        <v>9020</v>
      </c>
    </row>
    <row r="205" spans="1:12" x14ac:dyDescent="0.25">
      <c r="A205" s="151" t="s">
        <v>2328</v>
      </c>
      <c r="B205" s="151" t="s">
        <v>2997</v>
      </c>
      <c r="C205" s="151" t="s">
        <v>3255</v>
      </c>
      <c r="D205" s="151">
        <f t="shared" si="9"/>
        <v>0</v>
      </c>
      <c r="E205" s="151" t="str">
        <f t="shared" si="10"/>
        <v>GC-04314</v>
      </c>
      <c r="F205" s="151">
        <f>+IF(AND(C205*1&gt;=200,E205="GC-04314"),IF(D205=0,MAX(F$2:F204)+1,0),0)</f>
        <v>104</v>
      </c>
      <c r="H205" s="151" t="s">
        <v>6080</v>
      </c>
      <c r="I205" s="151" t="s">
        <v>6962</v>
      </c>
      <c r="J205" s="151" t="s">
        <v>6962</v>
      </c>
      <c r="K205" s="151">
        <f t="shared" si="11"/>
        <v>0</v>
      </c>
      <c r="L205" s="151" t="s">
        <v>9020</v>
      </c>
    </row>
    <row r="206" spans="1:12" x14ac:dyDescent="0.25">
      <c r="A206" s="151" t="s">
        <v>2329</v>
      </c>
      <c r="B206" s="151" t="s">
        <v>2997</v>
      </c>
      <c r="C206" s="151" t="s">
        <v>3256</v>
      </c>
      <c r="D206" s="151">
        <f t="shared" si="9"/>
        <v>0</v>
      </c>
      <c r="E206" s="151" t="str">
        <f t="shared" si="10"/>
        <v>GC-04314</v>
      </c>
      <c r="F206" s="151">
        <f>+IF(AND(C206*1&gt;=200,E206="GC-04314"),IF(D206=0,MAX(F$2:F205)+1,0),0)</f>
        <v>105</v>
      </c>
      <c r="H206" s="151" t="s">
        <v>6081</v>
      </c>
      <c r="I206" s="151" t="s">
        <v>6962</v>
      </c>
      <c r="J206" s="151" t="s">
        <v>6962</v>
      </c>
      <c r="K206" s="151">
        <f t="shared" si="11"/>
        <v>0</v>
      </c>
      <c r="L206" s="151" t="s">
        <v>9020</v>
      </c>
    </row>
    <row r="207" spans="1:12" x14ac:dyDescent="0.25">
      <c r="A207" s="151" t="s">
        <v>2330</v>
      </c>
      <c r="B207" s="151" t="s">
        <v>2997</v>
      </c>
      <c r="C207" s="151" t="s">
        <v>3257</v>
      </c>
      <c r="D207" s="151">
        <f t="shared" si="9"/>
        <v>0</v>
      </c>
      <c r="E207" s="151" t="str">
        <f t="shared" si="10"/>
        <v>GC-04314</v>
      </c>
      <c r="F207" s="151">
        <f>+IF(AND(C207*1&gt;=200,E207="GC-04314"),IF(D207=0,MAX(F$2:F206)+1,0),0)</f>
        <v>106</v>
      </c>
      <c r="H207" s="151" t="s">
        <v>6082</v>
      </c>
      <c r="I207" s="151" t="s">
        <v>6962</v>
      </c>
      <c r="J207" s="151" t="s">
        <v>6962</v>
      </c>
      <c r="K207" s="151">
        <f t="shared" si="11"/>
        <v>0</v>
      </c>
      <c r="L207" s="151" t="s">
        <v>9020</v>
      </c>
    </row>
    <row r="208" spans="1:12" x14ac:dyDescent="0.25">
      <c r="A208" s="151" t="s">
        <v>2331</v>
      </c>
      <c r="B208" s="151" t="s">
        <v>2997</v>
      </c>
      <c r="C208" s="151" t="s">
        <v>3258</v>
      </c>
      <c r="D208" s="151">
        <f t="shared" si="9"/>
        <v>0</v>
      </c>
      <c r="E208" s="151" t="str">
        <f t="shared" si="10"/>
        <v>GC-04314</v>
      </c>
      <c r="F208" s="151">
        <f>+IF(AND(C208*1&gt;=200,E208="GC-04314"),IF(D208=0,MAX(F$2:F207)+1,0),0)</f>
        <v>107</v>
      </c>
      <c r="H208" s="151" t="s">
        <v>6083</v>
      </c>
      <c r="I208" s="151" t="s">
        <v>6962</v>
      </c>
      <c r="J208" s="151" t="s">
        <v>6962</v>
      </c>
      <c r="K208" s="151">
        <f t="shared" si="11"/>
        <v>0</v>
      </c>
      <c r="L208" s="151" t="s">
        <v>9020</v>
      </c>
    </row>
    <row r="209" spans="1:12" x14ac:dyDescent="0.25">
      <c r="A209" s="151" t="s">
        <v>2332</v>
      </c>
      <c r="B209" s="151" t="s">
        <v>2997</v>
      </c>
      <c r="C209" s="151" t="s">
        <v>3259</v>
      </c>
      <c r="D209" s="151">
        <f t="shared" si="9"/>
        <v>0</v>
      </c>
      <c r="E209" s="151" t="str">
        <f t="shared" si="10"/>
        <v>GC-04314</v>
      </c>
      <c r="F209" s="151">
        <f>+IF(AND(C209*1&gt;=200,E209="GC-04314"),IF(D209=0,MAX(F$2:F208)+1,0),0)</f>
        <v>108</v>
      </c>
      <c r="H209" s="151" t="s">
        <v>6084</v>
      </c>
      <c r="I209" s="151" t="s">
        <v>6962</v>
      </c>
      <c r="J209" s="151" t="s">
        <v>6962</v>
      </c>
      <c r="K209" s="151">
        <f t="shared" si="11"/>
        <v>0</v>
      </c>
      <c r="L209" s="151" t="s">
        <v>9020</v>
      </c>
    </row>
    <row r="210" spans="1:12" x14ac:dyDescent="0.25">
      <c r="A210" s="151" t="s">
        <v>2333</v>
      </c>
      <c r="B210" s="151" t="s">
        <v>2997</v>
      </c>
      <c r="C210" s="151" t="s">
        <v>3260</v>
      </c>
      <c r="D210" s="151">
        <f t="shared" si="9"/>
        <v>0</v>
      </c>
      <c r="E210" s="151" t="str">
        <f t="shared" si="10"/>
        <v>GC-04314</v>
      </c>
      <c r="F210" s="151">
        <f>+IF(AND(C210*1&gt;=200,E210="GC-04314"),IF(D210=0,MAX(F$2:F209)+1,0),0)</f>
        <v>109</v>
      </c>
      <c r="H210" s="151" t="s">
        <v>6085</v>
      </c>
      <c r="I210" s="151" t="s">
        <v>6962</v>
      </c>
      <c r="J210" s="151" t="s">
        <v>6962</v>
      </c>
      <c r="K210" s="151">
        <f t="shared" si="11"/>
        <v>0</v>
      </c>
      <c r="L210" s="151" t="s">
        <v>9020</v>
      </c>
    </row>
    <row r="211" spans="1:12" x14ac:dyDescent="0.25">
      <c r="A211" s="151" t="s">
        <v>2334</v>
      </c>
      <c r="B211" s="151" t="s">
        <v>2997</v>
      </c>
      <c r="C211" s="151" t="s">
        <v>3261</v>
      </c>
      <c r="D211" s="151">
        <f t="shared" si="9"/>
        <v>0</v>
      </c>
      <c r="E211" s="151" t="str">
        <f t="shared" si="10"/>
        <v>GC-04314</v>
      </c>
      <c r="F211" s="151">
        <f>+IF(AND(C211*1&gt;=200,E211="GC-04314"),IF(D211=0,MAX(F$2:F210)+1,0),0)</f>
        <v>110</v>
      </c>
      <c r="H211" s="151" t="s">
        <v>6086</v>
      </c>
      <c r="I211" s="151" t="s">
        <v>6962</v>
      </c>
      <c r="J211" s="151" t="s">
        <v>6962</v>
      </c>
      <c r="K211" s="151">
        <f t="shared" si="11"/>
        <v>0</v>
      </c>
      <c r="L211" s="151" t="s">
        <v>9020</v>
      </c>
    </row>
    <row r="212" spans="1:12" x14ac:dyDescent="0.25">
      <c r="A212" s="151" t="s">
        <v>2335</v>
      </c>
      <c r="B212" s="151" t="s">
        <v>2997</v>
      </c>
      <c r="C212" s="151" t="s">
        <v>3262</v>
      </c>
      <c r="D212" s="151">
        <f t="shared" si="9"/>
        <v>0</v>
      </c>
      <c r="E212" s="151" t="str">
        <f t="shared" si="10"/>
        <v>GC-04314</v>
      </c>
      <c r="F212" s="151">
        <f>+IF(AND(C212*1&gt;=200,E212="GC-04314"),IF(D212=0,MAX(F$2:F211)+1,0),0)</f>
        <v>111</v>
      </c>
      <c r="H212" s="151" t="s">
        <v>6087</v>
      </c>
      <c r="I212" s="151" t="s">
        <v>6962</v>
      </c>
      <c r="J212" s="151" t="s">
        <v>6962</v>
      </c>
      <c r="K212" s="151">
        <f t="shared" si="11"/>
        <v>0</v>
      </c>
      <c r="L212" s="151" t="s">
        <v>9020</v>
      </c>
    </row>
    <row r="213" spans="1:12" x14ac:dyDescent="0.25">
      <c r="A213" s="151" t="s">
        <v>2336</v>
      </c>
      <c r="B213" s="151" t="s">
        <v>2997</v>
      </c>
      <c r="C213" s="151" t="s">
        <v>3263</v>
      </c>
      <c r="D213" s="151">
        <f t="shared" si="9"/>
        <v>0</v>
      </c>
      <c r="E213" s="151" t="str">
        <f t="shared" si="10"/>
        <v>GC-04314</v>
      </c>
      <c r="F213" s="151">
        <f>+IF(AND(C213*1&gt;=200,E213="GC-04314"),IF(D213=0,MAX(F$2:F212)+1,0),0)</f>
        <v>112</v>
      </c>
      <c r="H213" s="151" t="s">
        <v>6088</v>
      </c>
      <c r="I213" s="151" t="s">
        <v>6962</v>
      </c>
      <c r="J213" s="151" t="s">
        <v>6962</v>
      </c>
      <c r="K213" s="151">
        <f t="shared" si="11"/>
        <v>0</v>
      </c>
      <c r="L213" s="151" t="s">
        <v>9020</v>
      </c>
    </row>
    <row r="214" spans="1:12" x14ac:dyDescent="0.25">
      <c r="A214" s="151" t="s">
        <v>2337</v>
      </c>
      <c r="B214" s="151" t="s">
        <v>2997</v>
      </c>
      <c r="C214" s="151" t="s">
        <v>3264</v>
      </c>
      <c r="D214" s="151">
        <f t="shared" si="9"/>
        <v>0</v>
      </c>
      <c r="E214" s="151" t="str">
        <f t="shared" si="10"/>
        <v>GC-04314</v>
      </c>
      <c r="F214" s="151">
        <f>+IF(AND(C214*1&gt;=200,E214="GC-04314"),IF(D214=0,MAX(F$2:F213)+1,0),0)</f>
        <v>113</v>
      </c>
      <c r="H214" s="151" t="s">
        <v>6089</v>
      </c>
      <c r="I214" s="151" t="s">
        <v>6962</v>
      </c>
      <c r="J214" s="151" t="s">
        <v>6962</v>
      </c>
      <c r="K214" s="151">
        <f t="shared" si="11"/>
        <v>0</v>
      </c>
      <c r="L214" s="151" t="s">
        <v>9020</v>
      </c>
    </row>
    <row r="215" spans="1:12" x14ac:dyDescent="0.25">
      <c r="A215" s="151" t="s">
        <v>2338</v>
      </c>
      <c r="B215" s="151" t="s">
        <v>2997</v>
      </c>
      <c r="C215" s="151" t="s">
        <v>3265</v>
      </c>
      <c r="D215" s="151">
        <f t="shared" si="9"/>
        <v>0</v>
      </c>
      <c r="E215" s="151" t="str">
        <f t="shared" si="10"/>
        <v>GC-04314</v>
      </c>
      <c r="F215" s="151">
        <f>+IF(AND(C215*1&gt;=200,E215="GC-04314"),IF(D215=0,MAX(F$2:F214)+1,0),0)</f>
        <v>114</v>
      </c>
      <c r="H215" s="151" t="s">
        <v>6090</v>
      </c>
      <c r="I215" s="151" t="s">
        <v>6962</v>
      </c>
      <c r="J215" s="151" t="s">
        <v>6962</v>
      </c>
      <c r="K215" s="151">
        <f t="shared" si="11"/>
        <v>0</v>
      </c>
      <c r="L215" s="151" t="s">
        <v>9020</v>
      </c>
    </row>
    <row r="216" spans="1:12" x14ac:dyDescent="0.25">
      <c r="A216" s="151" t="s">
        <v>2339</v>
      </c>
      <c r="B216" s="151" t="s">
        <v>2997</v>
      </c>
      <c r="C216" s="151" t="s">
        <v>3266</v>
      </c>
      <c r="D216" s="151">
        <f t="shared" si="9"/>
        <v>0</v>
      </c>
      <c r="E216" s="151" t="str">
        <f t="shared" si="10"/>
        <v>GC-04314</v>
      </c>
      <c r="F216" s="151">
        <f>+IF(AND(C216*1&gt;=200,E216="GC-04314"),IF(D216=0,MAX(F$2:F215)+1,0),0)</f>
        <v>115</v>
      </c>
      <c r="H216" s="151" t="s">
        <v>6091</v>
      </c>
      <c r="I216" s="151" t="s">
        <v>6962</v>
      </c>
      <c r="J216" s="151" t="s">
        <v>6962</v>
      </c>
      <c r="K216" s="151">
        <f t="shared" si="11"/>
        <v>0</v>
      </c>
      <c r="L216" s="151" t="s">
        <v>9020</v>
      </c>
    </row>
    <row r="217" spans="1:12" x14ac:dyDescent="0.25">
      <c r="A217" s="151" t="s">
        <v>2340</v>
      </c>
      <c r="B217" s="151" t="s">
        <v>2997</v>
      </c>
      <c r="C217" s="151" t="s">
        <v>3267</v>
      </c>
      <c r="D217" s="151">
        <f t="shared" si="9"/>
        <v>0</v>
      </c>
      <c r="E217" s="151" t="str">
        <f t="shared" si="10"/>
        <v>GC-04314</v>
      </c>
      <c r="F217" s="151">
        <f>+IF(AND(C217*1&gt;=200,E217="GC-04314"),IF(D217=0,MAX(F$2:F216)+1,0),0)</f>
        <v>116</v>
      </c>
      <c r="H217" s="151" t="s">
        <v>6092</v>
      </c>
      <c r="I217" s="151" t="s">
        <v>6962</v>
      </c>
      <c r="J217" s="151" t="s">
        <v>6962</v>
      </c>
      <c r="K217" s="151">
        <f t="shared" si="11"/>
        <v>0</v>
      </c>
      <c r="L217" s="151" t="s">
        <v>9020</v>
      </c>
    </row>
    <row r="218" spans="1:12" x14ac:dyDescent="0.25">
      <c r="A218" s="151" t="s">
        <v>2341</v>
      </c>
      <c r="B218" s="151" t="s">
        <v>2997</v>
      </c>
      <c r="C218" s="151" t="s">
        <v>3268</v>
      </c>
      <c r="D218" s="151">
        <f t="shared" si="9"/>
        <v>0</v>
      </c>
      <c r="E218" s="151" t="str">
        <f t="shared" si="10"/>
        <v>GC-04314</v>
      </c>
      <c r="F218" s="151">
        <f>+IF(AND(C218*1&gt;=200,E218="GC-04314"),IF(D218=0,MAX(F$2:F217)+1,0),0)</f>
        <v>117</v>
      </c>
      <c r="H218" s="151" t="s">
        <v>6093</v>
      </c>
      <c r="I218" s="151" t="s">
        <v>6962</v>
      </c>
      <c r="J218" s="151" t="s">
        <v>6962</v>
      </c>
      <c r="K218" s="151">
        <f t="shared" si="11"/>
        <v>0</v>
      </c>
      <c r="L218" s="151" t="s">
        <v>9020</v>
      </c>
    </row>
    <row r="219" spans="1:12" x14ac:dyDescent="0.25">
      <c r="A219" s="151" t="s">
        <v>2342</v>
      </c>
      <c r="B219" s="151" t="s">
        <v>2997</v>
      </c>
      <c r="C219" s="151" t="s">
        <v>3269</v>
      </c>
      <c r="D219" s="151">
        <f t="shared" si="9"/>
        <v>0</v>
      </c>
      <c r="E219" s="151" t="str">
        <f t="shared" si="10"/>
        <v>GC-04314</v>
      </c>
      <c r="F219" s="151">
        <f>+IF(AND(C219*1&gt;=200,E219="GC-04314"),IF(D219=0,MAX(F$2:F218)+1,0),0)</f>
        <v>118</v>
      </c>
      <c r="H219" s="151" t="s">
        <v>6094</v>
      </c>
      <c r="I219" s="151" t="s">
        <v>6962</v>
      </c>
      <c r="J219" s="151" t="s">
        <v>6962</v>
      </c>
      <c r="K219" s="151">
        <f t="shared" si="11"/>
        <v>0</v>
      </c>
      <c r="L219" s="151" t="s">
        <v>9020</v>
      </c>
    </row>
    <row r="220" spans="1:12" x14ac:dyDescent="0.25">
      <c r="A220" s="151" t="s">
        <v>2343</v>
      </c>
      <c r="B220" s="151" t="s">
        <v>2997</v>
      </c>
      <c r="C220" s="151" t="s">
        <v>3270</v>
      </c>
      <c r="D220" s="151">
        <f t="shared" si="9"/>
        <v>0</v>
      </c>
      <c r="E220" s="151" t="str">
        <f t="shared" si="10"/>
        <v>GC-04314</v>
      </c>
      <c r="F220" s="151">
        <f>+IF(AND(C220*1&gt;=200,E220="GC-04314"),IF(D220=0,MAX(F$2:F219)+1,0),0)</f>
        <v>119</v>
      </c>
      <c r="H220" s="151" t="s">
        <v>6095</v>
      </c>
      <c r="I220" s="151" t="s">
        <v>6962</v>
      </c>
      <c r="J220" s="151" t="s">
        <v>6962</v>
      </c>
      <c r="K220" s="151">
        <f t="shared" si="11"/>
        <v>0</v>
      </c>
      <c r="L220" s="151" t="s">
        <v>9020</v>
      </c>
    </row>
    <row r="221" spans="1:12" x14ac:dyDescent="0.25">
      <c r="A221" s="151" t="s">
        <v>2344</v>
      </c>
      <c r="B221" s="151" t="s">
        <v>2997</v>
      </c>
      <c r="C221" s="151" t="s">
        <v>3271</v>
      </c>
      <c r="D221" s="151">
        <f t="shared" si="9"/>
        <v>0</v>
      </c>
      <c r="E221" s="151" t="str">
        <f t="shared" si="10"/>
        <v>GC-04314</v>
      </c>
      <c r="F221" s="151">
        <f>+IF(AND(C221*1&gt;=200,E221="GC-04314"),IF(D221=0,MAX(F$2:F220)+1,0),0)</f>
        <v>120</v>
      </c>
      <c r="H221" s="151" t="s">
        <v>6096</v>
      </c>
      <c r="I221" s="151" t="s">
        <v>6962</v>
      </c>
      <c r="J221" s="151" t="s">
        <v>6962</v>
      </c>
      <c r="K221" s="151">
        <f t="shared" si="11"/>
        <v>0</v>
      </c>
      <c r="L221" s="151" t="s">
        <v>9020</v>
      </c>
    </row>
    <row r="222" spans="1:12" x14ac:dyDescent="0.25">
      <c r="A222" s="151" t="s">
        <v>2345</v>
      </c>
      <c r="B222" s="151" t="s">
        <v>2997</v>
      </c>
      <c r="C222" s="151" t="s">
        <v>3272</v>
      </c>
      <c r="D222" s="151">
        <f t="shared" si="9"/>
        <v>0</v>
      </c>
      <c r="E222" s="151" t="str">
        <f t="shared" si="10"/>
        <v>GC-04314</v>
      </c>
      <c r="F222" s="151">
        <f>+IF(AND(C222*1&gt;=200,E222="GC-04314"),IF(D222=0,MAX(F$2:F221)+1,0),0)</f>
        <v>121</v>
      </c>
      <c r="H222" s="151" t="s">
        <v>6097</v>
      </c>
      <c r="I222" s="151" t="s">
        <v>6962</v>
      </c>
      <c r="J222" s="151" t="s">
        <v>6962</v>
      </c>
      <c r="K222" s="151">
        <f t="shared" si="11"/>
        <v>0</v>
      </c>
      <c r="L222" s="151" t="s">
        <v>9020</v>
      </c>
    </row>
    <row r="223" spans="1:12" x14ac:dyDescent="0.25">
      <c r="A223" s="151" t="s">
        <v>2346</v>
      </c>
      <c r="B223" s="151" t="s">
        <v>2997</v>
      </c>
      <c r="C223" s="151" t="s">
        <v>3273</v>
      </c>
      <c r="D223" s="151">
        <f t="shared" si="9"/>
        <v>0</v>
      </c>
      <c r="E223" s="151" t="str">
        <f t="shared" si="10"/>
        <v>GC-04314</v>
      </c>
      <c r="F223" s="151">
        <f>+IF(AND(C223*1&gt;=200,E223="GC-04314"),IF(D223=0,MAX(F$2:F222)+1,0),0)</f>
        <v>122</v>
      </c>
      <c r="H223" s="151" t="s">
        <v>6098</v>
      </c>
      <c r="I223" s="151" t="s">
        <v>6962</v>
      </c>
      <c r="J223" s="151" t="s">
        <v>6962</v>
      </c>
      <c r="K223" s="151">
        <f t="shared" si="11"/>
        <v>0</v>
      </c>
      <c r="L223" s="151" t="s">
        <v>9020</v>
      </c>
    </row>
    <row r="224" spans="1:12" x14ac:dyDescent="0.25">
      <c r="A224" s="151" t="s">
        <v>2347</v>
      </c>
      <c r="B224" s="151" t="s">
        <v>2997</v>
      </c>
      <c r="C224" s="151" t="s">
        <v>3274</v>
      </c>
      <c r="D224" s="151">
        <f t="shared" si="9"/>
        <v>0</v>
      </c>
      <c r="E224" s="151" t="str">
        <f t="shared" si="10"/>
        <v>GC-04314</v>
      </c>
      <c r="F224" s="151">
        <f>+IF(AND(C224*1&gt;=200,E224="GC-04314"),IF(D224=0,MAX(F$2:F223)+1,0),0)</f>
        <v>123</v>
      </c>
      <c r="H224" s="151" t="s">
        <v>6099</v>
      </c>
      <c r="I224" s="151" t="s">
        <v>6962</v>
      </c>
      <c r="J224" s="151" t="s">
        <v>6962</v>
      </c>
      <c r="K224" s="151">
        <f t="shared" si="11"/>
        <v>0</v>
      </c>
      <c r="L224" s="151" t="s">
        <v>9020</v>
      </c>
    </row>
    <row r="225" spans="1:12" x14ac:dyDescent="0.25">
      <c r="A225" s="151" t="s">
        <v>2348</v>
      </c>
      <c r="B225" s="151" t="s">
        <v>2997</v>
      </c>
      <c r="C225" s="151" t="s">
        <v>3275</v>
      </c>
      <c r="D225" s="151">
        <f t="shared" si="9"/>
        <v>0</v>
      </c>
      <c r="E225" s="151" t="str">
        <f t="shared" si="10"/>
        <v>GC-04314</v>
      </c>
      <c r="F225" s="151">
        <f>+IF(AND(C225*1&gt;=200,E225="GC-04314"),IF(D225=0,MAX(F$2:F224)+1,0),0)</f>
        <v>124</v>
      </c>
      <c r="H225" s="151" t="s">
        <v>6100</v>
      </c>
      <c r="I225" s="151" t="s">
        <v>6962</v>
      </c>
      <c r="J225" s="151" t="s">
        <v>6962</v>
      </c>
      <c r="K225" s="151">
        <f t="shared" si="11"/>
        <v>0</v>
      </c>
      <c r="L225" s="151" t="s">
        <v>9020</v>
      </c>
    </row>
    <row r="226" spans="1:12" x14ac:dyDescent="0.25">
      <c r="A226" s="151" t="s">
        <v>2349</v>
      </c>
      <c r="B226" s="151" t="s">
        <v>2997</v>
      </c>
      <c r="C226" s="151" t="s">
        <v>3276</v>
      </c>
      <c r="D226" s="151">
        <f t="shared" si="9"/>
        <v>0</v>
      </c>
      <c r="E226" s="151" t="str">
        <f t="shared" si="10"/>
        <v>GC-04314</v>
      </c>
      <c r="F226" s="151">
        <f>+IF(AND(C226*1&gt;=200,E226="GC-04314"),IF(D226=0,MAX(F$2:F225)+1,0),0)</f>
        <v>125</v>
      </c>
      <c r="H226" s="151" t="s">
        <v>6101</v>
      </c>
      <c r="I226" s="151" t="s">
        <v>6962</v>
      </c>
      <c r="J226" s="151" t="s">
        <v>6962</v>
      </c>
      <c r="K226" s="151">
        <f t="shared" si="11"/>
        <v>0</v>
      </c>
      <c r="L226" s="151" t="s">
        <v>9020</v>
      </c>
    </row>
    <row r="227" spans="1:12" x14ac:dyDescent="0.25">
      <c r="A227" s="151" t="s">
        <v>2350</v>
      </c>
      <c r="B227" s="151" t="s">
        <v>2997</v>
      </c>
      <c r="C227" s="151" t="s">
        <v>3277</v>
      </c>
      <c r="D227" s="151">
        <f t="shared" si="9"/>
        <v>0</v>
      </c>
      <c r="E227" s="151" t="str">
        <f t="shared" si="10"/>
        <v>GC-04314</v>
      </c>
      <c r="F227" s="151">
        <f>+IF(AND(C227*1&gt;=200,E227="GC-04314"),IF(D227=0,MAX(F$2:F226)+1,0),0)</f>
        <v>126</v>
      </c>
      <c r="H227" s="151" t="s">
        <v>6102</v>
      </c>
      <c r="I227" s="151" t="s">
        <v>6962</v>
      </c>
      <c r="J227" s="151" t="s">
        <v>6962</v>
      </c>
      <c r="K227" s="151">
        <f t="shared" si="11"/>
        <v>0</v>
      </c>
      <c r="L227" s="151" t="s">
        <v>9020</v>
      </c>
    </row>
    <row r="228" spans="1:12" x14ac:dyDescent="0.25">
      <c r="A228" s="151" t="s">
        <v>2351</v>
      </c>
      <c r="B228" s="151" t="s">
        <v>2997</v>
      </c>
      <c r="C228" s="151" t="s">
        <v>3278</v>
      </c>
      <c r="D228" s="151">
        <f t="shared" si="9"/>
        <v>0</v>
      </c>
      <c r="E228" s="151" t="str">
        <f t="shared" si="10"/>
        <v>GC-04314</v>
      </c>
      <c r="F228" s="151">
        <f>+IF(AND(C228*1&gt;=200,E228="GC-04314"),IF(D228=0,MAX(F$2:F227)+1,0),0)</f>
        <v>127</v>
      </c>
      <c r="H228" s="151" t="s">
        <v>6103</v>
      </c>
      <c r="I228" s="151" t="s">
        <v>6962</v>
      </c>
      <c r="J228" s="151" t="s">
        <v>6962</v>
      </c>
      <c r="K228" s="151">
        <f t="shared" si="11"/>
        <v>0</v>
      </c>
      <c r="L228" s="151" t="s">
        <v>9020</v>
      </c>
    </row>
    <row r="229" spans="1:12" x14ac:dyDescent="0.25">
      <c r="A229" s="151" t="s">
        <v>2352</v>
      </c>
      <c r="B229" s="151" t="s">
        <v>2997</v>
      </c>
      <c r="C229" s="151" t="s">
        <v>3279</v>
      </c>
      <c r="D229" s="151">
        <f t="shared" si="9"/>
        <v>0</v>
      </c>
      <c r="E229" s="151" t="str">
        <f t="shared" si="10"/>
        <v>GC-04314</v>
      </c>
      <c r="F229" s="151">
        <f>+IF(AND(C229*1&gt;=200,E229="GC-04314"),IF(D229=0,MAX(F$2:F228)+1,0),0)</f>
        <v>128</v>
      </c>
      <c r="H229" s="151" t="s">
        <v>6104</v>
      </c>
      <c r="I229" s="151" t="s">
        <v>6962</v>
      </c>
      <c r="J229" s="151" t="s">
        <v>6962</v>
      </c>
      <c r="K229" s="151">
        <f t="shared" si="11"/>
        <v>0</v>
      </c>
      <c r="L229" s="151" t="s">
        <v>9020</v>
      </c>
    </row>
    <row r="230" spans="1:12" x14ac:dyDescent="0.25">
      <c r="A230" s="151" t="s">
        <v>2353</v>
      </c>
      <c r="B230" s="151" t="s">
        <v>2997</v>
      </c>
      <c r="C230" s="151" t="s">
        <v>3280</v>
      </c>
      <c r="D230" s="151">
        <f t="shared" si="9"/>
        <v>0</v>
      </c>
      <c r="E230" s="151" t="str">
        <f t="shared" si="10"/>
        <v>GC-04314</v>
      </c>
      <c r="F230" s="151">
        <f>+IF(AND(C230*1&gt;=200,E230="GC-04314"),IF(D230=0,MAX(F$2:F229)+1,0),0)</f>
        <v>129</v>
      </c>
      <c r="H230" s="151" t="s">
        <v>6105</v>
      </c>
      <c r="I230" s="151" t="s">
        <v>6962</v>
      </c>
      <c r="J230" s="151" t="s">
        <v>6962</v>
      </c>
      <c r="K230" s="151">
        <f t="shared" si="11"/>
        <v>0</v>
      </c>
      <c r="L230" s="151" t="s">
        <v>9020</v>
      </c>
    </row>
    <row r="231" spans="1:12" x14ac:dyDescent="0.25">
      <c r="A231" s="151" t="s">
        <v>2354</v>
      </c>
      <c r="B231" s="151" t="s">
        <v>2997</v>
      </c>
      <c r="C231" s="151" t="s">
        <v>3281</v>
      </c>
      <c r="D231" s="151">
        <f t="shared" si="9"/>
        <v>0</v>
      </c>
      <c r="E231" s="151" t="str">
        <f t="shared" si="10"/>
        <v>GC-04314</v>
      </c>
      <c r="F231" s="151">
        <f>+IF(AND(C231*1&gt;=200,E231="GC-04314"),IF(D231=0,MAX(F$2:F230)+1,0),0)</f>
        <v>130</v>
      </c>
      <c r="H231" s="151" t="s">
        <v>6106</v>
      </c>
      <c r="I231" s="151" t="s">
        <v>6962</v>
      </c>
      <c r="J231" s="151" t="s">
        <v>6962</v>
      </c>
      <c r="K231" s="151">
        <f t="shared" si="11"/>
        <v>0</v>
      </c>
      <c r="L231" s="151" t="s">
        <v>9020</v>
      </c>
    </row>
    <row r="232" spans="1:12" x14ac:dyDescent="0.25">
      <c r="A232" s="151" t="s">
        <v>2355</v>
      </c>
      <c r="B232" s="151" t="s">
        <v>2997</v>
      </c>
      <c r="C232" s="151" t="s">
        <v>3282</v>
      </c>
      <c r="D232" s="151">
        <f t="shared" si="9"/>
        <v>0</v>
      </c>
      <c r="E232" s="151" t="str">
        <f t="shared" si="10"/>
        <v>GC-04314</v>
      </c>
      <c r="F232" s="151">
        <f>+IF(AND(C232*1&gt;=200,E232="GC-04314"),IF(D232=0,MAX(F$2:F231)+1,0),0)</f>
        <v>131</v>
      </c>
      <c r="H232" s="151" t="s">
        <v>6107</v>
      </c>
      <c r="I232" s="151" t="s">
        <v>6962</v>
      </c>
      <c r="J232" s="151" t="s">
        <v>6962</v>
      </c>
      <c r="K232" s="151">
        <f t="shared" si="11"/>
        <v>0</v>
      </c>
      <c r="L232" s="151" t="s">
        <v>9020</v>
      </c>
    </row>
    <row r="233" spans="1:12" x14ac:dyDescent="0.25">
      <c r="A233" s="151" t="s">
        <v>2356</v>
      </c>
      <c r="B233" s="151" t="s">
        <v>2997</v>
      </c>
      <c r="C233" s="151" t="s">
        <v>3283</v>
      </c>
      <c r="D233" s="151">
        <f t="shared" si="9"/>
        <v>0</v>
      </c>
      <c r="E233" s="151" t="str">
        <f t="shared" si="10"/>
        <v>GC-04314</v>
      </c>
      <c r="F233" s="151">
        <f>+IF(AND(C233*1&gt;=200,E233="GC-04314"),IF(D233=0,MAX(F$2:F232)+1,0),0)</f>
        <v>132</v>
      </c>
      <c r="H233" s="151" t="s">
        <v>6108</v>
      </c>
      <c r="I233" s="151" t="s">
        <v>6962</v>
      </c>
      <c r="J233" s="151" t="s">
        <v>6962</v>
      </c>
      <c r="K233" s="151">
        <f t="shared" si="11"/>
        <v>0</v>
      </c>
      <c r="L233" s="151" t="s">
        <v>9020</v>
      </c>
    </row>
    <row r="234" spans="1:12" x14ac:dyDescent="0.25">
      <c r="A234" s="151" t="s">
        <v>2357</v>
      </c>
      <c r="B234" s="151" t="s">
        <v>2997</v>
      </c>
      <c r="C234" s="151" t="s">
        <v>3284</v>
      </c>
      <c r="D234" s="151">
        <f t="shared" si="9"/>
        <v>0</v>
      </c>
      <c r="E234" s="151" t="str">
        <f t="shared" si="10"/>
        <v>GC-04314</v>
      </c>
      <c r="F234" s="151">
        <f>+IF(AND(C234*1&gt;=200,E234="GC-04314"),IF(D234=0,MAX(F$2:F233)+1,0),0)</f>
        <v>133</v>
      </c>
      <c r="H234" s="151" t="s">
        <v>6109</v>
      </c>
      <c r="I234" s="151" t="s">
        <v>6962</v>
      </c>
      <c r="J234" s="151" t="s">
        <v>6962</v>
      </c>
      <c r="K234" s="151">
        <f t="shared" si="11"/>
        <v>0</v>
      </c>
      <c r="L234" s="151" t="s">
        <v>9020</v>
      </c>
    </row>
    <row r="235" spans="1:12" x14ac:dyDescent="0.25">
      <c r="A235" s="151" t="s">
        <v>2358</v>
      </c>
      <c r="B235" s="151" t="s">
        <v>2997</v>
      </c>
      <c r="C235" s="151" t="s">
        <v>3285</v>
      </c>
      <c r="D235" s="151">
        <f t="shared" si="9"/>
        <v>0</v>
      </c>
      <c r="E235" s="151" t="str">
        <f t="shared" si="10"/>
        <v>GC-04314</v>
      </c>
      <c r="F235" s="151">
        <f>+IF(AND(C235*1&gt;=200,E235="GC-04314"),IF(D235=0,MAX(F$2:F234)+1,0),0)</f>
        <v>134</v>
      </c>
      <c r="H235" s="151" t="s">
        <v>6110</v>
      </c>
      <c r="I235" s="151" t="s">
        <v>6962</v>
      </c>
      <c r="J235" s="151" t="s">
        <v>6962</v>
      </c>
      <c r="K235" s="151">
        <f t="shared" si="11"/>
        <v>0</v>
      </c>
      <c r="L235" s="151" t="s">
        <v>9020</v>
      </c>
    </row>
    <row r="236" spans="1:12" x14ac:dyDescent="0.25">
      <c r="A236" s="151" t="s">
        <v>2359</v>
      </c>
      <c r="B236" s="151" t="s">
        <v>2997</v>
      </c>
      <c r="C236" s="151" t="s">
        <v>3286</v>
      </c>
      <c r="D236" s="151">
        <f t="shared" si="9"/>
        <v>0</v>
      </c>
      <c r="E236" s="151" t="str">
        <f t="shared" si="10"/>
        <v>GC-04314</v>
      </c>
      <c r="F236" s="151">
        <f>+IF(AND(C236*1&gt;=200,E236="GC-04314"),IF(D236=0,MAX(F$2:F235)+1,0),0)</f>
        <v>135</v>
      </c>
      <c r="H236" s="151" t="s">
        <v>6111</v>
      </c>
      <c r="I236" s="151" t="s">
        <v>6962</v>
      </c>
      <c r="J236" s="151" t="s">
        <v>6962</v>
      </c>
      <c r="K236" s="151">
        <f t="shared" si="11"/>
        <v>0</v>
      </c>
      <c r="L236" s="151" t="s">
        <v>9020</v>
      </c>
    </row>
    <row r="237" spans="1:12" x14ac:dyDescent="0.25">
      <c r="A237" s="151" t="s">
        <v>2360</v>
      </c>
      <c r="B237" s="151" t="s">
        <v>2997</v>
      </c>
      <c r="C237" s="151" t="s">
        <v>3287</v>
      </c>
      <c r="D237" s="151">
        <f t="shared" si="9"/>
        <v>0</v>
      </c>
      <c r="E237" s="151" t="str">
        <f t="shared" si="10"/>
        <v>GC-04314</v>
      </c>
      <c r="F237" s="151">
        <f>+IF(AND(C237*1&gt;=200,E237="GC-04314"),IF(D237=0,MAX(F$2:F236)+1,0),0)</f>
        <v>136</v>
      </c>
      <c r="H237" s="151" t="s">
        <v>6112</v>
      </c>
      <c r="I237" s="151" t="s">
        <v>6962</v>
      </c>
      <c r="J237" s="151" t="s">
        <v>6962</v>
      </c>
      <c r="K237" s="151">
        <f t="shared" si="11"/>
        <v>0</v>
      </c>
      <c r="L237" s="151" t="s">
        <v>9020</v>
      </c>
    </row>
    <row r="238" spans="1:12" x14ac:dyDescent="0.25">
      <c r="A238" s="151" t="s">
        <v>2361</v>
      </c>
      <c r="B238" s="151" t="s">
        <v>2997</v>
      </c>
      <c r="C238" s="151" t="s">
        <v>3288</v>
      </c>
      <c r="D238" s="151">
        <f t="shared" si="9"/>
        <v>0</v>
      </c>
      <c r="E238" s="151" t="str">
        <f t="shared" si="10"/>
        <v>GC-04314</v>
      </c>
      <c r="F238" s="151">
        <f>+IF(AND(C238*1&gt;=200,E238="GC-04314"),IF(D238=0,MAX(F$2:F237)+1,0),0)</f>
        <v>137</v>
      </c>
      <c r="H238" s="151" t="s">
        <v>6113</v>
      </c>
      <c r="I238" s="151" t="s">
        <v>6962</v>
      </c>
      <c r="J238" s="151" t="s">
        <v>6962</v>
      </c>
      <c r="K238" s="151">
        <f t="shared" si="11"/>
        <v>0</v>
      </c>
      <c r="L238" s="151" t="s">
        <v>9020</v>
      </c>
    </row>
    <row r="239" spans="1:12" x14ac:dyDescent="0.25">
      <c r="A239" s="151" t="s">
        <v>2362</v>
      </c>
      <c r="B239" s="151" t="s">
        <v>2997</v>
      </c>
      <c r="C239" s="151" t="s">
        <v>3289</v>
      </c>
      <c r="D239" s="151">
        <f t="shared" si="9"/>
        <v>0</v>
      </c>
      <c r="E239" s="151" t="str">
        <f t="shared" si="10"/>
        <v>GC-04314</v>
      </c>
      <c r="F239" s="151">
        <f>+IF(AND(C239*1&gt;=200,E239="GC-04314"),IF(D239=0,MAX(F$2:F238)+1,0),0)</f>
        <v>138</v>
      </c>
      <c r="H239" s="151" t="s">
        <v>6114</v>
      </c>
      <c r="I239" s="151" t="s">
        <v>6962</v>
      </c>
      <c r="J239" s="151" t="s">
        <v>6962</v>
      </c>
      <c r="K239" s="151">
        <f t="shared" si="11"/>
        <v>0</v>
      </c>
      <c r="L239" s="151" t="s">
        <v>9020</v>
      </c>
    </row>
    <row r="240" spans="1:12" x14ac:dyDescent="0.25">
      <c r="A240" s="151" t="s">
        <v>2363</v>
      </c>
      <c r="B240" s="151" t="s">
        <v>2997</v>
      </c>
      <c r="C240" s="151" t="s">
        <v>3290</v>
      </c>
      <c r="D240" s="151">
        <f t="shared" si="9"/>
        <v>0</v>
      </c>
      <c r="E240" s="151" t="str">
        <f t="shared" si="10"/>
        <v>GC-04314</v>
      </c>
      <c r="F240" s="151">
        <f>+IF(AND(C240*1&gt;=200,E240="GC-04314"),IF(D240=0,MAX(F$2:F239)+1,0),0)</f>
        <v>139</v>
      </c>
      <c r="H240" s="151" t="s">
        <v>6115</v>
      </c>
      <c r="I240" s="151" t="s">
        <v>6962</v>
      </c>
      <c r="J240" s="151" t="s">
        <v>6962</v>
      </c>
      <c r="K240" s="151">
        <f t="shared" si="11"/>
        <v>0</v>
      </c>
      <c r="L240" s="151" t="s">
        <v>9020</v>
      </c>
    </row>
    <row r="241" spans="1:12" x14ac:dyDescent="0.25">
      <c r="A241" s="151" t="s">
        <v>2364</v>
      </c>
      <c r="B241" s="151" t="s">
        <v>2997</v>
      </c>
      <c r="C241" s="151" t="s">
        <v>3291</v>
      </c>
      <c r="D241" s="151">
        <f t="shared" si="9"/>
        <v>0</v>
      </c>
      <c r="E241" s="151" t="str">
        <f t="shared" si="10"/>
        <v>GC-04314</v>
      </c>
      <c r="F241" s="151">
        <f>+IF(AND(C241*1&gt;=200,E241="GC-04314"),IF(D241=0,MAX(F$2:F240)+1,0),0)</f>
        <v>140</v>
      </c>
      <c r="H241" s="151" t="s">
        <v>6116</v>
      </c>
      <c r="I241" s="151" t="s">
        <v>6962</v>
      </c>
      <c r="J241" s="151" t="s">
        <v>6962</v>
      </c>
      <c r="K241" s="151">
        <f t="shared" si="11"/>
        <v>0</v>
      </c>
      <c r="L241" s="151" t="s">
        <v>9020</v>
      </c>
    </row>
    <row r="242" spans="1:12" x14ac:dyDescent="0.25">
      <c r="A242" s="151" t="s">
        <v>2365</v>
      </c>
      <c r="B242" s="151" t="s">
        <v>2997</v>
      </c>
      <c r="C242" s="151" t="s">
        <v>3292</v>
      </c>
      <c r="D242" s="151">
        <f t="shared" si="9"/>
        <v>0</v>
      </c>
      <c r="E242" s="151" t="str">
        <f t="shared" si="10"/>
        <v>GC-04314</v>
      </c>
      <c r="F242" s="151">
        <f>+IF(AND(C242*1&gt;=200,E242="GC-04314"),IF(D242=0,MAX(F$2:F241)+1,0),0)</f>
        <v>141</v>
      </c>
      <c r="H242" s="151" t="s">
        <v>6117</v>
      </c>
      <c r="I242" s="151" t="s">
        <v>6962</v>
      </c>
      <c r="J242" s="151" t="s">
        <v>6962</v>
      </c>
      <c r="K242" s="151">
        <f t="shared" si="11"/>
        <v>0</v>
      </c>
      <c r="L242" s="151" t="s">
        <v>9020</v>
      </c>
    </row>
    <row r="243" spans="1:12" x14ac:dyDescent="0.25">
      <c r="A243" s="151" t="s">
        <v>2366</v>
      </c>
      <c r="B243" s="151" t="s">
        <v>2997</v>
      </c>
      <c r="C243" s="151" t="s">
        <v>3293</v>
      </c>
      <c r="D243" s="151">
        <f t="shared" si="9"/>
        <v>0</v>
      </c>
      <c r="E243" s="151" t="str">
        <f t="shared" si="10"/>
        <v>GC-04314</v>
      </c>
      <c r="F243" s="151">
        <f>+IF(AND(C243*1&gt;=200,E243="GC-04314"),IF(D243=0,MAX(F$2:F242)+1,0),0)</f>
        <v>142</v>
      </c>
      <c r="H243" s="151" t="s">
        <v>6118</v>
      </c>
      <c r="I243" s="151" t="s">
        <v>6962</v>
      </c>
      <c r="J243" s="151" t="s">
        <v>6962</v>
      </c>
      <c r="K243" s="151">
        <f t="shared" si="11"/>
        <v>0</v>
      </c>
      <c r="L243" s="151" t="s">
        <v>9020</v>
      </c>
    </row>
    <row r="244" spans="1:12" x14ac:dyDescent="0.25">
      <c r="A244" s="151" t="s">
        <v>2367</v>
      </c>
      <c r="B244" s="151" t="s">
        <v>2997</v>
      </c>
      <c r="C244" s="151" t="s">
        <v>3294</v>
      </c>
      <c r="D244" s="151">
        <f t="shared" si="9"/>
        <v>0</v>
      </c>
      <c r="E244" s="151" t="str">
        <f t="shared" si="10"/>
        <v>GC-04314</v>
      </c>
      <c r="F244" s="151">
        <f>+IF(AND(C244*1&gt;=200,E244="GC-04314"),IF(D244=0,MAX(F$2:F243)+1,0),0)</f>
        <v>143</v>
      </c>
      <c r="H244" s="151" t="s">
        <v>6119</v>
      </c>
      <c r="I244" s="151" t="s">
        <v>6962</v>
      </c>
      <c r="J244" s="151" t="s">
        <v>6962</v>
      </c>
      <c r="K244" s="151">
        <f t="shared" si="11"/>
        <v>0</v>
      </c>
      <c r="L244" s="151" t="s">
        <v>9020</v>
      </c>
    </row>
    <row r="245" spans="1:12" x14ac:dyDescent="0.25">
      <c r="A245" s="151" t="s">
        <v>2368</v>
      </c>
      <c r="B245" s="151" t="s">
        <v>2997</v>
      </c>
      <c r="C245" s="151" t="s">
        <v>3295</v>
      </c>
      <c r="D245" s="151">
        <f t="shared" si="9"/>
        <v>0</v>
      </c>
      <c r="E245" s="151" t="str">
        <f t="shared" si="10"/>
        <v>GC-04314</v>
      </c>
      <c r="F245" s="151">
        <f>+IF(AND(C245*1&gt;=200,E245="GC-04314"),IF(D245=0,MAX(F$2:F244)+1,0),0)</f>
        <v>144</v>
      </c>
      <c r="H245" s="151" t="s">
        <v>6120</v>
      </c>
      <c r="I245" s="151" t="s">
        <v>6962</v>
      </c>
      <c r="J245" s="151" t="s">
        <v>6962</v>
      </c>
      <c r="K245" s="151">
        <f t="shared" si="11"/>
        <v>0</v>
      </c>
      <c r="L245" s="151" t="s">
        <v>9020</v>
      </c>
    </row>
    <row r="246" spans="1:12" x14ac:dyDescent="0.25">
      <c r="A246" s="151" t="s">
        <v>2369</v>
      </c>
      <c r="B246" s="151" t="s">
        <v>2997</v>
      </c>
      <c r="C246" s="151" t="s">
        <v>3296</v>
      </c>
      <c r="D246" s="151">
        <f t="shared" si="9"/>
        <v>0</v>
      </c>
      <c r="E246" s="151" t="str">
        <f t="shared" si="10"/>
        <v>GC-04314</v>
      </c>
      <c r="F246" s="151">
        <f>+IF(AND(C246*1&gt;=200,E246="GC-04314"),IF(D246=0,MAX(F$2:F245)+1,0),0)</f>
        <v>145</v>
      </c>
      <c r="H246" s="151" t="s">
        <v>6121</v>
      </c>
      <c r="I246" s="151" t="s">
        <v>6962</v>
      </c>
      <c r="J246" s="151" t="s">
        <v>6962</v>
      </c>
      <c r="K246" s="151">
        <f t="shared" si="11"/>
        <v>0</v>
      </c>
      <c r="L246" s="151" t="s">
        <v>9020</v>
      </c>
    </row>
    <row r="247" spans="1:12" x14ac:dyDescent="0.25">
      <c r="A247" s="151" t="s">
        <v>2370</v>
      </c>
      <c r="B247" s="151" t="s">
        <v>2997</v>
      </c>
      <c r="C247" s="151" t="s">
        <v>3297</v>
      </c>
      <c r="D247" s="151">
        <f t="shared" si="9"/>
        <v>0</v>
      </c>
      <c r="E247" s="151" t="str">
        <f t="shared" si="10"/>
        <v>GC-04314</v>
      </c>
      <c r="F247" s="151">
        <f>+IF(AND(C247*1&gt;=200,E247="GC-04314"),IF(D247=0,MAX(F$2:F246)+1,0),0)</f>
        <v>146</v>
      </c>
      <c r="H247" s="151" t="s">
        <v>6122</v>
      </c>
      <c r="I247" s="151" t="s">
        <v>6962</v>
      </c>
      <c r="J247" s="151" t="s">
        <v>6962</v>
      </c>
      <c r="K247" s="151">
        <f t="shared" si="11"/>
        <v>0</v>
      </c>
      <c r="L247" s="151" t="s">
        <v>9020</v>
      </c>
    </row>
    <row r="248" spans="1:12" x14ac:dyDescent="0.25">
      <c r="A248" s="151" t="s">
        <v>2371</v>
      </c>
      <c r="B248" s="151" t="s">
        <v>2997</v>
      </c>
      <c r="C248" s="151" t="s">
        <v>3298</v>
      </c>
      <c r="D248" s="151">
        <f t="shared" si="9"/>
        <v>0</v>
      </c>
      <c r="E248" s="151" t="str">
        <f t="shared" si="10"/>
        <v>GC-04314</v>
      </c>
      <c r="F248" s="151">
        <f>+IF(AND(C248*1&gt;=200,E248="GC-04314"),IF(D248=0,MAX(F$2:F247)+1,0),0)</f>
        <v>147</v>
      </c>
      <c r="H248" s="151" t="s">
        <v>6123</v>
      </c>
      <c r="I248" s="151" t="s">
        <v>6962</v>
      </c>
      <c r="J248" s="151" t="s">
        <v>6962</v>
      </c>
      <c r="K248" s="151">
        <f t="shared" si="11"/>
        <v>0</v>
      </c>
      <c r="L248" s="151" t="s">
        <v>9020</v>
      </c>
    </row>
    <row r="249" spans="1:12" x14ac:dyDescent="0.25">
      <c r="A249" s="151" t="s">
        <v>2372</v>
      </c>
      <c r="B249" s="151" t="s">
        <v>2997</v>
      </c>
      <c r="C249" s="151" t="s">
        <v>3299</v>
      </c>
      <c r="D249" s="151">
        <f t="shared" si="9"/>
        <v>0</v>
      </c>
      <c r="E249" s="151" t="str">
        <f t="shared" si="10"/>
        <v>GC-04314</v>
      </c>
      <c r="F249" s="151">
        <f>+IF(AND(C249*1&gt;=200,E249="GC-04314"),IF(D249=0,MAX(F$2:F248)+1,0),0)</f>
        <v>148</v>
      </c>
      <c r="H249" s="151" t="s">
        <v>6124</v>
      </c>
      <c r="I249" s="151" t="s">
        <v>6962</v>
      </c>
      <c r="J249" s="151" t="s">
        <v>6962</v>
      </c>
      <c r="K249" s="151">
        <f t="shared" si="11"/>
        <v>0</v>
      </c>
      <c r="L249" s="151" t="s">
        <v>9020</v>
      </c>
    </row>
    <row r="250" spans="1:12" x14ac:dyDescent="0.25">
      <c r="A250" s="151" t="s">
        <v>2373</v>
      </c>
      <c r="B250" s="151" t="s">
        <v>2997</v>
      </c>
      <c r="C250" s="151" t="s">
        <v>3300</v>
      </c>
      <c r="D250" s="151">
        <f t="shared" si="9"/>
        <v>0</v>
      </c>
      <c r="E250" s="151" t="str">
        <f t="shared" si="10"/>
        <v>GC-04314</v>
      </c>
      <c r="F250" s="151">
        <f>+IF(AND(C250*1&gt;=200,E250="GC-04314"),IF(D250=0,MAX(F$2:F249)+1,0),0)</f>
        <v>149</v>
      </c>
      <c r="H250" s="151" t="s">
        <v>6125</v>
      </c>
      <c r="I250" s="151" t="s">
        <v>6962</v>
      </c>
      <c r="J250" s="151" t="s">
        <v>6962</v>
      </c>
      <c r="K250" s="151">
        <f t="shared" si="11"/>
        <v>0</v>
      </c>
      <c r="L250" s="151" t="s">
        <v>9020</v>
      </c>
    </row>
    <row r="251" spans="1:12" x14ac:dyDescent="0.25">
      <c r="A251" s="151" t="s">
        <v>2374</v>
      </c>
      <c r="B251" s="151" t="s">
        <v>2997</v>
      </c>
      <c r="C251" s="151" t="s">
        <v>3301</v>
      </c>
      <c r="D251" s="151">
        <f t="shared" si="9"/>
        <v>0</v>
      </c>
      <c r="E251" s="151" t="str">
        <f t="shared" si="10"/>
        <v>GC-04314</v>
      </c>
      <c r="F251" s="151">
        <f>+IF(AND(C251*1&gt;=200,E251="GC-04314"),IF(D251=0,MAX(F$2:F250)+1,0),0)</f>
        <v>150</v>
      </c>
      <c r="H251" s="151" t="s">
        <v>6126</v>
      </c>
      <c r="I251" s="151" t="s">
        <v>6962</v>
      </c>
      <c r="J251" s="151" t="s">
        <v>6962</v>
      </c>
      <c r="K251" s="151">
        <f t="shared" si="11"/>
        <v>0</v>
      </c>
      <c r="L251" s="151" t="s">
        <v>9020</v>
      </c>
    </row>
    <row r="252" spans="1:12" x14ac:dyDescent="0.25">
      <c r="A252" s="151" t="s">
        <v>2375</v>
      </c>
      <c r="B252" s="151" t="s">
        <v>2997</v>
      </c>
      <c r="C252" s="151" t="s">
        <v>3302</v>
      </c>
      <c r="D252" s="151">
        <f t="shared" si="9"/>
        <v>0</v>
      </c>
      <c r="E252" s="151" t="str">
        <f t="shared" si="10"/>
        <v>GC-04314</v>
      </c>
      <c r="F252" s="151">
        <f>+IF(AND(C252*1&gt;=200,E252="GC-04314"),IF(D252=0,MAX(F$2:F251)+1,0),0)</f>
        <v>151</v>
      </c>
      <c r="H252" s="151" t="s">
        <v>6127</v>
      </c>
      <c r="I252" s="151" t="s">
        <v>6962</v>
      </c>
      <c r="J252" s="151" t="s">
        <v>6962</v>
      </c>
      <c r="K252" s="151">
        <f t="shared" si="11"/>
        <v>0</v>
      </c>
      <c r="L252" s="151" t="s">
        <v>9020</v>
      </c>
    </row>
    <row r="253" spans="1:12" x14ac:dyDescent="0.25">
      <c r="A253" s="151" t="s">
        <v>2376</v>
      </c>
      <c r="B253" s="151" t="s">
        <v>2997</v>
      </c>
      <c r="C253" s="151" t="s">
        <v>3303</v>
      </c>
      <c r="D253" s="151">
        <f t="shared" si="9"/>
        <v>0</v>
      </c>
      <c r="E253" s="151" t="str">
        <f t="shared" si="10"/>
        <v>GC-04314</v>
      </c>
      <c r="F253" s="151">
        <f>+IF(AND(C253*1&gt;=200,E253="GC-04314"),IF(D253=0,MAX(F$2:F252)+1,0),0)</f>
        <v>152</v>
      </c>
      <c r="H253" s="151" t="s">
        <v>6128</v>
      </c>
      <c r="I253" s="151" t="s">
        <v>6962</v>
      </c>
      <c r="J253" s="151" t="s">
        <v>6962</v>
      </c>
      <c r="K253" s="151">
        <f t="shared" si="11"/>
        <v>0</v>
      </c>
      <c r="L253" s="151" t="s">
        <v>9020</v>
      </c>
    </row>
    <row r="254" spans="1:12" x14ac:dyDescent="0.25">
      <c r="A254" s="151" t="s">
        <v>2377</v>
      </c>
      <c r="B254" s="151" t="s">
        <v>2997</v>
      </c>
      <c r="C254" s="151" t="s">
        <v>3304</v>
      </c>
      <c r="D254" s="151">
        <f t="shared" si="9"/>
        <v>0</v>
      </c>
      <c r="E254" s="151" t="str">
        <f t="shared" si="10"/>
        <v>GC-04314</v>
      </c>
      <c r="F254" s="151">
        <f>+IF(AND(C254*1&gt;=200,E254="GC-04314"),IF(D254=0,MAX(F$2:F253)+1,0),0)</f>
        <v>153</v>
      </c>
      <c r="H254" s="151" t="s">
        <v>6129</v>
      </c>
      <c r="I254" s="151" t="s">
        <v>6962</v>
      </c>
      <c r="J254" s="151" t="s">
        <v>6962</v>
      </c>
      <c r="K254" s="151">
        <f t="shared" si="11"/>
        <v>0</v>
      </c>
      <c r="L254" s="151" t="s">
        <v>9020</v>
      </c>
    </row>
    <row r="255" spans="1:12" x14ac:dyDescent="0.25">
      <c r="A255" s="151" t="s">
        <v>2378</v>
      </c>
      <c r="B255" s="151" t="s">
        <v>2997</v>
      </c>
      <c r="C255" s="151" t="s">
        <v>3305</v>
      </c>
      <c r="D255" s="151">
        <f t="shared" si="9"/>
        <v>0</v>
      </c>
      <c r="E255" s="151" t="str">
        <f t="shared" si="10"/>
        <v>GC-04314</v>
      </c>
      <c r="F255" s="151">
        <f>+IF(AND(C255*1&gt;=200,E255="GC-04314"),IF(D255=0,MAX(F$2:F254)+1,0),0)</f>
        <v>154</v>
      </c>
      <c r="H255" s="151" t="s">
        <v>6130</v>
      </c>
      <c r="I255" s="151" t="s">
        <v>6962</v>
      </c>
      <c r="J255" s="151" t="s">
        <v>6962</v>
      </c>
      <c r="K255" s="151">
        <f t="shared" si="11"/>
        <v>0</v>
      </c>
      <c r="L255" s="151" t="s">
        <v>9020</v>
      </c>
    </row>
    <row r="256" spans="1:12" x14ac:dyDescent="0.25">
      <c r="A256" s="151" t="s">
        <v>2379</v>
      </c>
      <c r="B256" s="151" t="s">
        <v>2997</v>
      </c>
      <c r="C256" s="151" t="s">
        <v>3306</v>
      </c>
      <c r="D256" s="151">
        <f t="shared" si="9"/>
        <v>0</v>
      </c>
      <c r="E256" s="151" t="str">
        <f t="shared" si="10"/>
        <v>GC-04314</v>
      </c>
      <c r="F256" s="151">
        <f>+IF(AND(C256*1&gt;=200,E256="GC-04314"),IF(D256=0,MAX(F$2:F255)+1,0),0)</f>
        <v>155</v>
      </c>
      <c r="H256" s="151" t="s">
        <v>6131</v>
      </c>
      <c r="I256" s="151" t="s">
        <v>6962</v>
      </c>
      <c r="J256" s="151" t="s">
        <v>6962</v>
      </c>
      <c r="K256" s="151">
        <f t="shared" si="11"/>
        <v>0</v>
      </c>
      <c r="L256" s="151" t="s">
        <v>9020</v>
      </c>
    </row>
    <row r="257" spans="1:12" x14ac:dyDescent="0.25">
      <c r="A257" s="151" t="s">
        <v>2380</v>
      </c>
      <c r="B257" s="151" t="s">
        <v>2997</v>
      </c>
      <c r="C257" s="151" t="s">
        <v>3307</v>
      </c>
      <c r="D257" s="151">
        <f t="shared" si="9"/>
        <v>0</v>
      </c>
      <c r="E257" s="151" t="str">
        <f t="shared" si="10"/>
        <v>GC-04314</v>
      </c>
      <c r="F257" s="151">
        <f>+IF(AND(C257*1&gt;=200,E257="GC-04314"),IF(D257=0,MAX(F$2:F256)+1,0),0)</f>
        <v>156</v>
      </c>
      <c r="H257" s="151" t="s">
        <v>6132</v>
      </c>
      <c r="I257" s="151" t="s">
        <v>6962</v>
      </c>
      <c r="J257" s="151" t="s">
        <v>6962</v>
      </c>
      <c r="K257" s="151">
        <f t="shared" si="11"/>
        <v>0</v>
      </c>
      <c r="L257" s="151" t="s">
        <v>9020</v>
      </c>
    </row>
    <row r="258" spans="1:12" x14ac:dyDescent="0.25">
      <c r="A258" s="151" t="s">
        <v>2381</v>
      </c>
      <c r="B258" s="151" t="s">
        <v>2997</v>
      </c>
      <c r="C258" s="151" t="s">
        <v>3308</v>
      </c>
      <c r="D258" s="151">
        <f t="shared" ref="D258:D321" si="12">+SUMIFS(K:K,H:H,A258)</f>
        <v>0</v>
      </c>
      <c r="E258" s="151" t="str">
        <f t="shared" ref="E258:E321" si="13">+IF(D258=0,VLOOKUP(A258,$H:$L,5,FALSE),"")</f>
        <v>GC-04314</v>
      </c>
      <c r="F258" s="151">
        <f>+IF(AND(C258*1&gt;=200,E258="GC-04314"),IF(D258=0,MAX(F$2:F257)+1,0),0)</f>
        <v>157</v>
      </c>
      <c r="H258" s="151" t="s">
        <v>6133</v>
      </c>
      <c r="I258" s="151" t="s">
        <v>6962</v>
      </c>
      <c r="J258" s="151" t="s">
        <v>6962</v>
      </c>
      <c r="K258" s="151">
        <f t="shared" si="11"/>
        <v>0</v>
      </c>
      <c r="L258" s="151" t="s">
        <v>9020</v>
      </c>
    </row>
    <row r="259" spans="1:12" x14ac:dyDescent="0.25">
      <c r="A259" s="151" t="s">
        <v>2382</v>
      </c>
      <c r="B259" s="151" t="s">
        <v>2997</v>
      </c>
      <c r="C259" s="151" t="s">
        <v>3309</v>
      </c>
      <c r="D259" s="151">
        <f t="shared" si="12"/>
        <v>0</v>
      </c>
      <c r="E259" s="151" t="str">
        <f t="shared" si="13"/>
        <v>GC-04314</v>
      </c>
      <c r="F259" s="151">
        <f>+IF(AND(C259*1&gt;=200,E259="GC-04314"),IF(D259=0,MAX(F$2:F258)+1,0),0)</f>
        <v>158</v>
      </c>
      <c r="H259" s="151" t="s">
        <v>6134</v>
      </c>
      <c r="I259" s="151" t="s">
        <v>6962</v>
      </c>
      <c r="J259" s="151" t="s">
        <v>6962</v>
      </c>
      <c r="K259" s="151">
        <f t="shared" ref="K259:K322" si="14">+IFERROR(J259*1,0)</f>
        <v>0</v>
      </c>
      <c r="L259" s="151" t="s">
        <v>9020</v>
      </c>
    </row>
    <row r="260" spans="1:12" x14ac:dyDescent="0.25">
      <c r="A260" s="151" t="s">
        <v>2383</v>
      </c>
      <c r="B260" s="151" t="s">
        <v>2997</v>
      </c>
      <c r="C260" s="151" t="s">
        <v>3310</v>
      </c>
      <c r="D260" s="151">
        <f t="shared" si="12"/>
        <v>0</v>
      </c>
      <c r="E260" s="151" t="str">
        <f t="shared" si="13"/>
        <v>GC-04314</v>
      </c>
      <c r="F260" s="151">
        <f>+IF(AND(C260*1&gt;=200,E260="GC-04314"),IF(D260=0,MAX(F$2:F259)+1,0),0)</f>
        <v>159</v>
      </c>
      <c r="H260" s="151" t="s">
        <v>6135</v>
      </c>
      <c r="I260" s="151" t="s">
        <v>6962</v>
      </c>
      <c r="J260" s="151" t="s">
        <v>6962</v>
      </c>
      <c r="K260" s="151">
        <f t="shared" si="14"/>
        <v>0</v>
      </c>
      <c r="L260" s="151" t="s">
        <v>9020</v>
      </c>
    </row>
    <row r="261" spans="1:12" x14ac:dyDescent="0.25">
      <c r="A261" s="151" t="s">
        <v>2384</v>
      </c>
      <c r="B261" s="151" t="s">
        <v>2997</v>
      </c>
      <c r="C261" s="151" t="s">
        <v>3311</v>
      </c>
      <c r="D261" s="151">
        <f t="shared" si="12"/>
        <v>0</v>
      </c>
      <c r="E261" s="151" t="str">
        <f t="shared" si="13"/>
        <v>GC-04314</v>
      </c>
      <c r="F261" s="151">
        <f>+IF(AND(C261*1&gt;=200,E261="GC-04314"),IF(D261=0,MAX(F$2:F260)+1,0),0)</f>
        <v>160</v>
      </c>
      <c r="H261" s="151" t="s">
        <v>6136</v>
      </c>
      <c r="I261" s="151" t="s">
        <v>6962</v>
      </c>
      <c r="J261" s="151" t="s">
        <v>6962</v>
      </c>
      <c r="K261" s="151">
        <f t="shared" si="14"/>
        <v>0</v>
      </c>
      <c r="L261" s="151" t="s">
        <v>9020</v>
      </c>
    </row>
    <row r="262" spans="1:12" x14ac:dyDescent="0.25">
      <c r="A262" s="151" t="s">
        <v>2385</v>
      </c>
      <c r="B262" s="151" t="s">
        <v>2997</v>
      </c>
      <c r="C262" s="151" t="s">
        <v>3312</v>
      </c>
      <c r="D262" s="151">
        <f t="shared" si="12"/>
        <v>0</v>
      </c>
      <c r="E262" s="151" t="str">
        <f t="shared" si="13"/>
        <v>GC-04314</v>
      </c>
      <c r="F262" s="151">
        <f>+IF(AND(C262*1&gt;=200,E262="GC-04314"),IF(D262=0,MAX(F$2:F261)+1,0),0)</f>
        <v>161</v>
      </c>
      <c r="H262" s="151" t="s">
        <v>6137</v>
      </c>
      <c r="I262" s="151" t="s">
        <v>6962</v>
      </c>
      <c r="J262" s="151" t="s">
        <v>6962</v>
      </c>
      <c r="K262" s="151">
        <f t="shared" si="14"/>
        <v>0</v>
      </c>
      <c r="L262" s="151" t="s">
        <v>9020</v>
      </c>
    </row>
    <row r="263" spans="1:12" x14ac:dyDescent="0.25">
      <c r="A263" s="151" t="s">
        <v>2386</v>
      </c>
      <c r="B263" s="151" t="s">
        <v>2997</v>
      </c>
      <c r="C263" s="151" t="s">
        <v>3313</v>
      </c>
      <c r="D263" s="151">
        <f t="shared" si="12"/>
        <v>0</v>
      </c>
      <c r="E263" s="151" t="str">
        <f t="shared" si="13"/>
        <v>GC-04314</v>
      </c>
      <c r="F263" s="151">
        <f>+IF(AND(C263*1&gt;=200,E263="GC-04314"),IF(D263=0,MAX(F$2:F262)+1,0),0)</f>
        <v>162</v>
      </c>
      <c r="H263" s="151" t="s">
        <v>6138</v>
      </c>
      <c r="I263" s="151" t="s">
        <v>6962</v>
      </c>
      <c r="J263" s="151" t="s">
        <v>6962</v>
      </c>
      <c r="K263" s="151">
        <f t="shared" si="14"/>
        <v>0</v>
      </c>
      <c r="L263" s="151" t="s">
        <v>9020</v>
      </c>
    </row>
    <row r="264" spans="1:12" x14ac:dyDescent="0.25">
      <c r="A264" s="151" t="s">
        <v>2387</v>
      </c>
      <c r="B264" s="151" t="s">
        <v>2997</v>
      </c>
      <c r="C264" s="151" t="s">
        <v>3314</v>
      </c>
      <c r="D264" s="151">
        <f t="shared" si="12"/>
        <v>0</v>
      </c>
      <c r="E264" s="151" t="str">
        <f t="shared" si="13"/>
        <v>GC-04314</v>
      </c>
      <c r="F264" s="151">
        <f>+IF(AND(C264*1&gt;=200,E264="GC-04314"),IF(D264=0,MAX(F$2:F263)+1,0),0)</f>
        <v>163</v>
      </c>
      <c r="H264" s="151" t="s">
        <v>6139</v>
      </c>
      <c r="I264" s="151" t="s">
        <v>6962</v>
      </c>
      <c r="J264" s="151" t="s">
        <v>6962</v>
      </c>
      <c r="K264" s="151">
        <f t="shared" si="14"/>
        <v>0</v>
      </c>
      <c r="L264" s="151" t="s">
        <v>9020</v>
      </c>
    </row>
    <row r="265" spans="1:12" x14ac:dyDescent="0.25">
      <c r="A265" s="151" t="s">
        <v>2388</v>
      </c>
      <c r="B265" s="151" t="s">
        <v>2997</v>
      </c>
      <c r="C265" s="151" t="s">
        <v>3315</v>
      </c>
      <c r="D265" s="151">
        <f t="shared" si="12"/>
        <v>0</v>
      </c>
      <c r="E265" s="151" t="str">
        <f t="shared" si="13"/>
        <v>GC-04314</v>
      </c>
      <c r="F265" s="151">
        <f>+IF(AND(C265*1&gt;=200,E265="GC-04314"),IF(D265=0,MAX(F$2:F264)+1,0),0)</f>
        <v>164</v>
      </c>
      <c r="H265" s="151" t="s">
        <v>6140</v>
      </c>
      <c r="I265" s="151" t="s">
        <v>6962</v>
      </c>
      <c r="J265" s="151" t="s">
        <v>6962</v>
      </c>
      <c r="K265" s="151">
        <f t="shared" si="14"/>
        <v>0</v>
      </c>
      <c r="L265" s="151" t="s">
        <v>9020</v>
      </c>
    </row>
    <row r="266" spans="1:12" x14ac:dyDescent="0.25">
      <c r="A266" s="151" t="s">
        <v>2389</v>
      </c>
      <c r="B266" s="151" t="s">
        <v>2997</v>
      </c>
      <c r="C266" s="151" t="s">
        <v>3316</v>
      </c>
      <c r="D266" s="151">
        <f t="shared" si="12"/>
        <v>0</v>
      </c>
      <c r="E266" s="151" t="str">
        <f t="shared" si="13"/>
        <v>GC-04314</v>
      </c>
      <c r="F266" s="151">
        <f>+IF(AND(C266*1&gt;=200,E266="GC-04314"),IF(D266=0,MAX(F$2:F265)+1,0),0)</f>
        <v>165</v>
      </c>
      <c r="H266" s="151" t="s">
        <v>6141</v>
      </c>
      <c r="I266" s="151" t="s">
        <v>6962</v>
      </c>
      <c r="J266" s="151" t="s">
        <v>6962</v>
      </c>
      <c r="K266" s="151">
        <f t="shared" si="14"/>
        <v>0</v>
      </c>
      <c r="L266" s="151" t="s">
        <v>9020</v>
      </c>
    </row>
    <row r="267" spans="1:12" x14ac:dyDescent="0.25">
      <c r="A267" s="151" t="s">
        <v>2390</v>
      </c>
      <c r="B267" s="151" t="s">
        <v>2997</v>
      </c>
      <c r="C267" s="151" t="s">
        <v>3317</v>
      </c>
      <c r="D267" s="151">
        <f t="shared" si="12"/>
        <v>0</v>
      </c>
      <c r="E267" s="151" t="str">
        <f t="shared" si="13"/>
        <v>GC-04314</v>
      </c>
      <c r="F267" s="151">
        <f>+IF(AND(C267*1&gt;=200,E267="GC-04314"),IF(D267=0,MAX(F$2:F266)+1,0),0)</f>
        <v>166</v>
      </c>
      <c r="H267" s="151" t="s">
        <v>6142</v>
      </c>
      <c r="I267" s="151" t="s">
        <v>6962</v>
      </c>
      <c r="J267" s="151" t="s">
        <v>6962</v>
      </c>
      <c r="K267" s="151">
        <f t="shared" si="14"/>
        <v>0</v>
      </c>
      <c r="L267" s="151" t="s">
        <v>9020</v>
      </c>
    </row>
    <row r="268" spans="1:12" x14ac:dyDescent="0.25">
      <c r="A268" s="151" t="s">
        <v>2391</v>
      </c>
      <c r="B268" s="151" t="s">
        <v>2997</v>
      </c>
      <c r="C268" s="151" t="s">
        <v>3318</v>
      </c>
      <c r="D268" s="151">
        <f t="shared" si="12"/>
        <v>0</v>
      </c>
      <c r="E268" s="151" t="str">
        <f t="shared" si="13"/>
        <v>GC-04314</v>
      </c>
      <c r="F268" s="151">
        <f>+IF(AND(C268*1&gt;=200,E268="GC-04314"),IF(D268=0,MAX(F$2:F267)+1,0),0)</f>
        <v>167</v>
      </c>
      <c r="H268" s="151" t="s">
        <v>6143</v>
      </c>
      <c r="I268" s="151" t="s">
        <v>6962</v>
      </c>
      <c r="J268" s="151" t="s">
        <v>6962</v>
      </c>
      <c r="K268" s="151">
        <f t="shared" si="14"/>
        <v>0</v>
      </c>
      <c r="L268" s="151" t="s">
        <v>9020</v>
      </c>
    </row>
    <row r="269" spans="1:12" x14ac:dyDescent="0.25">
      <c r="A269" s="151" t="s">
        <v>2392</v>
      </c>
      <c r="B269" s="151" t="s">
        <v>2997</v>
      </c>
      <c r="C269" s="151" t="s">
        <v>3319</v>
      </c>
      <c r="D269" s="151">
        <f t="shared" si="12"/>
        <v>0</v>
      </c>
      <c r="E269" s="151" t="str">
        <f t="shared" si="13"/>
        <v>GC-04314</v>
      </c>
      <c r="F269" s="151">
        <f>+IF(AND(C269*1&gt;=200,E269="GC-04314"),IF(D269=0,MAX(F$2:F268)+1,0),0)</f>
        <v>168</v>
      </c>
      <c r="H269" s="151" t="s">
        <v>6144</v>
      </c>
      <c r="I269" s="151" t="s">
        <v>6962</v>
      </c>
      <c r="J269" s="151" t="s">
        <v>6962</v>
      </c>
      <c r="K269" s="151">
        <f t="shared" si="14"/>
        <v>0</v>
      </c>
      <c r="L269" s="151" t="s">
        <v>9020</v>
      </c>
    </row>
    <row r="270" spans="1:12" x14ac:dyDescent="0.25">
      <c r="A270" s="151" t="s">
        <v>2393</v>
      </c>
      <c r="B270" s="151" t="s">
        <v>2997</v>
      </c>
      <c r="C270" s="151" t="s">
        <v>3320</v>
      </c>
      <c r="D270" s="151">
        <f t="shared" si="12"/>
        <v>0</v>
      </c>
      <c r="E270" s="151" t="str">
        <f t="shared" si="13"/>
        <v>GC-04314</v>
      </c>
      <c r="F270" s="151">
        <f>+IF(AND(C270*1&gt;=200,E270="GC-04314"),IF(D270=0,MAX(F$2:F269)+1,0),0)</f>
        <v>169</v>
      </c>
      <c r="H270" s="151" t="s">
        <v>6145</v>
      </c>
      <c r="I270" s="151" t="s">
        <v>6962</v>
      </c>
      <c r="J270" s="151" t="s">
        <v>6962</v>
      </c>
      <c r="K270" s="151">
        <f t="shared" si="14"/>
        <v>0</v>
      </c>
      <c r="L270" s="151" t="s">
        <v>9020</v>
      </c>
    </row>
    <row r="271" spans="1:12" x14ac:dyDescent="0.25">
      <c r="A271" s="151" t="s">
        <v>2394</v>
      </c>
      <c r="B271" s="151" t="s">
        <v>2997</v>
      </c>
      <c r="C271" s="151" t="s">
        <v>3321</v>
      </c>
      <c r="D271" s="151">
        <f t="shared" si="12"/>
        <v>0</v>
      </c>
      <c r="E271" s="151" t="str">
        <f t="shared" si="13"/>
        <v>GC-04314</v>
      </c>
      <c r="F271" s="151">
        <f>+IF(AND(C271*1&gt;=200,E271="GC-04314"),IF(D271=0,MAX(F$2:F270)+1,0),0)</f>
        <v>170</v>
      </c>
      <c r="H271" s="151" t="s">
        <v>6146</v>
      </c>
      <c r="I271" s="151" t="s">
        <v>6962</v>
      </c>
      <c r="J271" s="151" t="s">
        <v>6962</v>
      </c>
      <c r="K271" s="151">
        <f t="shared" si="14"/>
        <v>0</v>
      </c>
      <c r="L271" s="151" t="s">
        <v>9020</v>
      </c>
    </row>
    <row r="272" spans="1:12" x14ac:dyDescent="0.25">
      <c r="A272" s="151" t="s">
        <v>2395</v>
      </c>
      <c r="B272" s="151" t="s">
        <v>2997</v>
      </c>
      <c r="C272" s="151" t="s">
        <v>3322</v>
      </c>
      <c r="D272" s="151">
        <f t="shared" si="12"/>
        <v>0</v>
      </c>
      <c r="E272" s="151" t="str">
        <f t="shared" si="13"/>
        <v>GC-04314</v>
      </c>
      <c r="F272" s="151">
        <f>+IF(AND(C272*1&gt;=200,E272="GC-04314"),IF(D272=0,MAX(F$2:F271)+1,0),0)</f>
        <v>171</v>
      </c>
      <c r="H272" s="151" t="s">
        <v>6147</v>
      </c>
      <c r="I272" s="151" t="s">
        <v>6962</v>
      </c>
      <c r="J272" s="151" t="s">
        <v>6962</v>
      </c>
      <c r="K272" s="151">
        <f t="shared" si="14"/>
        <v>0</v>
      </c>
      <c r="L272" s="151" t="s">
        <v>9020</v>
      </c>
    </row>
    <row r="273" spans="1:12" x14ac:dyDescent="0.25">
      <c r="A273" s="151" t="s">
        <v>2396</v>
      </c>
      <c r="B273" s="151" t="s">
        <v>2997</v>
      </c>
      <c r="C273" s="151" t="s">
        <v>3323</v>
      </c>
      <c r="D273" s="151">
        <f t="shared" si="12"/>
        <v>0</v>
      </c>
      <c r="E273" s="151" t="str">
        <f t="shared" si="13"/>
        <v>GC-04314</v>
      </c>
      <c r="F273" s="151">
        <f>+IF(AND(C273*1&gt;=200,E273="GC-04314"),IF(D273=0,MAX(F$2:F272)+1,0),0)</f>
        <v>172</v>
      </c>
      <c r="H273" s="151" t="s">
        <v>6148</v>
      </c>
      <c r="I273" s="151" t="s">
        <v>6962</v>
      </c>
      <c r="J273" s="151" t="s">
        <v>6962</v>
      </c>
      <c r="K273" s="151">
        <f t="shared" si="14"/>
        <v>0</v>
      </c>
      <c r="L273" s="151" t="s">
        <v>9020</v>
      </c>
    </row>
    <row r="274" spans="1:12" x14ac:dyDescent="0.25">
      <c r="A274" s="151" t="s">
        <v>2397</v>
      </c>
      <c r="B274" s="151" t="s">
        <v>2997</v>
      </c>
      <c r="C274" s="151" t="s">
        <v>3324</v>
      </c>
      <c r="D274" s="151">
        <f t="shared" si="12"/>
        <v>0</v>
      </c>
      <c r="E274" s="151" t="str">
        <f t="shared" si="13"/>
        <v>GC-04314</v>
      </c>
      <c r="F274" s="151">
        <f>+IF(AND(C274*1&gt;=200,E274="GC-04314"),IF(D274=0,MAX(F$2:F273)+1,0),0)</f>
        <v>173</v>
      </c>
      <c r="H274" s="151" t="s">
        <v>6149</v>
      </c>
      <c r="I274" s="151" t="s">
        <v>6962</v>
      </c>
      <c r="J274" s="151" t="s">
        <v>6962</v>
      </c>
      <c r="K274" s="151">
        <f t="shared" si="14"/>
        <v>0</v>
      </c>
      <c r="L274" s="151" t="s">
        <v>9020</v>
      </c>
    </row>
    <row r="275" spans="1:12" x14ac:dyDescent="0.25">
      <c r="A275" s="151" t="s">
        <v>2398</v>
      </c>
      <c r="B275" s="151" t="s">
        <v>2997</v>
      </c>
      <c r="C275" s="151" t="s">
        <v>3325</v>
      </c>
      <c r="D275" s="151">
        <f t="shared" si="12"/>
        <v>0</v>
      </c>
      <c r="E275" s="151" t="str">
        <f t="shared" si="13"/>
        <v>GC-04314</v>
      </c>
      <c r="F275" s="151">
        <f>+IF(AND(C275*1&gt;=200,E275="GC-04314"),IF(D275=0,MAX(F$2:F274)+1,0),0)</f>
        <v>174</v>
      </c>
      <c r="H275" s="151" t="s">
        <v>6150</v>
      </c>
      <c r="I275" s="151" t="s">
        <v>6962</v>
      </c>
      <c r="J275" s="151" t="s">
        <v>6962</v>
      </c>
      <c r="K275" s="151">
        <f t="shared" si="14"/>
        <v>0</v>
      </c>
      <c r="L275" s="151" t="s">
        <v>9020</v>
      </c>
    </row>
    <row r="276" spans="1:12" x14ac:dyDescent="0.25">
      <c r="A276" s="151" t="s">
        <v>2399</v>
      </c>
      <c r="B276" s="151" t="s">
        <v>2997</v>
      </c>
      <c r="C276" s="151" t="s">
        <v>3326</v>
      </c>
      <c r="D276" s="151">
        <f t="shared" si="12"/>
        <v>0</v>
      </c>
      <c r="E276" s="151" t="str">
        <f t="shared" si="13"/>
        <v>GC-04314</v>
      </c>
      <c r="F276" s="151">
        <f>+IF(AND(C276*1&gt;=200,E276="GC-04314"),IF(D276=0,MAX(F$2:F275)+1,0),0)</f>
        <v>175</v>
      </c>
      <c r="H276" s="151" t="s">
        <v>6151</v>
      </c>
      <c r="I276" s="151" t="s">
        <v>6962</v>
      </c>
      <c r="J276" s="151" t="s">
        <v>6962</v>
      </c>
      <c r="K276" s="151">
        <f t="shared" si="14"/>
        <v>0</v>
      </c>
      <c r="L276" s="151" t="s">
        <v>9020</v>
      </c>
    </row>
    <row r="277" spans="1:12" x14ac:dyDescent="0.25">
      <c r="A277" s="151" t="s">
        <v>2400</v>
      </c>
      <c r="B277" s="151" t="s">
        <v>2997</v>
      </c>
      <c r="C277" s="151" t="s">
        <v>3327</v>
      </c>
      <c r="D277" s="151">
        <f t="shared" si="12"/>
        <v>0</v>
      </c>
      <c r="E277" s="151" t="str">
        <f t="shared" si="13"/>
        <v>GC-04314</v>
      </c>
      <c r="F277" s="151">
        <f>+IF(AND(C277*1&gt;=200,E277="GC-04314"),IF(D277=0,MAX(F$2:F276)+1,0),0)</f>
        <v>176</v>
      </c>
      <c r="H277" s="151" t="s">
        <v>6152</v>
      </c>
      <c r="I277" s="151" t="s">
        <v>6962</v>
      </c>
      <c r="J277" s="151" t="s">
        <v>6962</v>
      </c>
      <c r="K277" s="151">
        <f t="shared" si="14"/>
        <v>0</v>
      </c>
      <c r="L277" s="151" t="s">
        <v>9020</v>
      </c>
    </row>
    <row r="278" spans="1:12" x14ac:dyDescent="0.25">
      <c r="A278" s="151" t="s">
        <v>2401</v>
      </c>
      <c r="B278" s="151" t="s">
        <v>2997</v>
      </c>
      <c r="C278" s="151" t="s">
        <v>3328</v>
      </c>
      <c r="D278" s="151">
        <f t="shared" si="12"/>
        <v>0</v>
      </c>
      <c r="E278" s="151" t="str">
        <f t="shared" si="13"/>
        <v>GC-04314</v>
      </c>
      <c r="F278" s="151">
        <f>+IF(AND(C278*1&gt;=200,E278="GC-04314"),IF(D278=0,MAX(F$2:F277)+1,0),0)</f>
        <v>177</v>
      </c>
      <c r="H278" s="151" t="s">
        <v>6153</v>
      </c>
      <c r="I278" s="151" t="s">
        <v>6962</v>
      </c>
      <c r="J278" s="151" t="s">
        <v>6962</v>
      </c>
      <c r="K278" s="151">
        <f t="shared" si="14"/>
        <v>0</v>
      </c>
      <c r="L278" s="151" t="s">
        <v>9020</v>
      </c>
    </row>
    <row r="279" spans="1:12" x14ac:dyDescent="0.25">
      <c r="A279" s="151" t="s">
        <v>2402</v>
      </c>
      <c r="B279" s="151" t="s">
        <v>2997</v>
      </c>
      <c r="C279" s="151" t="s">
        <v>3329</v>
      </c>
      <c r="D279" s="151">
        <f t="shared" si="12"/>
        <v>0</v>
      </c>
      <c r="E279" s="151" t="str">
        <f t="shared" si="13"/>
        <v>GC-04314</v>
      </c>
      <c r="F279" s="151">
        <f>+IF(AND(C279*1&gt;=200,E279="GC-04314"),IF(D279=0,MAX(F$2:F278)+1,0),0)</f>
        <v>178</v>
      </c>
      <c r="H279" s="151" t="s">
        <v>6154</v>
      </c>
      <c r="I279" s="151" t="s">
        <v>6962</v>
      </c>
      <c r="J279" s="151" t="s">
        <v>6962</v>
      </c>
      <c r="K279" s="151">
        <f t="shared" si="14"/>
        <v>0</v>
      </c>
      <c r="L279" s="151" t="s">
        <v>9020</v>
      </c>
    </row>
    <row r="280" spans="1:12" x14ac:dyDescent="0.25">
      <c r="A280" s="151" t="s">
        <v>2403</v>
      </c>
      <c r="B280" s="151" t="s">
        <v>2997</v>
      </c>
      <c r="C280" s="151" t="s">
        <v>3330</v>
      </c>
      <c r="D280" s="151">
        <f t="shared" si="12"/>
        <v>0</v>
      </c>
      <c r="E280" s="151" t="str">
        <f t="shared" si="13"/>
        <v>GC-04314</v>
      </c>
      <c r="F280" s="151">
        <f>+IF(AND(C280*1&gt;=200,E280="GC-04314"),IF(D280=0,MAX(F$2:F279)+1,0),0)</f>
        <v>179</v>
      </c>
      <c r="H280" s="151" t="s">
        <v>6155</v>
      </c>
      <c r="I280" s="151" t="s">
        <v>6962</v>
      </c>
      <c r="J280" s="151" t="s">
        <v>6962</v>
      </c>
      <c r="K280" s="151">
        <f t="shared" si="14"/>
        <v>0</v>
      </c>
      <c r="L280" s="151" t="s">
        <v>9020</v>
      </c>
    </row>
    <row r="281" spans="1:12" x14ac:dyDescent="0.25">
      <c r="A281" s="151" t="s">
        <v>2404</v>
      </c>
      <c r="B281" s="151" t="s">
        <v>2997</v>
      </c>
      <c r="C281" s="151" t="s">
        <v>3331</v>
      </c>
      <c r="D281" s="151">
        <f t="shared" si="12"/>
        <v>0</v>
      </c>
      <c r="E281" s="151" t="str">
        <f t="shared" si="13"/>
        <v>GC-04314</v>
      </c>
      <c r="F281" s="151">
        <f>+IF(AND(C281*1&gt;=200,E281="GC-04314"),IF(D281=0,MAX(F$2:F280)+1,0),0)</f>
        <v>180</v>
      </c>
      <c r="H281" s="151" t="s">
        <v>6156</v>
      </c>
      <c r="I281" s="151" t="s">
        <v>6962</v>
      </c>
      <c r="J281" s="151" t="s">
        <v>6962</v>
      </c>
      <c r="K281" s="151">
        <f t="shared" si="14"/>
        <v>0</v>
      </c>
      <c r="L281" s="151" t="s">
        <v>9020</v>
      </c>
    </row>
    <row r="282" spans="1:12" x14ac:dyDescent="0.25">
      <c r="A282" s="151" t="s">
        <v>2405</v>
      </c>
      <c r="B282" s="151" t="s">
        <v>2997</v>
      </c>
      <c r="C282" s="151" t="s">
        <v>3332</v>
      </c>
      <c r="D282" s="151">
        <f t="shared" si="12"/>
        <v>0</v>
      </c>
      <c r="E282" s="151" t="str">
        <f t="shared" si="13"/>
        <v>GC-04314</v>
      </c>
      <c r="F282" s="151">
        <f>+IF(AND(C282*1&gt;=200,E282="GC-04314"),IF(D282=0,MAX(F$2:F281)+1,0),0)</f>
        <v>181</v>
      </c>
      <c r="H282" s="151" t="s">
        <v>6157</v>
      </c>
      <c r="I282" s="151" t="s">
        <v>6962</v>
      </c>
      <c r="J282" s="151" t="s">
        <v>6962</v>
      </c>
      <c r="K282" s="151">
        <f t="shared" si="14"/>
        <v>0</v>
      </c>
      <c r="L282" s="151" t="s">
        <v>9020</v>
      </c>
    </row>
    <row r="283" spans="1:12" x14ac:dyDescent="0.25">
      <c r="A283" s="151" t="s">
        <v>2406</v>
      </c>
      <c r="B283" s="151" t="s">
        <v>2997</v>
      </c>
      <c r="C283" s="151" t="s">
        <v>3333</v>
      </c>
      <c r="D283" s="151">
        <f t="shared" si="12"/>
        <v>0</v>
      </c>
      <c r="E283" s="151" t="str">
        <f t="shared" si="13"/>
        <v>GC-04314</v>
      </c>
      <c r="F283" s="151">
        <f>+IF(AND(C283*1&gt;=200,E283="GC-04314"),IF(D283=0,MAX(F$2:F282)+1,0),0)</f>
        <v>182</v>
      </c>
      <c r="H283" s="151" t="s">
        <v>6158</v>
      </c>
      <c r="I283" s="151" t="s">
        <v>6962</v>
      </c>
      <c r="J283" s="151" t="s">
        <v>6962</v>
      </c>
      <c r="K283" s="151">
        <f t="shared" si="14"/>
        <v>0</v>
      </c>
      <c r="L283" s="151" t="s">
        <v>9020</v>
      </c>
    </row>
    <row r="284" spans="1:12" x14ac:dyDescent="0.25">
      <c r="A284" s="151" t="s">
        <v>2407</v>
      </c>
      <c r="B284" s="151" t="s">
        <v>2997</v>
      </c>
      <c r="C284" s="151" t="s">
        <v>3334</v>
      </c>
      <c r="D284" s="151">
        <f t="shared" si="12"/>
        <v>0</v>
      </c>
      <c r="E284" s="151" t="str">
        <f t="shared" si="13"/>
        <v>GC-04314</v>
      </c>
      <c r="F284" s="151">
        <f>+IF(AND(C284*1&gt;=200,E284="GC-04314"),IF(D284=0,MAX(F$2:F283)+1,0),0)</f>
        <v>183</v>
      </c>
      <c r="H284" s="151" t="s">
        <v>6159</v>
      </c>
      <c r="I284" s="151" t="s">
        <v>6962</v>
      </c>
      <c r="J284" s="151" t="s">
        <v>6962</v>
      </c>
      <c r="K284" s="151">
        <f t="shared" si="14"/>
        <v>0</v>
      </c>
      <c r="L284" s="151" t="s">
        <v>9020</v>
      </c>
    </row>
    <row r="285" spans="1:12" x14ac:dyDescent="0.25">
      <c r="A285" s="151" t="s">
        <v>2408</v>
      </c>
      <c r="B285" s="151" t="s">
        <v>2997</v>
      </c>
      <c r="C285" s="151" t="s">
        <v>3335</v>
      </c>
      <c r="D285" s="151">
        <f t="shared" si="12"/>
        <v>0</v>
      </c>
      <c r="E285" s="151" t="str">
        <f t="shared" si="13"/>
        <v>GC-04314</v>
      </c>
      <c r="F285" s="151">
        <f>+IF(AND(C285*1&gt;=200,E285="GC-04314"),IF(D285=0,MAX(F$2:F284)+1,0),0)</f>
        <v>184</v>
      </c>
      <c r="H285" s="151" t="s">
        <v>6160</v>
      </c>
      <c r="I285" s="151" t="s">
        <v>6962</v>
      </c>
      <c r="J285" s="151" t="s">
        <v>6962</v>
      </c>
      <c r="K285" s="151">
        <f t="shared" si="14"/>
        <v>0</v>
      </c>
      <c r="L285" s="151" t="s">
        <v>9020</v>
      </c>
    </row>
    <row r="286" spans="1:12" x14ac:dyDescent="0.25">
      <c r="A286" s="151" t="s">
        <v>2409</v>
      </c>
      <c r="B286" s="151" t="s">
        <v>2997</v>
      </c>
      <c r="C286" s="151" t="s">
        <v>3336</v>
      </c>
      <c r="D286" s="151">
        <f t="shared" si="12"/>
        <v>0</v>
      </c>
      <c r="E286" s="151" t="str">
        <f t="shared" si="13"/>
        <v>GC-04314</v>
      </c>
      <c r="F286" s="151">
        <f>+IF(AND(C286*1&gt;=200,E286="GC-04314"),IF(D286=0,MAX(F$2:F285)+1,0),0)</f>
        <v>185</v>
      </c>
      <c r="H286" s="151" t="s">
        <v>6161</v>
      </c>
      <c r="I286" s="151" t="s">
        <v>6962</v>
      </c>
      <c r="J286" s="151" t="s">
        <v>6962</v>
      </c>
      <c r="K286" s="151">
        <f t="shared" si="14"/>
        <v>0</v>
      </c>
      <c r="L286" s="151" t="s">
        <v>9020</v>
      </c>
    </row>
    <row r="287" spans="1:12" x14ac:dyDescent="0.25">
      <c r="A287" s="151" t="s">
        <v>2410</v>
      </c>
      <c r="B287" s="151" t="s">
        <v>2997</v>
      </c>
      <c r="C287" s="151" t="s">
        <v>3337</v>
      </c>
      <c r="D287" s="151">
        <f t="shared" si="12"/>
        <v>0</v>
      </c>
      <c r="E287" s="151" t="str">
        <f t="shared" si="13"/>
        <v>GC-04314</v>
      </c>
      <c r="F287" s="151">
        <f>+IF(AND(C287*1&gt;=200,E287="GC-04314"),IF(D287=0,MAX(F$2:F286)+1,0),0)</f>
        <v>186</v>
      </c>
      <c r="H287" s="151" t="s">
        <v>6162</v>
      </c>
      <c r="I287" s="151" t="s">
        <v>6962</v>
      </c>
      <c r="J287" s="151" t="s">
        <v>6962</v>
      </c>
      <c r="K287" s="151">
        <f t="shared" si="14"/>
        <v>0</v>
      </c>
      <c r="L287" s="151" t="s">
        <v>9020</v>
      </c>
    </row>
    <row r="288" spans="1:12" x14ac:dyDescent="0.25">
      <c r="A288" s="151" t="s">
        <v>2411</v>
      </c>
      <c r="B288" s="151" t="s">
        <v>2997</v>
      </c>
      <c r="C288" s="151" t="s">
        <v>3338</v>
      </c>
      <c r="D288" s="151">
        <f t="shared" si="12"/>
        <v>0</v>
      </c>
      <c r="E288" s="151" t="str">
        <f t="shared" si="13"/>
        <v>GC-04314</v>
      </c>
      <c r="F288" s="151">
        <f>+IF(AND(C288*1&gt;=200,E288="GC-04314"),IF(D288=0,MAX(F$2:F287)+1,0),0)</f>
        <v>187</v>
      </c>
      <c r="H288" s="151" t="s">
        <v>6163</v>
      </c>
      <c r="I288" s="151" t="s">
        <v>6962</v>
      </c>
      <c r="J288" s="151" t="s">
        <v>6962</v>
      </c>
      <c r="K288" s="151">
        <f t="shared" si="14"/>
        <v>0</v>
      </c>
      <c r="L288" s="151" t="s">
        <v>9020</v>
      </c>
    </row>
    <row r="289" spans="1:12" x14ac:dyDescent="0.25">
      <c r="A289" s="151" t="s">
        <v>2412</v>
      </c>
      <c r="B289" s="151" t="s">
        <v>2997</v>
      </c>
      <c r="C289" s="151" t="s">
        <v>3339</v>
      </c>
      <c r="D289" s="151">
        <f t="shared" si="12"/>
        <v>0</v>
      </c>
      <c r="E289" s="151" t="str">
        <f t="shared" si="13"/>
        <v>GC-04314</v>
      </c>
      <c r="F289" s="151">
        <f>+IF(AND(C289*1&gt;=200,E289="GC-04314"),IF(D289=0,MAX(F$2:F288)+1,0),0)</f>
        <v>188</v>
      </c>
      <c r="H289" s="151" t="s">
        <v>6164</v>
      </c>
      <c r="I289" s="151" t="s">
        <v>6962</v>
      </c>
      <c r="J289" s="151" t="s">
        <v>6962</v>
      </c>
      <c r="K289" s="151">
        <f t="shared" si="14"/>
        <v>0</v>
      </c>
      <c r="L289" s="151" t="s">
        <v>9020</v>
      </c>
    </row>
    <row r="290" spans="1:12" x14ac:dyDescent="0.25">
      <c r="A290" s="151" t="s">
        <v>2413</v>
      </c>
      <c r="B290" s="151" t="s">
        <v>2997</v>
      </c>
      <c r="C290" s="151" t="s">
        <v>3340</v>
      </c>
      <c r="D290" s="151">
        <f t="shared" si="12"/>
        <v>0</v>
      </c>
      <c r="E290" s="151" t="str">
        <f t="shared" si="13"/>
        <v>GC-04314</v>
      </c>
      <c r="F290" s="151">
        <f>+IF(AND(C290*1&gt;=200,E290="GC-04314"),IF(D290=0,MAX(F$2:F289)+1,0),0)</f>
        <v>189</v>
      </c>
      <c r="H290" s="151" t="s">
        <v>6165</v>
      </c>
      <c r="I290" s="151" t="s">
        <v>6962</v>
      </c>
      <c r="J290" s="151" t="s">
        <v>6962</v>
      </c>
      <c r="K290" s="151">
        <f t="shared" si="14"/>
        <v>0</v>
      </c>
      <c r="L290" s="151" t="s">
        <v>9020</v>
      </c>
    </row>
    <row r="291" spans="1:12" x14ac:dyDescent="0.25">
      <c r="A291" s="151" t="s">
        <v>2414</v>
      </c>
      <c r="B291" s="151" t="s">
        <v>2997</v>
      </c>
      <c r="C291" s="151" t="s">
        <v>3341</v>
      </c>
      <c r="D291" s="151">
        <f t="shared" si="12"/>
        <v>0</v>
      </c>
      <c r="E291" s="151" t="str">
        <f t="shared" si="13"/>
        <v>GC-04314</v>
      </c>
      <c r="F291" s="151">
        <f>+IF(AND(C291*1&gt;=200,E291="GC-04314"),IF(D291=0,MAX(F$2:F290)+1,0),0)</f>
        <v>190</v>
      </c>
      <c r="H291" s="151" t="s">
        <v>6166</v>
      </c>
      <c r="I291" s="151" t="s">
        <v>6962</v>
      </c>
      <c r="J291" s="151" t="s">
        <v>6962</v>
      </c>
      <c r="K291" s="151">
        <f t="shared" si="14"/>
        <v>0</v>
      </c>
      <c r="L291" s="151" t="s">
        <v>9020</v>
      </c>
    </row>
    <row r="292" spans="1:12" x14ac:dyDescent="0.25">
      <c r="A292" s="151" t="s">
        <v>2415</v>
      </c>
      <c r="B292" s="151" t="s">
        <v>2997</v>
      </c>
      <c r="C292" s="151" t="s">
        <v>3342</v>
      </c>
      <c r="D292" s="151">
        <f t="shared" si="12"/>
        <v>0</v>
      </c>
      <c r="E292" s="151" t="str">
        <f t="shared" si="13"/>
        <v>GC-04314</v>
      </c>
      <c r="F292" s="151">
        <f>+IF(AND(C292*1&gt;=200,E292="GC-04314"),IF(D292=0,MAX(F$2:F291)+1,0),0)</f>
        <v>191</v>
      </c>
      <c r="H292" s="151" t="s">
        <v>6167</v>
      </c>
      <c r="I292" s="151" t="s">
        <v>6962</v>
      </c>
      <c r="J292" s="151" t="s">
        <v>6962</v>
      </c>
      <c r="K292" s="151">
        <f t="shared" si="14"/>
        <v>0</v>
      </c>
      <c r="L292" s="151" t="s">
        <v>9020</v>
      </c>
    </row>
    <row r="293" spans="1:12" x14ac:dyDescent="0.25">
      <c r="A293" s="151" t="s">
        <v>2416</v>
      </c>
      <c r="B293" s="151" t="s">
        <v>2997</v>
      </c>
      <c r="C293" s="151" t="s">
        <v>3343</v>
      </c>
      <c r="D293" s="151">
        <f t="shared" si="12"/>
        <v>0</v>
      </c>
      <c r="E293" s="151" t="str">
        <f t="shared" si="13"/>
        <v>GC-04314</v>
      </c>
      <c r="F293" s="151">
        <f>+IF(AND(C293*1&gt;=200,E293="GC-04314"),IF(D293=0,MAX(F$2:F292)+1,0),0)</f>
        <v>192</v>
      </c>
      <c r="H293" s="151" t="s">
        <v>6168</v>
      </c>
      <c r="I293" s="151" t="s">
        <v>6962</v>
      </c>
      <c r="J293" s="151" t="s">
        <v>6962</v>
      </c>
      <c r="K293" s="151">
        <f t="shared" si="14"/>
        <v>0</v>
      </c>
      <c r="L293" s="151" t="s">
        <v>9020</v>
      </c>
    </row>
    <row r="294" spans="1:12" x14ac:dyDescent="0.25">
      <c r="A294" s="151" t="s">
        <v>2417</v>
      </c>
      <c r="B294" s="151" t="s">
        <v>2997</v>
      </c>
      <c r="C294" s="151" t="s">
        <v>3344</v>
      </c>
      <c r="D294" s="151">
        <f t="shared" si="12"/>
        <v>0</v>
      </c>
      <c r="E294" s="151" t="str">
        <f t="shared" si="13"/>
        <v>GC-04314</v>
      </c>
      <c r="F294" s="151">
        <f>+IF(AND(C294*1&gt;=200,E294="GC-04314"),IF(D294=0,MAX(F$2:F293)+1,0),0)</f>
        <v>193</v>
      </c>
      <c r="H294" s="151" t="s">
        <v>6169</v>
      </c>
      <c r="I294" s="151" t="s">
        <v>6962</v>
      </c>
      <c r="J294" s="151" t="s">
        <v>6962</v>
      </c>
      <c r="K294" s="151">
        <f t="shared" si="14"/>
        <v>0</v>
      </c>
      <c r="L294" s="151" t="s">
        <v>9020</v>
      </c>
    </row>
    <row r="295" spans="1:12" x14ac:dyDescent="0.25">
      <c r="A295" s="151" t="s">
        <v>2418</v>
      </c>
      <c r="B295" s="151" t="s">
        <v>2997</v>
      </c>
      <c r="C295" s="151" t="s">
        <v>3345</v>
      </c>
      <c r="D295" s="151">
        <f t="shared" si="12"/>
        <v>0</v>
      </c>
      <c r="E295" s="151" t="str">
        <f t="shared" si="13"/>
        <v>GC-04314</v>
      </c>
      <c r="F295" s="151">
        <f>+IF(AND(C295*1&gt;=200,E295="GC-04314"),IF(D295=0,MAX(F$2:F294)+1,0),0)</f>
        <v>194</v>
      </c>
      <c r="H295" s="151" t="s">
        <v>6170</v>
      </c>
      <c r="I295" s="151" t="s">
        <v>6962</v>
      </c>
      <c r="J295" s="151" t="s">
        <v>6962</v>
      </c>
      <c r="K295" s="151">
        <f t="shared" si="14"/>
        <v>0</v>
      </c>
      <c r="L295" s="151" t="s">
        <v>9020</v>
      </c>
    </row>
    <row r="296" spans="1:12" x14ac:dyDescent="0.25">
      <c r="A296" s="151" t="s">
        <v>2419</v>
      </c>
      <c r="B296" s="151" t="s">
        <v>2997</v>
      </c>
      <c r="C296" s="151" t="s">
        <v>3346</v>
      </c>
      <c r="D296" s="151">
        <f t="shared" si="12"/>
        <v>0</v>
      </c>
      <c r="E296" s="151" t="str">
        <f t="shared" si="13"/>
        <v>GC-04314</v>
      </c>
      <c r="F296" s="151">
        <f>+IF(AND(C296*1&gt;=200,E296="GC-04314"),IF(D296=0,MAX(F$2:F295)+1,0),0)</f>
        <v>195</v>
      </c>
      <c r="H296" s="151" t="s">
        <v>6171</v>
      </c>
      <c r="I296" s="151" t="s">
        <v>6962</v>
      </c>
      <c r="J296" s="151" t="s">
        <v>6962</v>
      </c>
      <c r="K296" s="151">
        <f t="shared" si="14"/>
        <v>0</v>
      </c>
      <c r="L296" s="151" t="s">
        <v>9020</v>
      </c>
    </row>
    <row r="297" spans="1:12" x14ac:dyDescent="0.25">
      <c r="A297" s="151" t="s">
        <v>2420</v>
      </c>
      <c r="B297" s="151" t="s">
        <v>2997</v>
      </c>
      <c r="C297" s="151" t="s">
        <v>3347</v>
      </c>
      <c r="D297" s="151">
        <f t="shared" si="12"/>
        <v>0</v>
      </c>
      <c r="E297" s="151" t="str">
        <f t="shared" si="13"/>
        <v>GC-04314</v>
      </c>
      <c r="F297" s="151">
        <f>+IF(AND(C297*1&gt;=200,E297="GC-04314"),IF(D297=0,MAX(F$2:F296)+1,0),0)</f>
        <v>196</v>
      </c>
      <c r="H297" s="151" t="s">
        <v>6172</v>
      </c>
      <c r="I297" s="151" t="s">
        <v>6962</v>
      </c>
      <c r="J297" s="151" t="s">
        <v>6962</v>
      </c>
      <c r="K297" s="151">
        <f t="shared" si="14"/>
        <v>0</v>
      </c>
      <c r="L297" s="151" t="s">
        <v>9020</v>
      </c>
    </row>
    <row r="298" spans="1:12" x14ac:dyDescent="0.25">
      <c r="A298" s="151" t="s">
        <v>2421</v>
      </c>
      <c r="B298" s="151" t="s">
        <v>2997</v>
      </c>
      <c r="C298" s="151" t="s">
        <v>3348</v>
      </c>
      <c r="D298" s="151">
        <f t="shared" si="12"/>
        <v>0</v>
      </c>
      <c r="E298" s="151" t="str">
        <f t="shared" si="13"/>
        <v>GC-04314</v>
      </c>
      <c r="F298" s="151">
        <f>+IF(AND(C298*1&gt;=200,E298="GC-04314"),IF(D298=0,MAX(F$2:F297)+1,0),0)</f>
        <v>197</v>
      </c>
      <c r="H298" s="151" t="s">
        <v>6173</v>
      </c>
      <c r="I298" s="151" t="s">
        <v>6962</v>
      </c>
      <c r="J298" s="151" t="s">
        <v>6962</v>
      </c>
      <c r="K298" s="151">
        <f t="shared" si="14"/>
        <v>0</v>
      </c>
      <c r="L298" s="151" t="s">
        <v>9020</v>
      </c>
    </row>
    <row r="299" spans="1:12" x14ac:dyDescent="0.25">
      <c r="A299" s="151" t="s">
        <v>2422</v>
      </c>
      <c r="B299" s="151" t="s">
        <v>2997</v>
      </c>
      <c r="C299" s="151" t="s">
        <v>3349</v>
      </c>
      <c r="D299" s="151">
        <f t="shared" si="12"/>
        <v>0</v>
      </c>
      <c r="E299" s="151" t="str">
        <f t="shared" si="13"/>
        <v>GC-04314</v>
      </c>
      <c r="F299" s="151">
        <f>+IF(AND(C299*1&gt;=200,E299="GC-04314"),IF(D299=0,MAX(F$2:F298)+1,0),0)</f>
        <v>198</v>
      </c>
      <c r="H299" s="151" t="s">
        <v>6174</v>
      </c>
      <c r="I299" s="151" t="s">
        <v>6962</v>
      </c>
      <c r="J299" s="151" t="s">
        <v>6962</v>
      </c>
      <c r="K299" s="151">
        <f t="shared" si="14"/>
        <v>0</v>
      </c>
      <c r="L299" s="151" t="s">
        <v>9020</v>
      </c>
    </row>
    <row r="300" spans="1:12" x14ac:dyDescent="0.25">
      <c r="A300" s="151" t="s">
        <v>2423</v>
      </c>
      <c r="B300" s="151" t="s">
        <v>2997</v>
      </c>
      <c r="C300" s="151" t="s">
        <v>3350</v>
      </c>
      <c r="D300" s="151">
        <f t="shared" si="12"/>
        <v>0</v>
      </c>
      <c r="E300" s="151" t="str">
        <f t="shared" si="13"/>
        <v>GC-04314</v>
      </c>
      <c r="F300" s="151">
        <f>+IF(AND(C300*1&gt;=200,E300="GC-04314"),IF(D300=0,MAX(F$2:F299)+1,0),0)</f>
        <v>199</v>
      </c>
      <c r="H300" s="151" t="s">
        <v>6175</v>
      </c>
      <c r="I300" s="151" t="s">
        <v>6962</v>
      </c>
      <c r="J300" s="151" t="s">
        <v>6962</v>
      </c>
      <c r="K300" s="151">
        <f t="shared" si="14"/>
        <v>0</v>
      </c>
      <c r="L300" s="151" t="s">
        <v>9020</v>
      </c>
    </row>
    <row r="301" spans="1:12" x14ac:dyDescent="0.25">
      <c r="A301" s="151" t="s">
        <v>2424</v>
      </c>
      <c r="B301" s="151" t="s">
        <v>2997</v>
      </c>
      <c r="C301" s="151" t="s">
        <v>3351</v>
      </c>
      <c r="D301" s="151">
        <f t="shared" si="12"/>
        <v>0</v>
      </c>
      <c r="E301" s="151" t="str">
        <f t="shared" si="13"/>
        <v>GC-04314</v>
      </c>
      <c r="F301" s="151">
        <f>+IF(AND(C301*1&gt;=200,E301="GC-04314"),IF(D301=0,MAX(F$2:F300)+1,0),0)</f>
        <v>200</v>
      </c>
      <c r="H301" s="151" t="s">
        <v>6176</v>
      </c>
      <c r="I301" s="151" t="s">
        <v>6962</v>
      </c>
      <c r="J301" s="151" t="s">
        <v>6962</v>
      </c>
      <c r="K301" s="151">
        <f t="shared" si="14"/>
        <v>0</v>
      </c>
      <c r="L301" s="151" t="s">
        <v>9020</v>
      </c>
    </row>
    <row r="302" spans="1:12" x14ac:dyDescent="0.25">
      <c r="A302" s="151" t="s">
        <v>2425</v>
      </c>
      <c r="B302" s="151" t="s">
        <v>2997</v>
      </c>
      <c r="C302" s="151" t="s">
        <v>3352</v>
      </c>
      <c r="D302" s="151">
        <f t="shared" si="12"/>
        <v>0</v>
      </c>
      <c r="E302" s="151" t="str">
        <f t="shared" si="13"/>
        <v>GC-04314</v>
      </c>
      <c r="F302" s="151">
        <f>+IF(AND(C302*1&gt;=200,E302="GC-04314"),IF(D302=0,MAX(F$2:F301)+1,0),0)</f>
        <v>201</v>
      </c>
      <c r="H302" s="151" t="s">
        <v>6177</v>
      </c>
      <c r="I302" s="151" t="s">
        <v>6962</v>
      </c>
      <c r="J302" s="151" t="s">
        <v>6962</v>
      </c>
      <c r="K302" s="151">
        <f t="shared" si="14"/>
        <v>0</v>
      </c>
      <c r="L302" s="151" t="s">
        <v>9020</v>
      </c>
    </row>
    <row r="303" spans="1:12" x14ac:dyDescent="0.25">
      <c r="A303" s="151" t="s">
        <v>2426</v>
      </c>
      <c r="B303" s="151" t="s">
        <v>2997</v>
      </c>
      <c r="C303" s="151" t="s">
        <v>3353</v>
      </c>
      <c r="D303" s="151">
        <f t="shared" si="12"/>
        <v>0</v>
      </c>
      <c r="E303" s="151" t="str">
        <f t="shared" si="13"/>
        <v>GC-04314</v>
      </c>
      <c r="F303" s="151">
        <f>+IF(AND(C303*1&gt;=200,E303="GC-04314"),IF(D303=0,MAX(F$2:F302)+1,0),0)</f>
        <v>202</v>
      </c>
      <c r="H303" s="151" t="s">
        <v>6178</v>
      </c>
      <c r="I303" s="151" t="s">
        <v>6962</v>
      </c>
      <c r="J303" s="151" t="s">
        <v>6962</v>
      </c>
      <c r="K303" s="151">
        <f t="shared" si="14"/>
        <v>0</v>
      </c>
      <c r="L303" s="151" t="s">
        <v>9020</v>
      </c>
    </row>
    <row r="304" spans="1:12" x14ac:dyDescent="0.25">
      <c r="A304" s="151" t="s">
        <v>2427</v>
      </c>
      <c r="B304" s="151" t="s">
        <v>2997</v>
      </c>
      <c r="C304" s="151" t="s">
        <v>3354</v>
      </c>
      <c r="D304" s="151">
        <f t="shared" si="12"/>
        <v>0</v>
      </c>
      <c r="E304" s="151" t="str">
        <f t="shared" si="13"/>
        <v>GC-04314</v>
      </c>
      <c r="F304" s="151">
        <f>+IF(AND(C304*1&gt;=200,E304="GC-04314"),IF(D304=0,MAX(F$2:F303)+1,0),0)</f>
        <v>203</v>
      </c>
      <c r="H304" s="151" t="s">
        <v>6179</v>
      </c>
      <c r="I304" s="151" t="s">
        <v>6962</v>
      </c>
      <c r="J304" s="151" t="s">
        <v>6962</v>
      </c>
      <c r="K304" s="151">
        <f t="shared" si="14"/>
        <v>0</v>
      </c>
      <c r="L304" s="151" t="s">
        <v>9020</v>
      </c>
    </row>
    <row r="305" spans="1:12" x14ac:dyDescent="0.25">
      <c r="A305" s="151" t="s">
        <v>2428</v>
      </c>
      <c r="B305" s="151" t="s">
        <v>2997</v>
      </c>
      <c r="C305" s="151" t="s">
        <v>3355</v>
      </c>
      <c r="D305" s="151">
        <f t="shared" si="12"/>
        <v>0</v>
      </c>
      <c r="E305" s="151" t="str">
        <f t="shared" si="13"/>
        <v>GC-04314</v>
      </c>
      <c r="F305" s="151">
        <f>+IF(AND(C305*1&gt;=200,E305="GC-04314"),IF(D305=0,MAX(F$2:F304)+1,0),0)</f>
        <v>204</v>
      </c>
      <c r="H305" s="151" t="s">
        <v>6180</v>
      </c>
      <c r="I305" s="151" t="s">
        <v>6962</v>
      </c>
      <c r="J305" s="151" t="s">
        <v>6962</v>
      </c>
      <c r="K305" s="151">
        <f t="shared" si="14"/>
        <v>0</v>
      </c>
      <c r="L305" s="151" t="s">
        <v>9020</v>
      </c>
    </row>
    <row r="306" spans="1:12" x14ac:dyDescent="0.25">
      <c r="A306" s="151" t="s">
        <v>2429</v>
      </c>
      <c r="B306" s="151" t="s">
        <v>2997</v>
      </c>
      <c r="C306" s="151" t="s">
        <v>3356</v>
      </c>
      <c r="D306" s="151">
        <f t="shared" si="12"/>
        <v>0</v>
      </c>
      <c r="E306" s="151" t="str">
        <f t="shared" si="13"/>
        <v>GC-04314</v>
      </c>
      <c r="F306" s="151">
        <f>+IF(AND(C306*1&gt;=200,E306="GC-04314"),IF(D306=0,MAX(F$2:F305)+1,0),0)</f>
        <v>205</v>
      </c>
      <c r="H306" s="151" t="s">
        <v>6181</v>
      </c>
      <c r="I306" s="151" t="s">
        <v>6962</v>
      </c>
      <c r="J306" s="151" t="s">
        <v>6962</v>
      </c>
      <c r="K306" s="151">
        <f t="shared" si="14"/>
        <v>0</v>
      </c>
      <c r="L306" s="151" t="s">
        <v>9020</v>
      </c>
    </row>
    <row r="307" spans="1:12" x14ac:dyDescent="0.25">
      <c r="A307" s="151" t="s">
        <v>2430</v>
      </c>
      <c r="B307" s="151" t="s">
        <v>2997</v>
      </c>
      <c r="C307" s="151" t="s">
        <v>3357</v>
      </c>
      <c r="D307" s="151">
        <f t="shared" si="12"/>
        <v>0</v>
      </c>
      <c r="E307" s="151" t="str">
        <f t="shared" si="13"/>
        <v>GC-04314</v>
      </c>
      <c r="F307" s="151">
        <f>+IF(AND(C307*1&gt;=200,E307="GC-04314"),IF(D307=0,MAX(F$2:F306)+1,0),0)</f>
        <v>206</v>
      </c>
      <c r="H307" s="151" t="s">
        <v>6182</v>
      </c>
      <c r="I307" s="151" t="s">
        <v>6962</v>
      </c>
      <c r="J307" s="151" t="s">
        <v>6962</v>
      </c>
      <c r="K307" s="151">
        <f t="shared" si="14"/>
        <v>0</v>
      </c>
      <c r="L307" s="151" t="s">
        <v>9020</v>
      </c>
    </row>
    <row r="308" spans="1:12" x14ac:dyDescent="0.25">
      <c r="A308" s="151" t="s">
        <v>2431</v>
      </c>
      <c r="B308" s="151" t="s">
        <v>2997</v>
      </c>
      <c r="C308" s="151" t="s">
        <v>3358</v>
      </c>
      <c r="D308" s="151">
        <f t="shared" si="12"/>
        <v>0</v>
      </c>
      <c r="E308" s="151" t="str">
        <f t="shared" si="13"/>
        <v>GC-04314</v>
      </c>
      <c r="F308" s="151">
        <f>+IF(AND(C308*1&gt;=200,E308="GC-04314"),IF(D308=0,MAX(F$2:F307)+1,0),0)</f>
        <v>207</v>
      </c>
      <c r="H308" s="151" t="s">
        <v>6183</v>
      </c>
      <c r="I308" s="151" t="s">
        <v>6962</v>
      </c>
      <c r="J308" s="151" t="s">
        <v>6962</v>
      </c>
      <c r="K308" s="151">
        <f t="shared" si="14"/>
        <v>0</v>
      </c>
      <c r="L308" s="151" t="s">
        <v>9020</v>
      </c>
    </row>
    <row r="309" spans="1:12" x14ac:dyDescent="0.25">
      <c r="A309" s="151" t="s">
        <v>2432</v>
      </c>
      <c r="B309" s="151" t="s">
        <v>2997</v>
      </c>
      <c r="C309" s="151" t="s">
        <v>3359</v>
      </c>
      <c r="D309" s="151">
        <f t="shared" si="12"/>
        <v>0</v>
      </c>
      <c r="E309" s="151" t="str">
        <f t="shared" si="13"/>
        <v>GC-04314</v>
      </c>
      <c r="F309" s="151">
        <f>+IF(AND(C309*1&gt;=200,E309="GC-04314"),IF(D309=0,MAX(F$2:F308)+1,0),0)</f>
        <v>208</v>
      </c>
      <c r="H309" s="151" t="s">
        <v>6184</v>
      </c>
      <c r="I309" s="151" t="s">
        <v>6962</v>
      </c>
      <c r="J309" s="151" t="s">
        <v>6962</v>
      </c>
      <c r="K309" s="151">
        <f t="shared" si="14"/>
        <v>0</v>
      </c>
      <c r="L309" s="151" t="s">
        <v>9020</v>
      </c>
    </row>
    <row r="310" spans="1:12" x14ac:dyDescent="0.25">
      <c r="A310" s="151" t="s">
        <v>2433</v>
      </c>
      <c r="B310" s="151" t="s">
        <v>2997</v>
      </c>
      <c r="C310" s="151" t="s">
        <v>3360</v>
      </c>
      <c r="D310" s="151">
        <f t="shared" si="12"/>
        <v>0</v>
      </c>
      <c r="E310" s="151" t="str">
        <f t="shared" si="13"/>
        <v>GC-04314</v>
      </c>
      <c r="F310" s="151">
        <f>+IF(AND(C310*1&gt;=200,E310="GC-04314"),IF(D310=0,MAX(F$2:F309)+1,0),0)</f>
        <v>209</v>
      </c>
      <c r="H310" s="151" t="s">
        <v>6185</v>
      </c>
      <c r="I310" s="151" t="s">
        <v>6962</v>
      </c>
      <c r="J310" s="151" t="s">
        <v>6962</v>
      </c>
      <c r="K310" s="151">
        <f t="shared" si="14"/>
        <v>0</v>
      </c>
      <c r="L310" s="151" t="s">
        <v>9020</v>
      </c>
    </row>
    <row r="311" spans="1:12" x14ac:dyDescent="0.25">
      <c r="A311" s="151" t="s">
        <v>2434</v>
      </c>
      <c r="B311" s="151" t="s">
        <v>2997</v>
      </c>
      <c r="C311" s="151" t="s">
        <v>3361</v>
      </c>
      <c r="D311" s="151">
        <f t="shared" si="12"/>
        <v>0</v>
      </c>
      <c r="E311" s="151" t="str">
        <f t="shared" si="13"/>
        <v>GC-04314</v>
      </c>
      <c r="F311" s="151">
        <f>+IF(AND(C311*1&gt;=200,E311="GC-04314"),IF(D311=0,MAX(F$2:F310)+1,0),0)</f>
        <v>210</v>
      </c>
      <c r="H311" s="151" t="s">
        <v>6186</v>
      </c>
      <c r="I311" s="151" t="s">
        <v>6962</v>
      </c>
      <c r="J311" s="151" t="s">
        <v>6962</v>
      </c>
      <c r="K311" s="151">
        <f t="shared" si="14"/>
        <v>0</v>
      </c>
      <c r="L311" s="151" t="s">
        <v>9020</v>
      </c>
    </row>
    <row r="312" spans="1:12" x14ac:dyDescent="0.25">
      <c r="A312" s="151" t="s">
        <v>2435</v>
      </c>
      <c r="B312" s="151" t="s">
        <v>2997</v>
      </c>
      <c r="C312" s="151" t="s">
        <v>3362</v>
      </c>
      <c r="D312" s="151">
        <f t="shared" si="12"/>
        <v>0</v>
      </c>
      <c r="E312" s="151" t="str">
        <f t="shared" si="13"/>
        <v>GC-04314</v>
      </c>
      <c r="F312" s="151">
        <f>+IF(AND(C312*1&gt;=200,E312="GC-04314"),IF(D312=0,MAX(F$2:F311)+1,0),0)</f>
        <v>211</v>
      </c>
      <c r="H312" s="151" t="s">
        <v>6187</v>
      </c>
      <c r="I312" s="151" t="s">
        <v>6962</v>
      </c>
      <c r="J312" s="151" t="s">
        <v>6962</v>
      </c>
      <c r="K312" s="151">
        <f t="shared" si="14"/>
        <v>0</v>
      </c>
      <c r="L312" s="151" t="s">
        <v>9020</v>
      </c>
    </row>
    <row r="313" spans="1:12" x14ac:dyDescent="0.25">
      <c r="A313" s="151" t="s">
        <v>2436</v>
      </c>
      <c r="B313" s="151" t="s">
        <v>2997</v>
      </c>
      <c r="C313" s="151" t="s">
        <v>3363</v>
      </c>
      <c r="D313" s="151">
        <f t="shared" si="12"/>
        <v>0</v>
      </c>
      <c r="E313" s="151" t="str">
        <f t="shared" si="13"/>
        <v>GC-04314</v>
      </c>
      <c r="F313" s="151">
        <f>+IF(AND(C313*1&gt;=200,E313="GC-04314"),IF(D313=0,MAX(F$2:F312)+1,0),0)</f>
        <v>212</v>
      </c>
      <c r="H313" s="151" t="s">
        <v>6188</v>
      </c>
      <c r="I313" s="151" t="s">
        <v>6962</v>
      </c>
      <c r="J313" s="151" t="s">
        <v>6962</v>
      </c>
      <c r="K313" s="151">
        <f t="shared" si="14"/>
        <v>0</v>
      </c>
      <c r="L313" s="151" t="s">
        <v>9020</v>
      </c>
    </row>
    <row r="314" spans="1:12" x14ac:dyDescent="0.25">
      <c r="A314" s="151" t="s">
        <v>2437</v>
      </c>
      <c r="B314" s="151" t="s">
        <v>2997</v>
      </c>
      <c r="C314" s="151" t="s">
        <v>3364</v>
      </c>
      <c r="D314" s="151">
        <f t="shared" si="12"/>
        <v>0</v>
      </c>
      <c r="E314" s="151" t="str">
        <f t="shared" si="13"/>
        <v>GC-04314</v>
      </c>
      <c r="F314" s="151">
        <f>+IF(AND(C314*1&gt;=200,E314="GC-04314"),IF(D314=0,MAX(F$2:F313)+1,0),0)</f>
        <v>213</v>
      </c>
      <c r="H314" s="151" t="s">
        <v>6189</v>
      </c>
      <c r="I314" s="151" t="s">
        <v>6962</v>
      </c>
      <c r="J314" s="151" t="s">
        <v>6962</v>
      </c>
      <c r="K314" s="151">
        <f t="shared" si="14"/>
        <v>0</v>
      </c>
      <c r="L314" s="151" t="s">
        <v>9020</v>
      </c>
    </row>
    <row r="315" spans="1:12" x14ac:dyDescent="0.25">
      <c r="A315" s="151" t="s">
        <v>2438</v>
      </c>
      <c r="B315" s="151" t="s">
        <v>2997</v>
      </c>
      <c r="C315" s="151" t="s">
        <v>3365</v>
      </c>
      <c r="D315" s="151">
        <f t="shared" si="12"/>
        <v>0</v>
      </c>
      <c r="E315" s="151" t="str">
        <f t="shared" si="13"/>
        <v>GC-04314</v>
      </c>
      <c r="F315" s="151">
        <f>+IF(AND(C315*1&gt;=200,E315="GC-04314"),IF(D315=0,MAX(F$2:F314)+1,0),0)</f>
        <v>214</v>
      </c>
      <c r="H315" s="151" t="s">
        <v>6190</v>
      </c>
      <c r="I315" s="151" t="s">
        <v>6962</v>
      </c>
      <c r="J315" s="151" t="s">
        <v>6962</v>
      </c>
      <c r="K315" s="151">
        <f t="shared" si="14"/>
        <v>0</v>
      </c>
      <c r="L315" s="151" t="s">
        <v>9020</v>
      </c>
    </row>
    <row r="316" spans="1:12" x14ac:dyDescent="0.25">
      <c r="A316" s="151" t="s">
        <v>2439</v>
      </c>
      <c r="B316" s="151" t="s">
        <v>2997</v>
      </c>
      <c r="C316" s="151" t="s">
        <v>3366</v>
      </c>
      <c r="D316" s="151">
        <f t="shared" si="12"/>
        <v>0</v>
      </c>
      <c r="E316" s="151" t="str">
        <f t="shared" si="13"/>
        <v>GC-04314</v>
      </c>
      <c r="F316" s="151">
        <f>+IF(AND(C316*1&gt;=200,E316="GC-04314"),IF(D316=0,MAX(F$2:F315)+1,0),0)</f>
        <v>215</v>
      </c>
      <c r="H316" s="151" t="s">
        <v>6191</v>
      </c>
      <c r="I316" s="151" t="s">
        <v>6962</v>
      </c>
      <c r="J316" s="151" t="s">
        <v>6962</v>
      </c>
      <c r="K316" s="151">
        <f t="shared" si="14"/>
        <v>0</v>
      </c>
      <c r="L316" s="151" t="s">
        <v>9020</v>
      </c>
    </row>
    <row r="317" spans="1:12" x14ac:dyDescent="0.25">
      <c r="A317" s="151" t="s">
        <v>2440</v>
      </c>
      <c r="B317" s="151" t="s">
        <v>2997</v>
      </c>
      <c r="C317" s="151" t="s">
        <v>3367</v>
      </c>
      <c r="D317" s="151">
        <f t="shared" si="12"/>
        <v>0</v>
      </c>
      <c r="E317" s="151" t="str">
        <f t="shared" si="13"/>
        <v>GC-04314</v>
      </c>
      <c r="F317" s="151">
        <f>+IF(AND(C317*1&gt;=200,E317="GC-04314"),IF(D317=0,MAX(F$2:F316)+1,0),0)</f>
        <v>216</v>
      </c>
      <c r="H317" s="151" t="s">
        <v>6192</v>
      </c>
      <c r="I317" s="151" t="s">
        <v>6962</v>
      </c>
      <c r="J317" s="151" t="s">
        <v>6962</v>
      </c>
      <c r="K317" s="151">
        <f t="shared" si="14"/>
        <v>0</v>
      </c>
      <c r="L317" s="151" t="s">
        <v>9020</v>
      </c>
    </row>
    <row r="318" spans="1:12" x14ac:dyDescent="0.25">
      <c r="A318" s="151" t="s">
        <v>2441</v>
      </c>
      <c r="B318" s="151" t="s">
        <v>2997</v>
      </c>
      <c r="C318" s="151" t="s">
        <v>3368</v>
      </c>
      <c r="D318" s="151">
        <f t="shared" si="12"/>
        <v>0</v>
      </c>
      <c r="E318" s="151" t="str">
        <f t="shared" si="13"/>
        <v>GC-04314</v>
      </c>
      <c r="F318" s="151">
        <f>+IF(AND(C318*1&gt;=200,E318="GC-04314"),IF(D318=0,MAX(F$2:F317)+1,0),0)</f>
        <v>217</v>
      </c>
      <c r="H318" s="151" t="s">
        <v>6193</v>
      </c>
      <c r="I318" s="151" t="s">
        <v>6962</v>
      </c>
      <c r="J318" s="151" t="s">
        <v>6962</v>
      </c>
      <c r="K318" s="151">
        <f t="shared" si="14"/>
        <v>0</v>
      </c>
      <c r="L318" s="151" t="s">
        <v>9020</v>
      </c>
    </row>
    <row r="319" spans="1:12" x14ac:dyDescent="0.25">
      <c r="A319" s="151" t="s">
        <v>2442</v>
      </c>
      <c r="B319" s="151" t="s">
        <v>2997</v>
      </c>
      <c r="C319" s="151" t="s">
        <v>3369</v>
      </c>
      <c r="D319" s="151">
        <f t="shared" si="12"/>
        <v>0</v>
      </c>
      <c r="E319" s="151" t="str">
        <f t="shared" si="13"/>
        <v>GC-04314</v>
      </c>
      <c r="F319" s="151">
        <f>+IF(AND(C319*1&gt;=200,E319="GC-04314"),IF(D319=0,MAX(F$2:F318)+1,0),0)</f>
        <v>218</v>
      </c>
      <c r="H319" s="151" t="s">
        <v>6194</v>
      </c>
      <c r="I319" s="151" t="s">
        <v>6962</v>
      </c>
      <c r="J319" s="151" t="s">
        <v>6962</v>
      </c>
      <c r="K319" s="151">
        <f t="shared" si="14"/>
        <v>0</v>
      </c>
      <c r="L319" s="151" t="s">
        <v>9020</v>
      </c>
    </row>
    <row r="320" spans="1:12" x14ac:dyDescent="0.25">
      <c r="A320" s="151" t="s">
        <v>2443</v>
      </c>
      <c r="B320" s="151" t="s">
        <v>2997</v>
      </c>
      <c r="C320" s="151" t="s">
        <v>3370</v>
      </c>
      <c r="D320" s="151">
        <f t="shared" si="12"/>
        <v>0</v>
      </c>
      <c r="E320" s="151" t="str">
        <f t="shared" si="13"/>
        <v>GC-04314</v>
      </c>
      <c r="F320" s="151">
        <f>+IF(AND(C320*1&gt;=200,E320="GC-04314"),IF(D320=0,MAX(F$2:F319)+1,0),0)</f>
        <v>219</v>
      </c>
      <c r="H320" s="151" t="s">
        <v>6195</v>
      </c>
      <c r="I320" s="151" t="s">
        <v>6962</v>
      </c>
      <c r="J320" s="151" t="s">
        <v>6962</v>
      </c>
      <c r="K320" s="151">
        <f t="shared" si="14"/>
        <v>0</v>
      </c>
      <c r="L320" s="151" t="s">
        <v>9020</v>
      </c>
    </row>
    <row r="321" spans="1:12" x14ac:dyDescent="0.25">
      <c r="A321" s="151" t="s">
        <v>2444</v>
      </c>
      <c r="B321" s="151" t="s">
        <v>2997</v>
      </c>
      <c r="C321" s="151" t="s">
        <v>3371</v>
      </c>
      <c r="D321" s="151">
        <f t="shared" si="12"/>
        <v>0</v>
      </c>
      <c r="E321" s="151" t="str">
        <f t="shared" si="13"/>
        <v>GC-04314</v>
      </c>
      <c r="F321" s="151">
        <f>+IF(AND(C321*1&gt;=200,E321="GC-04314"),IF(D321=0,MAX(F$2:F320)+1,0),0)</f>
        <v>220</v>
      </c>
      <c r="H321" s="151" t="s">
        <v>6196</v>
      </c>
      <c r="I321" s="151" t="s">
        <v>6962</v>
      </c>
      <c r="J321" s="151" t="s">
        <v>6962</v>
      </c>
      <c r="K321" s="151">
        <f t="shared" si="14"/>
        <v>0</v>
      </c>
      <c r="L321" s="151" t="s">
        <v>9020</v>
      </c>
    </row>
    <row r="322" spans="1:12" x14ac:dyDescent="0.25">
      <c r="A322" s="151" t="s">
        <v>2445</v>
      </c>
      <c r="B322" s="151" t="s">
        <v>2997</v>
      </c>
      <c r="C322" s="151" t="s">
        <v>3372</v>
      </c>
      <c r="D322" s="151">
        <f t="shared" ref="D322:D385" si="15">+SUMIFS(K:K,H:H,A322)</f>
        <v>0</v>
      </c>
      <c r="E322" s="151" t="str">
        <f t="shared" ref="E322:E385" si="16">+IF(D322=0,VLOOKUP(A322,$H:$L,5,FALSE),"")</f>
        <v>GC-04314</v>
      </c>
      <c r="F322" s="151">
        <f>+IF(AND(C322*1&gt;=200,E322="GC-04314"),IF(D322=0,MAX(F$2:F321)+1,0),0)</f>
        <v>221</v>
      </c>
      <c r="H322" s="151" t="s">
        <v>6197</v>
      </c>
      <c r="I322" s="151" t="s">
        <v>6962</v>
      </c>
      <c r="J322" s="151" t="s">
        <v>6962</v>
      </c>
      <c r="K322" s="151">
        <f t="shared" si="14"/>
        <v>0</v>
      </c>
      <c r="L322" s="151" t="s">
        <v>9020</v>
      </c>
    </row>
    <row r="323" spans="1:12" x14ac:dyDescent="0.25">
      <c r="A323" s="151" t="s">
        <v>2446</v>
      </c>
      <c r="B323" s="151" t="s">
        <v>2997</v>
      </c>
      <c r="C323" s="151" t="s">
        <v>3373</v>
      </c>
      <c r="D323" s="151">
        <f t="shared" si="15"/>
        <v>0</v>
      </c>
      <c r="E323" s="151" t="str">
        <f t="shared" si="16"/>
        <v>GC-04314</v>
      </c>
      <c r="F323" s="151">
        <f>+IF(AND(C323*1&gt;=200,E323="GC-04314"),IF(D323=0,MAX(F$2:F322)+1,0),0)</f>
        <v>222</v>
      </c>
      <c r="H323" s="151" t="s">
        <v>6198</v>
      </c>
      <c r="I323" s="151" t="s">
        <v>6962</v>
      </c>
      <c r="J323" s="151" t="s">
        <v>6962</v>
      </c>
      <c r="K323" s="151">
        <f t="shared" ref="K323:K386" si="17">+IFERROR(J323*1,0)</f>
        <v>0</v>
      </c>
      <c r="L323" s="151" t="s">
        <v>9020</v>
      </c>
    </row>
    <row r="324" spans="1:12" x14ac:dyDescent="0.25">
      <c r="A324" s="151" t="s">
        <v>2447</v>
      </c>
      <c r="B324" s="151" t="s">
        <v>2997</v>
      </c>
      <c r="C324" s="151" t="s">
        <v>3374</v>
      </c>
      <c r="D324" s="151">
        <f t="shared" si="15"/>
        <v>0</v>
      </c>
      <c r="E324" s="151" t="str">
        <f t="shared" si="16"/>
        <v>GC-04314</v>
      </c>
      <c r="F324" s="151">
        <f>+IF(AND(C324*1&gt;=200,E324="GC-04314"),IF(D324=0,MAX(F$2:F323)+1,0),0)</f>
        <v>223</v>
      </c>
      <c r="H324" s="151" t="s">
        <v>6199</v>
      </c>
      <c r="I324" s="151" t="s">
        <v>6962</v>
      </c>
      <c r="J324" s="151" t="s">
        <v>6962</v>
      </c>
      <c r="K324" s="151">
        <f t="shared" si="17"/>
        <v>0</v>
      </c>
      <c r="L324" s="151" t="s">
        <v>9020</v>
      </c>
    </row>
    <row r="325" spans="1:12" x14ac:dyDescent="0.25">
      <c r="A325" s="151" t="s">
        <v>2448</v>
      </c>
      <c r="B325" s="151" t="s">
        <v>2997</v>
      </c>
      <c r="C325" s="151" t="s">
        <v>3375</v>
      </c>
      <c r="D325" s="151">
        <f t="shared" si="15"/>
        <v>0</v>
      </c>
      <c r="E325" s="151" t="str">
        <f t="shared" si="16"/>
        <v>GC-04314</v>
      </c>
      <c r="F325" s="151">
        <f>+IF(AND(C325*1&gt;=200,E325="GC-04314"),IF(D325=0,MAX(F$2:F324)+1,0),0)</f>
        <v>224</v>
      </c>
      <c r="H325" s="151" t="s">
        <v>6200</v>
      </c>
      <c r="I325" s="151" t="s">
        <v>6962</v>
      </c>
      <c r="J325" s="151" t="s">
        <v>6962</v>
      </c>
      <c r="K325" s="151">
        <f t="shared" si="17"/>
        <v>0</v>
      </c>
      <c r="L325" s="151" t="s">
        <v>9020</v>
      </c>
    </row>
    <row r="326" spans="1:12" x14ac:dyDescent="0.25">
      <c r="A326" s="151" t="s">
        <v>2449</v>
      </c>
      <c r="B326" s="151" t="s">
        <v>2997</v>
      </c>
      <c r="C326" s="151" t="s">
        <v>3376</v>
      </c>
      <c r="D326" s="151">
        <f t="shared" si="15"/>
        <v>0</v>
      </c>
      <c r="E326" s="151" t="str">
        <f t="shared" si="16"/>
        <v>GC-04314</v>
      </c>
      <c r="F326" s="151">
        <f>+IF(AND(C326*1&gt;=200,E326="GC-04314"),IF(D326=0,MAX(F$2:F325)+1,0),0)</f>
        <v>225</v>
      </c>
      <c r="H326" s="151" t="s">
        <v>6201</v>
      </c>
      <c r="I326" s="151" t="s">
        <v>6962</v>
      </c>
      <c r="J326" s="151" t="s">
        <v>6962</v>
      </c>
      <c r="K326" s="151">
        <f t="shared" si="17"/>
        <v>0</v>
      </c>
      <c r="L326" s="151" t="s">
        <v>9020</v>
      </c>
    </row>
    <row r="327" spans="1:12" x14ac:dyDescent="0.25">
      <c r="A327" s="151" t="s">
        <v>2450</v>
      </c>
      <c r="B327" s="151" t="s">
        <v>2997</v>
      </c>
      <c r="C327" s="151" t="s">
        <v>3377</v>
      </c>
      <c r="D327" s="151">
        <f t="shared" si="15"/>
        <v>0</v>
      </c>
      <c r="E327" s="151" t="str">
        <f t="shared" si="16"/>
        <v>GC-04314</v>
      </c>
      <c r="F327" s="151">
        <f>+IF(AND(C327*1&gt;=200,E327="GC-04314"),IF(D327=0,MAX(F$2:F326)+1,0),0)</f>
        <v>226</v>
      </c>
      <c r="H327" s="151" t="s">
        <v>6202</v>
      </c>
      <c r="I327" s="151" t="s">
        <v>6962</v>
      </c>
      <c r="J327" s="151" t="s">
        <v>6962</v>
      </c>
      <c r="K327" s="151">
        <f t="shared" si="17"/>
        <v>0</v>
      </c>
      <c r="L327" s="151" t="s">
        <v>9020</v>
      </c>
    </row>
    <row r="328" spans="1:12" x14ac:dyDescent="0.25">
      <c r="A328" s="151" t="s">
        <v>2451</v>
      </c>
      <c r="B328" s="151" t="s">
        <v>2997</v>
      </c>
      <c r="C328" s="151" t="s">
        <v>3378</v>
      </c>
      <c r="D328" s="151">
        <f t="shared" si="15"/>
        <v>0</v>
      </c>
      <c r="E328" s="151" t="str">
        <f t="shared" si="16"/>
        <v>GC-04314</v>
      </c>
      <c r="F328" s="151">
        <f>+IF(AND(C328*1&gt;=200,E328="GC-04314"),IF(D328=0,MAX(F$2:F327)+1,0),0)</f>
        <v>227</v>
      </c>
      <c r="H328" s="151" t="s">
        <v>6203</v>
      </c>
      <c r="I328" s="151" t="s">
        <v>6962</v>
      </c>
      <c r="J328" s="151" t="s">
        <v>6962</v>
      </c>
      <c r="K328" s="151">
        <f t="shared" si="17"/>
        <v>0</v>
      </c>
      <c r="L328" s="151" t="s">
        <v>9020</v>
      </c>
    </row>
    <row r="329" spans="1:12" x14ac:dyDescent="0.25">
      <c r="A329" s="151" t="s">
        <v>2452</v>
      </c>
      <c r="B329" s="151" t="s">
        <v>2997</v>
      </c>
      <c r="C329" s="151" t="s">
        <v>3379</v>
      </c>
      <c r="D329" s="151">
        <f t="shared" si="15"/>
        <v>0</v>
      </c>
      <c r="E329" s="151" t="str">
        <f t="shared" si="16"/>
        <v>GC-04314</v>
      </c>
      <c r="F329" s="151">
        <f>+IF(AND(C329*1&gt;=200,E329="GC-04314"),IF(D329=0,MAX(F$2:F328)+1,0),0)</f>
        <v>228</v>
      </c>
      <c r="H329" s="151" t="s">
        <v>6204</v>
      </c>
      <c r="I329" s="151" t="s">
        <v>6962</v>
      </c>
      <c r="J329" s="151" t="s">
        <v>6962</v>
      </c>
      <c r="K329" s="151">
        <f t="shared" si="17"/>
        <v>0</v>
      </c>
      <c r="L329" s="151" t="s">
        <v>9020</v>
      </c>
    </row>
    <row r="330" spans="1:12" x14ac:dyDescent="0.25">
      <c r="A330" s="151" t="s">
        <v>2453</v>
      </c>
      <c r="B330" s="151" t="s">
        <v>2997</v>
      </c>
      <c r="C330" s="151" t="s">
        <v>3380</v>
      </c>
      <c r="D330" s="151">
        <f t="shared" si="15"/>
        <v>0</v>
      </c>
      <c r="E330" s="151" t="str">
        <f t="shared" si="16"/>
        <v>GC-04314</v>
      </c>
      <c r="F330" s="151">
        <f>+IF(AND(C330*1&gt;=200,E330="GC-04314"),IF(D330=0,MAX(F$2:F329)+1,0),0)</f>
        <v>229</v>
      </c>
      <c r="H330" s="151" t="s">
        <v>6205</v>
      </c>
      <c r="I330" s="151" t="s">
        <v>6962</v>
      </c>
      <c r="J330" s="151" t="s">
        <v>6962</v>
      </c>
      <c r="K330" s="151">
        <f t="shared" si="17"/>
        <v>0</v>
      </c>
      <c r="L330" s="151" t="s">
        <v>9020</v>
      </c>
    </row>
    <row r="331" spans="1:12" x14ac:dyDescent="0.25">
      <c r="A331" s="151" t="s">
        <v>2454</v>
      </c>
      <c r="B331" s="151" t="s">
        <v>2997</v>
      </c>
      <c r="C331" s="151" t="s">
        <v>3381</v>
      </c>
      <c r="D331" s="151">
        <f t="shared" si="15"/>
        <v>0</v>
      </c>
      <c r="E331" s="151" t="str">
        <f t="shared" si="16"/>
        <v>GC-04314</v>
      </c>
      <c r="F331" s="151">
        <f>+IF(AND(C331*1&gt;=200,E331="GC-04314"),IF(D331=0,MAX(F$2:F330)+1,0),0)</f>
        <v>230</v>
      </c>
      <c r="H331" s="151" t="s">
        <v>6206</v>
      </c>
      <c r="I331" s="151" t="s">
        <v>6962</v>
      </c>
      <c r="J331" s="151" t="s">
        <v>6962</v>
      </c>
      <c r="K331" s="151">
        <f t="shared" si="17"/>
        <v>0</v>
      </c>
      <c r="L331" s="151" t="s">
        <v>9020</v>
      </c>
    </row>
    <row r="332" spans="1:12" x14ac:dyDescent="0.25">
      <c r="A332" s="151" t="s">
        <v>2455</v>
      </c>
      <c r="B332" s="151" t="s">
        <v>2997</v>
      </c>
      <c r="C332" s="151" t="s">
        <v>3382</v>
      </c>
      <c r="D332" s="151">
        <f t="shared" si="15"/>
        <v>0</v>
      </c>
      <c r="E332" s="151" t="str">
        <f t="shared" si="16"/>
        <v>GC-04314</v>
      </c>
      <c r="F332" s="151">
        <f>+IF(AND(C332*1&gt;=200,E332="GC-04314"),IF(D332=0,MAX(F$2:F331)+1,0),0)</f>
        <v>231</v>
      </c>
      <c r="H332" s="151" t="s">
        <v>6207</v>
      </c>
      <c r="I332" s="151" t="s">
        <v>6962</v>
      </c>
      <c r="J332" s="151" t="s">
        <v>6962</v>
      </c>
      <c r="K332" s="151">
        <f t="shared" si="17"/>
        <v>0</v>
      </c>
      <c r="L332" s="151" t="s">
        <v>9020</v>
      </c>
    </row>
    <row r="333" spans="1:12" x14ac:dyDescent="0.25">
      <c r="A333" s="151" t="s">
        <v>2456</v>
      </c>
      <c r="B333" s="151" t="s">
        <v>2997</v>
      </c>
      <c r="C333" s="151" t="s">
        <v>3383</v>
      </c>
      <c r="D333" s="151">
        <f t="shared" si="15"/>
        <v>0</v>
      </c>
      <c r="E333" s="151" t="str">
        <f t="shared" si="16"/>
        <v>GC-04314</v>
      </c>
      <c r="F333" s="151">
        <f>+IF(AND(C333*1&gt;=200,E333="GC-04314"),IF(D333=0,MAX(F$2:F332)+1,0),0)</f>
        <v>232</v>
      </c>
      <c r="H333" s="151" t="s">
        <v>6208</v>
      </c>
      <c r="I333" s="151" t="s">
        <v>6962</v>
      </c>
      <c r="J333" s="151" t="s">
        <v>6962</v>
      </c>
      <c r="K333" s="151">
        <f t="shared" si="17"/>
        <v>0</v>
      </c>
      <c r="L333" s="151" t="s">
        <v>9020</v>
      </c>
    </row>
    <row r="334" spans="1:12" x14ac:dyDescent="0.25">
      <c r="A334" s="151" t="s">
        <v>2457</v>
      </c>
      <c r="B334" s="151" t="s">
        <v>2997</v>
      </c>
      <c r="C334" s="151" t="s">
        <v>3384</v>
      </c>
      <c r="D334" s="151">
        <f t="shared" si="15"/>
        <v>0</v>
      </c>
      <c r="E334" s="151" t="str">
        <f t="shared" si="16"/>
        <v>GC-04314</v>
      </c>
      <c r="F334" s="151">
        <f>+IF(AND(C334*1&gt;=200,E334="GC-04314"),IF(D334=0,MAX(F$2:F333)+1,0),0)</f>
        <v>233</v>
      </c>
      <c r="H334" s="151" t="s">
        <v>6209</v>
      </c>
      <c r="I334" s="151" t="s">
        <v>6962</v>
      </c>
      <c r="J334" s="151" t="s">
        <v>6962</v>
      </c>
      <c r="K334" s="151">
        <f t="shared" si="17"/>
        <v>0</v>
      </c>
      <c r="L334" s="151" t="s">
        <v>9020</v>
      </c>
    </row>
    <row r="335" spans="1:12" x14ac:dyDescent="0.25">
      <c r="A335" s="151" t="s">
        <v>2458</v>
      </c>
      <c r="B335" s="151" t="s">
        <v>2997</v>
      </c>
      <c r="C335" s="151" t="s">
        <v>3385</v>
      </c>
      <c r="D335" s="151">
        <f t="shared" si="15"/>
        <v>0</v>
      </c>
      <c r="E335" s="151" t="str">
        <f t="shared" si="16"/>
        <v>GC-04314</v>
      </c>
      <c r="F335" s="151">
        <f>+IF(AND(C335*1&gt;=200,E335="GC-04314"),IF(D335=0,MAX(F$2:F334)+1,0),0)</f>
        <v>234</v>
      </c>
      <c r="H335" s="151" t="s">
        <v>6210</v>
      </c>
      <c r="I335" s="151" t="s">
        <v>6962</v>
      </c>
      <c r="J335" s="151" t="s">
        <v>6962</v>
      </c>
      <c r="K335" s="151">
        <f t="shared" si="17"/>
        <v>0</v>
      </c>
      <c r="L335" s="151" t="s">
        <v>9020</v>
      </c>
    </row>
    <row r="336" spans="1:12" x14ac:dyDescent="0.25">
      <c r="A336" s="151" t="s">
        <v>2459</v>
      </c>
      <c r="B336" s="151" t="s">
        <v>2997</v>
      </c>
      <c r="C336" s="151" t="s">
        <v>3386</v>
      </c>
      <c r="D336" s="151">
        <f t="shared" si="15"/>
        <v>0</v>
      </c>
      <c r="E336" s="151" t="str">
        <f t="shared" si="16"/>
        <v>GC-04314</v>
      </c>
      <c r="F336" s="151">
        <f>+IF(AND(C336*1&gt;=200,E336="GC-04314"),IF(D336=0,MAX(F$2:F335)+1,0),0)</f>
        <v>235</v>
      </c>
      <c r="H336" s="151" t="s">
        <v>6211</v>
      </c>
      <c r="I336" s="151" t="s">
        <v>6962</v>
      </c>
      <c r="J336" s="151" t="s">
        <v>6962</v>
      </c>
      <c r="K336" s="151">
        <f t="shared" si="17"/>
        <v>0</v>
      </c>
      <c r="L336" s="151" t="s">
        <v>9020</v>
      </c>
    </row>
    <row r="337" spans="1:12" x14ac:dyDescent="0.25">
      <c r="A337" s="151" t="s">
        <v>2460</v>
      </c>
      <c r="B337" s="151" t="s">
        <v>2997</v>
      </c>
      <c r="C337" s="151" t="s">
        <v>3387</v>
      </c>
      <c r="D337" s="151">
        <f t="shared" si="15"/>
        <v>0</v>
      </c>
      <c r="E337" s="151" t="str">
        <f t="shared" si="16"/>
        <v>GC-04314</v>
      </c>
      <c r="F337" s="151">
        <f>+IF(AND(C337*1&gt;=200,E337="GC-04314"),IF(D337=0,MAX(F$2:F336)+1,0),0)</f>
        <v>236</v>
      </c>
      <c r="H337" s="151" t="s">
        <v>6212</v>
      </c>
      <c r="I337" s="151" t="s">
        <v>6962</v>
      </c>
      <c r="J337" s="151" t="s">
        <v>6962</v>
      </c>
      <c r="K337" s="151">
        <f t="shared" si="17"/>
        <v>0</v>
      </c>
      <c r="L337" s="151" t="s">
        <v>9020</v>
      </c>
    </row>
    <row r="338" spans="1:12" x14ac:dyDescent="0.25">
      <c r="A338" s="151" t="s">
        <v>2461</v>
      </c>
      <c r="B338" s="151" t="s">
        <v>2997</v>
      </c>
      <c r="C338" s="151" t="s">
        <v>3388</v>
      </c>
      <c r="D338" s="151">
        <f t="shared" si="15"/>
        <v>0</v>
      </c>
      <c r="E338" s="151" t="str">
        <f t="shared" si="16"/>
        <v>GC-04314</v>
      </c>
      <c r="F338" s="151">
        <f>+IF(AND(C338*1&gt;=200,E338="GC-04314"),IF(D338=0,MAX(F$2:F337)+1,0),0)</f>
        <v>237</v>
      </c>
      <c r="H338" s="151" t="s">
        <v>6213</v>
      </c>
      <c r="I338" s="151" t="s">
        <v>6962</v>
      </c>
      <c r="J338" s="151" t="s">
        <v>6962</v>
      </c>
      <c r="K338" s="151">
        <f t="shared" si="17"/>
        <v>0</v>
      </c>
      <c r="L338" s="151" t="s">
        <v>9020</v>
      </c>
    </row>
    <row r="339" spans="1:12" x14ac:dyDescent="0.25">
      <c r="A339" s="151" t="s">
        <v>2462</v>
      </c>
      <c r="B339" s="151" t="s">
        <v>2997</v>
      </c>
      <c r="C339" s="151" t="s">
        <v>3389</v>
      </c>
      <c r="D339" s="151">
        <f t="shared" si="15"/>
        <v>0</v>
      </c>
      <c r="E339" s="151" t="str">
        <f t="shared" si="16"/>
        <v>GC-04314</v>
      </c>
      <c r="F339" s="151">
        <f>+IF(AND(C339*1&gt;=200,E339="GC-04314"),IF(D339=0,MAX(F$2:F338)+1,0),0)</f>
        <v>238</v>
      </c>
      <c r="H339" s="151" t="s">
        <v>6214</v>
      </c>
      <c r="I339" s="151" t="s">
        <v>6962</v>
      </c>
      <c r="J339" s="151" t="s">
        <v>6962</v>
      </c>
      <c r="K339" s="151">
        <f t="shared" si="17"/>
        <v>0</v>
      </c>
      <c r="L339" s="151" t="s">
        <v>9020</v>
      </c>
    </row>
    <row r="340" spans="1:12" x14ac:dyDescent="0.25">
      <c r="A340" s="151" t="s">
        <v>2463</v>
      </c>
      <c r="B340" s="151" t="s">
        <v>2997</v>
      </c>
      <c r="C340" s="151" t="s">
        <v>3390</v>
      </c>
      <c r="D340" s="151">
        <f t="shared" si="15"/>
        <v>0</v>
      </c>
      <c r="E340" s="151" t="str">
        <f t="shared" si="16"/>
        <v>GC-04314</v>
      </c>
      <c r="F340" s="151">
        <f>+IF(AND(C340*1&gt;=200,E340="GC-04314"),IF(D340=0,MAX(F$2:F339)+1,0),0)</f>
        <v>239</v>
      </c>
      <c r="H340" s="151" t="s">
        <v>6215</v>
      </c>
      <c r="I340" s="151" t="s">
        <v>6962</v>
      </c>
      <c r="J340" s="151" t="s">
        <v>6962</v>
      </c>
      <c r="K340" s="151">
        <f t="shared" si="17"/>
        <v>0</v>
      </c>
      <c r="L340" s="151" t="s">
        <v>9020</v>
      </c>
    </row>
    <row r="341" spans="1:12" x14ac:dyDescent="0.25">
      <c r="A341" s="151" t="s">
        <v>2464</v>
      </c>
      <c r="B341" s="151" t="s">
        <v>2997</v>
      </c>
      <c r="C341" s="151" t="s">
        <v>3391</v>
      </c>
      <c r="D341" s="151">
        <f t="shared" si="15"/>
        <v>0</v>
      </c>
      <c r="E341" s="151" t="str">
        <f t="shared" si="16"/>
        <v>GC-04314</v>
      </c>
      <c r="F341" s="151">
        <f>+IF(AND(C341*1&gt;=200,E341="GC-04314"),IF(D341=0,MAX(F$2:F340)+1,0),0)</f>
        <v>240</v>
      </c>
      <c r="H341" s="151" t="s">
        <v>6216</v>
      </c>
      <c r="I341" s="151" t="s">
        <v>6962</v>
      </c>
      <c r="J341" s="151" t="s">
        <v>6962</v>
      </c>
      <c r="K341" s="151">
        <f t="shared" si="17"/>
        <v>0</v>
      </c>
      <c r="L341" s="151" t="s">
        <v>9020</v>
      </c>
    </row>
    <row r="342" spans="1:12" x14ac:dyDescent="0.25">
      <c r="A342" s="151" t="s">
        <v>2465</v>
      </c>
      <c r="B342" s="151" t="s">
        <v>2997</v>
      </c>
      <c r="C342" s="151" t="s">
        <v>3392</v>
      </c>
      <c r="D342" s="151">
        <f t="shared" si="15"/>
        <v>0</v>
      </c>
      <c r="E342" s="151" t="str">
        <f t="shared" si="16"/>
        <v>GC-04314</v>
      </c>
      <c r="F342" s="151">
        <f>+IF(AND(C342*1&gt;=200,E342="GC-04314"),IF(D342=0,MAX(F$2:F341)+1,0),0)</f>
        <v>241</v>
      </c>
      <c r="H342" s="151" t="s">
        <v>6217</v>
      </c>
      <c r="I342" s="151" t="s">
        <v>6962</v>
      </c>
      <c r="J342" s="151" t="s">
        <v>6962</v>
      </c>
      <c r="K342" s="151">
        <f t="shared" si="17"/>
        <v>0</v>
      </c>
      <c r="L342" s="151" t="s">
        <v>9020</v>
      </c>
    </row>
    <row r="343" spans="1:12" x14ac:dyDescent="0.25">
      <c r="A343" s="151" t="s">
        <v>2466</v>
      </c>
      <c r="B343" s="151" t="s">
        <v>2997</v>
      </c>
      <c r="C343" s="151" t="s">
        <v>3393</v>
      </c>
      <c r="D343" s="151">
        <f t="shared" si="15"/>
        <v>0</v>
      </c>
      <c r="E343" s="151" t="str">
        <f t="shared" si="16"/>
        <v>GC-04314</v>
      </c>
      <c r="F343" s="151">
        <f>+IF(AND(C343*1&gt;=200,E343="GC-04314"),IF(D343=0,MAX(F$2:F342)+1,0),0)</f>
        <v>242</v>
      </c>
      <c r="H343" s="151" t="s">
        <v>6218</v>
      </c>
      <c r="I343" s="151" t="s">
        <v>6962</v>
      </c>
      <c r="J343" s="151" t="s">
        <v>6962</v>
      </c>
      <c r="K343" s="151">
        <f t="shared" si="17"/>
        <v>0</v>
      </c>
      <c r="L343" s="151" t="s">
        <v>9020</v>
      </c>
    </row>
    <row r="344" spans="1:12" x14ac:dyDescent="0.25">
      <c r="A344" s="151" t="s">
        <v>2467</v>
      </c>
      <c r="B344" s="151" t="s">
        <v>2997</v>
      </c>
      <c r="C344" s="151" t="s">
        <v>3394</v>
      </c>
      <c r="D344" s="151">
        <f t="shared" si="15"/>
        <v>0</v>
      </c>
      <c r="E344" s="151" t="str">
        <f t="shared" si="16"/>
        <v>GC-04314</v>
      </c>
      <c r="F344" s="151">
        <f>+IF(AND(C344*1&gt;=200,E344="GC-04314"),IF(D344=0,MAX(F$2:F343)+1,0),0)</f>
        <v>243</v>
      </c>
      <c r="H344" s="151" t="s">
        <v>6219</v>
      </c>
      <c r="I344" s="151" t="s">
        <v>6962</v>
      </c>
      <c r="J344" s="151" t="s">
        <v>6962</v>
      </c>
      <c r="K344" s="151">
        <f t="shared" si="17"/>
        <v>0</v>
      </c>
      <c r="L344" s="151" t="s">
        <v>9020</v>
      </c>
    </row>
    <row r="345" spans="1:12" x14ac:dyDescent="0.25">
      <c r="A345" s="151" t="s">
        <v>2468</v>
      </c>
      <c r="B345" s="151" t="s">
        <v>2997</v>
      </c>
      <c r="C345" s="151" t="s">
        <v>3395</v>
      </c>
      <c r="D345" s="151">
        <f t="shared" si="15"/>
        <v>0</v>
      </c>
      <c r="E345" s="151" t="str">
        <f t="shared" si="16"/>
        <v>GC-04314</v>
      </c>
      <c r="F345" s="151">
        <f>+IF(AND(C345*1&gt;=200,E345="GC-04314"),IF(D345=0,MAX(F$2:F344)+1,0),0)</f>
        <v>244</v>
      </c>
      <c r="H345" s="151" t="s">
        <v>6220</v>
      </c>
      <c r="I345" s="151" t="s">
        <v>6962</v>
      </c>
      <c r="J345" s="151" t="s">
        <v>6962</v>
      </c>
      <c r="K345" s="151">
        <f t="shared" si="17"/>
        <v>0</v>
      </c>
      <c r="L345" s="151" t="s">
        <v>9020</v>
      </c>
    </row>
    <row r="346" spans="1:12" x14ac:dyDescent="0.25">
      <c r="A346" s="151" t="s">
        <v>2469</v>
      </c>
      <c r="B346" s="151" t="s">
        <v>2997</v>
      </c>
      <c r="C346" s="151" t="s">
        <v>3396</v>
      </c>
      <c r="D346" s="151">
        <f t="shared" si="15"/>
        <v>0</v>
      </c>
      <c r="E346" s="151" t="str">
        <f t="shared" si="16"/>
        <v>GC-04314</v>
      </c>
      <c r="F346" s="151">
        <f>+IF(AND(C346*1&gt;=200,E346="GC-04314"),IF(D346=0,MAX(F$2:F345)+1,0),0)</f>
        <v>245</v>
      </c>
      <c r="H346" s="151" t="s">
        <v>6221</v>
      </c>
      <c r="I346" s="151" t="s">
        <v>6962</v>
      </c>
      <c r="J346" s="151" t="s">
        <v>6962</v>
      </c>
      <c r="K346" s="151">
        <f t="shared" si="17"/>
        <v>0</v>
      </c>
      <c r="L346" s="151" t="s">
        <v>9020</v>
      </c>
    </row>
    <row r="347" spans="1:12" x14ac:dyDescent="0.25">
      <c r="A347" s="151" t="s">
        <v>2470</v>
      </c>
      <c r="B347" s="151" t="s">
        <v>2997</v>
      </c>
      <c r="C347" s="151" t="s">
        <v>3397</v>
      </c>
      <c r="D347" s="151">
        <f t="shared" si="15"/>
        <v>0</v>
      </c>
      <c r="E347" s="151" t="str">
        <f t="shared" si="16"/>
        <v>GC-04314</v>
      </c>
      <c r="F347" s="151">
        <f>+IF(AND(C347*1&gt;=200,E347="GC-04314"),IF(D347=0,MAX(F$2:F346)+1,0),0)</f>
        <v>246</v>
      </c>
      <c r="H347" s="151" t="s">
        <v>6222</v>
      </c>
      <c r="I347" s="151" t="s">
        <v>6962</v>
      </c>
      <c r="J347" s="151" t="s">
        <v>6962</v>
      </c>
      <c r="K347" s="151">
        <f t="shared" si="17"/>
        <v>0</v>
      </c>
      <c r="L347" s="151" t="s">
        <v>9020</v>
      </c>
    </row>
    <row r="348" spans="1:12" x14ac:dyDescent="0.25">
      <c r="A348" s="151" t="s">
        <v>2471</v>
      </c>
      <c r="B348" s="151" t="s">
        <v>2997</v>
      </c>
      <c r="C348" s="151" t="s">
        <v>3398</v>
      </c>
      <c r="D348" s="151">
        <f t="shared" si="15"/>
        <v>0</v>
      </c>
      <c r="E348" s="151" t="str">
        <f t="shared" si="16"/>
        <v>GC-04314</v>
      </c>
      <c r="F348" s="151">
        <f>+IF(AND(C348*1&gt;=200,E348="GC-04314"),IF(D348=0,MAX(F$2:F347)+1,0),0)</f>
        <v>247</v>
      </c>
      <c r="H348" s="151" t="s">
        <v>6223</v>
      </c>
      <c r="I348" s="151" t="s">
        <v>6962</v>
      </c>
      <c r="J348" s="151" t="s">
        <v>6962</v>
      </c>
      <c r="K348" s="151">
        <f t="shared" si="17"/>
        <v>0</v>
      </c>
      <c r="L348" s="151" t="s">
        <v>9020</v>
      </c>
    </row>
    <row r="349" spans="1:12" x14ac:dyDescent="0.25">
      <c r="A349" s="151" t="s">
        <v>2472</v>
      </c>
      <c r="B349" s="151" t="s">
        <v>2997</v>
      </c>
      <c r="C349" s="151" t="s">
        <v>3399</v>
      </c>
      <c r="D349" s="151">
        <f t="shared" si="15"/>
        <v>0</v>
      </c>
      <c r="E349" s="151" t="str">
        <f t="shared" si="16"/>
        <v>GC-04314</v>
      </c>
      <c r="F349" s="151">
        <f>+IF(AND(C349*1&gt;=200,E349="GC-04314"),IF(D349=0,MAX(F$2:F348)+1,0),0)</f>
        <v>248</v>
      </c>
      <c r="H349" s="151" t="s">
        <v>6224</v>
      </c>
      <c r="I349" s="151" t="s">
        <v>6962</v>
      </c>
      <c r="J349" s="151" t="s">
        <v>6962</v>
      </c>
      <c r="K349" s="151">
        <f t="shared" si="17"/>
        <v>0</v>
      </c>
      <c r="L349" s="151" t="s">
        <v>9020</v>
      </c>
    </row>
    <row r="350" spans="1:12" x14ac:dyDescent="0.25">
      <c r="A350" s="151" t="s">
        <v>2473</v>
      </c>
      <c r="B350" s="151" t="s">
        <v>2997</v>
      </c>
      <c r="C350" s="151" t="s">
        <v>3400</v>
      </c>
      <c r="D350" s="151">
        <f t="shared" si="15"/>
        <v>0</v>
      </c>
      <c r="E350" s="151" t="str">
        <f t="shared" si="16"/>
        <v>GC-04314</v>
      </c>
      <c r="F350" s="151">
        <f>+IF(AND(C350*1&gt;=200,E350="GC-04314"),IF(D350=0,MAX(F$2:F349)+1,0),0)</f>
        <v>249</v>
      </c>
      <c r="H350" s="151" t="s">
        <v>6225</v>
      </c>
      <c r="I350" s="151" t="s">
        <v>6962</v>
      </c>
      <c r="J350" s="151" t="s">
        <v>6962</v>
      </c>
      <c r="K350" s="151">
        <f t="shared" si="17"/>
        <v>0</v>
      </c>
      <c r="L350" s="151" t="s">
        <v>9020</v>
      </c>
    </row>
    <row r="351" spans="1:12" x14ac:dyDescent="0.25">
      <c r="A351" s="151" t="s">
        <v>2474</v>
      </c>
      <c r="B351" s="151" t="s">
        <v>2997</v>
      </c>
      <c r="C351" s="151" t="s">
        <v>3401</v>
      </c>
      <c r="D351" s="151">
        <f t="shared" si="15"/>
        <v>0</v>
      </c>
      <c r="E351" s="151" t="str">
        <f t="shared" si="16"/>
        <v>GC-04314</v>
      </c>
      <c r="F351" s="151">
        <f>+IF(AND(C351*1&gt;=200,E351="GC-04314"),IF(D351=0,MAX(F$2:F350)+1,0),0)</f>
        <v>250</v>
      </c>
      <c r="H351" s="151" t="s">
        <v>6226</v>
      </c>
      <c r="I351" s="151" t="s">
        <v>6962</v>
      </c>
      <c r="J351" s="151" t="s">
        <v>6962</v>
      </c>
      <c r="K351" s="151">
        <f t="shared" si="17"/>
        <v>0</v>
      </c>
      <c r="L351" s="151" t="s">
        <v>9020</v>
      </c>
    </row>
    <row r="352" spans="1:12" x14ac:dyDescent="0.25">
      <c r="A352" s="151" t="s">
        <v>2475</v>
      </c>
      <c r="B352" s="151" t="s">
        <v>2997</v>
      </c>
      <c r="C352" s="151" t="s">
        <v>3402</v>
      </c>
      <c r="D352" s="151">
        <f t="shared" si="15"/>
        <v>0</v>
      </c>
      <c r="E352" s="151" t="str">
        <f t="shared" si="16"/>
        <v>GC-04314</v>
      </c>
      <c r="F352" s="151">
        <f>+IF(AND(C352*1&gt;=200,E352="GC-04314"),IF(D352=0,MAX(F$2:F351)+1,0),0)</f>
        <v>251</v>
      </c>
      <c r="H352" s="151" t="s">
        <v>6227</v>
      </c>
      <c r="I352" s="151" t="s">
        <v>6962</v>
      </c>
      <c r="J352" s="151" t="s">
        <v>6962</v>
      </c>
      <c r="K352" s="151">
        <f t="shared" si="17"/>
        <v>0</v>
      </c>
      <c r="L352" s="151" t="s">
        <v>9020</v>
      </c>
    </row>
    <row r="353" spans="1:12" x14ac:dyDescent="0.25">
      <c r="A353" s="151" t="s">
        <v>2476</v>
      </c>
      <c r="B353" s="151" t="s">
        <v>2997</v>
      </c>
      <c r="C353" s="151" t="s">
        <v>3403</v>
      </c>
      <c r="D353" s="151">
        <f t="shared" si="15"/>
        <v>0</v>
      </c>
      <c r="E353" s="151" t="str">
        <f t="shared" si="16"/>
        <v>GC-04314</v>
      </c>
      <c r="F353" s="151">
        <f>+IF(AND(C353*1&gt;=200,E353="GC-04314"),IF(D353=0,MAX(F$2:F352)+1,0),0)</f>
        <v>252</v>
      </c>
      <c r="H353" s="151" t="s">
        <v>6228</v>
      </c>
      <c r="I353" s="151" t="s">
        <v>6962</v>
      </c>
      <c r="J353" s="151" t="s">
        <v>6962</v>
      </c>
      <c r="K353" s="151">
        <f t="shared" si="17"/>
        <v>0</v>
      </c>
      <c r="L353" s="151" t="s">
        <v>9020</v>
      </c>
    </row>
    <row r="354" spans="1:12" x14ac:dyDescent="0.25">
      <c r="A354" s="151" t="s">
        <v>2477</v>
      </c>
      <c r="B354" s="151" t="s">
        <v>2997</v>
      </c>
      <c r="C354" s="151" t="s">
        <v>3404</v>
      </c>
      <c r="D354" s="151">
        <f t="shared" si="15"/>
        <v>0</v>
      </c>
      <c r="E354" s="151" t="str">
        <f t="shared" si="16"/>
        <v>GC-04314</v>
      </c>
      <c r="F354" s="151">
        <f>+IF(AND(C354*1&gt;=200,E354="GC-04314"),IF(D354=0,MAX(F$2:F353)+1,0),0)</f>
        <v>253</v>
      </c>
      <c r="H354" s="151" t="s">
        <v>6229</v>
      </c>
      <c r="I354" s="151" t="s">
        <v>6962</v>
      </c>
      <c r="J354" s="151" t="s">
        <v>6962</v>
      </c>
      <c r="K354" s="151">
        <f t="shared" si="17"/>
        <v>0</v>
      </c>
      <c r="L354" s="151" t="s">
        <v>9020</v>
      </c>
    </row>
    <row r="355" spans="1:12" x14ac:dyDescent="0.25">
      <c r="A355" s="151" t="s">
        <v>2478</v>
      </c>
      <c r="B355" s="151" t="s">
        <v>2997</v>
      </c>
      <c r="C355" s="151" t="s">
        <v>3405</v>
      </c>
      <c r="D355" s="151">
        <f t="shared" si="15"/>
        <v>0</v>
      </c>
      <c r="E355" s="151" t="str">
        <f t="shared" si="16"/>
        <v>GC-04314</v>
      </c>
      <c r="F355" s="151">
        <f>+IF(AND(C355*1&gt;=200,E355="GC-04314"),IF(D355=0,MAX(F$2:F354)+1,0),0)</f>
        <v>254</v>
      </c>
      <c r="H355" s="151" t="s">
        <v>6230</v>
      </c>
      <c r="I355" s="151" t="s">
        <v>6962</v>
      </c>
      <c r="J355" s="151" t="s">
        <v>6962</v>
      </c>
      <c r="K355" s="151">
        <f t="shared" si="17"/>
        <v>0</v>
      </c>
      <c r="L355" s="151" t="s">
        <v>9020</v>
      </c>
    </row>
    <row r="356" spans="1:12" x14ac:dyDescent="0.25">
      <c r="A356" s="151" t="s">
        <v>2479</v>
      </c>
      <c r="B356" s="151" t="s">
        <v>2997</v>
      </c>
      <c r="C356" s="151" t="s">
        <v>3406</v>
      </c>
      <c r="D356" s="151">
        <f t="shared" si="15"/>
        <v>0</v>
      </c>
      <c r="E356" s="151" t="str">
        <f t="shared" si="16"/>
        <v>GC-04314</v>
      </c>
      <c r="F356" s="151">
        <f>+IF(AND(C356*1&gt;=200,E356="GC-04314"),IF(D356=0,MAX(F$2:F355)+1,0),0)</f>
        <v>255</v>
      </c>
      <c r="H356" s="151" t="s">
        <v>6231</v>
      </c>
      <c r="I356" s="151" t="s">
        <v>6962</v>
      </c>
      <c r="J356" s="151" t="s">
        <v>6962</v>
      </c>
      <c r="K356" s="151">
        <f t="shared" si="17"/>
        <v>0</v>
      </c>
      <c r="L356" s="151" t="s">
        <v>9020</v>
      </c>
    </row>
    <row r="357" spans="1:12" x14ac:dyDescent="0.25">
      <c r="A357" s="151" t="s">
        <v>2480</v>
      </c>
      <c r="B357" s="151" t="s">
        <v>2997</v>
      </c>
      <c r="C357" s="151" t="s">
        <v>3407</v>
      </c>
      <c r="D357" s="151">
        <f t="shared" si="15"/>
        <v>0</v>
      </c>
      <c r="E357" s="151" t="str">
        <f t="shared" si="16"/>
        <v>GC-04314</v>
      </c>
      <c r="F357" s="151">
        <f>+IF(AND(C357*1&gt;=200,E357="GC-04314"),IF(D357=0,MAX(F$2:F356)+1,0),0)</f>
        <v>256</v>
      </c>
      <c r="H357" s="151" t="s">
        <v>6232</v>
      </c>
      <c r="I357" s="151" t="s">
        <v>6962</v>
      </c>
      <c r="J357" s="151" t="s">
        <v>6962</v>
      </c>
      <c r="K357" s="151">
        <f t="shared" si="17"/>
        <v>0</v>
      </c>
      <c r="L357" s="151" t="s">
        <v>9020</v>
      </c>
    </row>
    <row r="358" spans="1:12" x14ac:dyDescent="0.25">
      <c r="A358" s="151" t="s">
        <v>2481</v>
      </c>
      <c r="B358" s="151" t="s">
        <v>2997</v>
      </c>
      <c r="C358" s="151" t="s">
        <v>3408</v>
      </c>
      <c r="D358" s="151">
        <f t="shared" si="15"/>
        <v>0</v>
      </c>
      <c r="E358" s="151" t="str">
        <f t="shared" si="16"/>
        <v>GC-04314</v>
      </c>
      <c r="F358" s="151">
        <f>+IF(AND(C358*1&gt;=200,E358="GC-04314"),IF(D358=0,MAX(F$2:F357)+1,0),0)</f>
        <v>257</v>
      </c>
      <c r="H358" s="151" t="s">
        <v>6233</v>
      </c>
      <c r="I358" s="151" t="s">
        <v>6962</v>
      </c>
      <c r="J358" s="151" t="s">
        <v>6962</v>
      </c>
      <c r="K358" s="151">
        <f t="shared" si="17"/>
        <v>0</v>
      </c>
      <c r="L358" s="151" t="s">
        <v>9020</v>
      </c>
    </row>
    <row r="359" spans="1:12" x14ac:dyDescent="0.25">
      <c r="A359" s="151" t="s">
        <v>2482</v>
      </c>
      <c r="B359" s="151" t="s">
        <v>2997</v>
      </c>
      <c r="C359" s="151" t="s">
        <v>3409</v>
      </c>
      <c r="D359" s="151">
        <f t="shared" si="15"/>
        <v>0</v>
      </c>
      <c r="E359" s="151" t="str">
        <f t="shared" si="16"/>
        <v>GC-04314</v>
      </c>
      <c r="F359" s="151">
        <f>+IF(AND(C359*1&gt;=200,E359="GC-04314"),IF(D359=0,MAX(F$2:F358)+1,0),0)</f>
        <v>258</v>
      </c>
      <c r="H359" s="151" t="s">
        <v>6234</v>
      </c>
      <c r="I359" s="151" t="s">
        <v>6962</v>
      </c>
      <c r="J359" s="151" t="s">
        <v>6962</v>
      </c>
      <c r="K359" s="151">
        <f t="shared" si="17"/>
        <v>0</v>
      </c>
      <c r="L359" s="151" t="s">
        <v>9020</v>
      </c>
    </row>
    <row r="360" spans="1:12" x14ac:dyDescent="0.25">
      <c r="A360" s="151" t="s">
        <v>2483</v>
      </c>
      <c r="B360" s="151" t="s">
        <v>2997</v>
      </c>
      <c r="C360" s="151" t="s">
        <v>3410</v>
      </c>
      <c r="D360" s="151">
        <f t="shared" si="15"/>
        <v>0</v>
      </c>
      <c r="E360" s="151" t="str">
        <f t="shared" si="16"/>
        <v>GC-04314</v>
      </c>
      <c r="F360" s="151">
        <f>+IF(AND(C360*1&gt;=200,E360="GC-04314"),IF(D360=0,MAX(F$2:F359)+1,0),0)</f>
        <v>259</v>
      </c>
      <c r="H360" s="151" t="s">
        <v>6235</v>
      </c>
      <c r="I360" s="151" t="s">
        <v>6962</v>
      </c>
      <c r="J360" s="151" t="s">
        <v>6962</v>
      </c>
      <c r="K360" s="151">
        <f t="shared" si="17"/>
        <v>0</v>
      </c>
      <c r="L360" s="151" t="s">
        <v>9020</v>
      </c>
    </row>
    <row r="361" spans="1:12" x14ac:dyDescent="0.25">
      <c r="A361" s="151" t="s">
        <v>2484</v>
      </c>
      <c r="B361" s="151" t="s">
        <v>2997</v>
      </c>
      <c r="C361" s="151" t="s">
        <v>3411</v>
      </c>
      <c r="D361" s="151">
        <f t="shared" si="15"/>
        <v>0</v>
      </c>
      <c r="E361" s="151" t="str">
        <f t="shared" si="16"/>
        <v>GC-04314</v>
      </c>
      <c r="F361" s="151">
        <f>+IF(AND(C361*1&gt;=200,E361="GC-04314"),IF(D361=0,MAX(F$2:F360)+1,0),0)</f>
        <v>260</v>
      </c>
      <c r="H361" s="151" t="s">
        <v>6236</v>
      </c>
      <c r="I361" s="151" t="s">
        <v>6962</v>
      </c>
      <c r="J361" s="151" t="s">
        <v>6962</v>
      </c>
      <c r="K361" s="151">
        <f t="shared" si="17"/>
        <v>0</v>
      </c>
      <c r="L361" s="151" t="s">
        <v>9020</v>
      </c>
    </row>
    <row r="362" spans="1:12" x14ac:dyDescent="0.25">
      <c r="A362" s="151" t="s">
        <v>2485</v>
      </c>
      <c r="B362" s="151" t="s">
        <v>2997</v>
      </c>
      <c r="C362" s="151" t="s">
        <v>3412</v>
      </c>
      <c r="D362" s="151">
        <f t="shared" si="15"/>
        <v>0</v>
      </c>
      <c r="E362" s="151" t="str">
        <f t="shared" si="16"/>
        <v>GC-04314</v>
      </c>
      <c r="F362" s="151">
        <f>+IF(AND(C362*1&gt;=200,E362="GC-04314"),IF(D362=0,MAX(F$2:F361)+1,0),0)</f>
        <v>261</v>
      </c>
      <c r="H362" s="151" t="s">
        <v>6237</v>
      </c>
      <c r="I362" s="151" t="s">
        <v>6962</v>
      </c>
      <c r="J362" s="151" t="s">
        <v>6962</v>
      </c>
      <c r="K362" s="151">
        <f t="shared" si="17"/>
        <v>0</v>
      </c>
      <c r="L362" s="151" t="s">
        <v>9020</v>
      </c>
    </row>
    <row r="363" spans="1:12" x14ac:dyDescent="0.25">
      <c r="A363" s="151" t="s">
        <v>2486</v>
      </c>
      <c r="B363" s="151" t="s">
        <v>2997</v>
      </c>
      <c r="C363" s="151" t="s">
        <v>3413</v>
      </c>
      <c r="D363" s="151">
        <f t="shared" si="15"/>
        <v>0</v>
      </c>
      <c r="E363" s="151" t="str">
        <f t="shared" si="16"/>
        <v>GC-04314</v>
      </c>
      <c r="F363" s="151">
        <f>+IF(AND(C363*1&gt;=200,E363="GC-04314"),IF(D363=0,MAX(F$2:F362)+1,0),0)</f>
        <v>262</v>
      </c>
      <c r="H363" s="151" t="s">
        <v>6238</v>
      </c>
      <c r="I363" s="151" t="s">
        <v>6962</v>
      </c>
      <c r="J363" s="151" t="s">
        <v>6962</v>
      </c>
      <c r="K363" s="151">
        <f t="shared" si="17"/>
        <v>0</v>
      </c>
      <c r="L363" s="151" t="s">
        <v>9020</v>
      </c>
    </row>
    <row r="364" spans="1:12" x14ac:dyDescent="0.25">
      <c r="A364" s="151" t="s">
        <v>2487</v>
      </c>
      <c r="B364" s="151" t="s">
        <v>2997</v>
      </c>
      <c r="C364" s="151" t="s">
        <v>3414</v>
      </c>
      <c r="D364" s="151">
        <f t="shared" si="15"/>
        <v>0</v>
      </c>
      <c r="E364" s="151" t="str">
        <f t="shared" si="16"/>
        <v>GC-04314</v>
      </c>
      <c r="F364" s="151">
        <f>+IF(AND(C364*1&gt;=200,E364="GC-04314"),IF(D364=0,MAX(F$2:F363)+1,0),0)</f>
        <v>263</v>
      </c>
      <c r="H364" s="151" t="s">
        <v>6239</v>
      </c>
      <c r="I364" s="151" t="s">
        <v>6962</v>
      </c>
      <c r="J364" s="151" t="s">
        <v>6962</v>
      </c>
      <c r="K364" s="151">
        <f t="shared" si="17"/>
        <v>0</v>
      </c>
      <c r="L364" s="151" t="s">
        <v>9020</v>
      </c>
    </row>
    <row r="365" spans="1:12" x14ac:dyDescent="0.25">
      <c r="A365" s="151" t="s">
        <v>2488</v>
      </c>
      <c r="B365" s="151" t="s">
        <v>2997</v>
      </c>
      <c r="C365" s="151" t="s">
        <v>3415</v>
      </c>
      <c r="D365" s="151">
        <f t="shared" si="15"/>
        <v>0</v>
      </c>
      <c r="E365" s="151" t="str">
        <f t="shared" si="16"/>
        <v>GC-04314</v>
      </c>
      <c r="F365" s="151">
        <f>+IF(AND(C365*1&gt;=200,E365="GC-04314"),IF(D365=0,MAX(F$2:F364)+1,0),0)</f>
        <v>264</v>
      </c>
      <c r="H365" s="151" t="s">
        <v>6240</v>
      </c>
      <c r="I365" s="151" t="s">
        <v>6962</v>
      </c>
      <c r="J365" s="151" t="s">
        <v>6962</v>
      </c>
      <c r="K365" s="151">
        <f t="shared" si="17"/>
        <v>0</v>
      </c>
      <c r="L365" s="151" t="s">
        <v>9020</v>
      </c>
    </row>
    <row r="366" spans="1:12" x14ac:dyDescent="0.25">
      <c r="A366" s="151" t="s">
        <v>2489</v>
      </c>
      <c r="B366" s="151" t="s">
        <v>2997</v>
      </c>
      <c r="C366" s="151" t="s">
        <v>3416</v>
      </c>
      <c r="D366" s="151">
        <f t="shared" si="15"/>
        <v>0</v>
      </c>
      <c r="E366" s="151" t="str">
        <f t="shared" si="16"/>
        <v>GC-04314</v>
      </c>
      <c r="F366" s="151">
        <f>+IF(AND(C366*1&gt;=200,E366="GC-04314"),IF(D366=0,MAX(F$2:F365)+1,0),0)</f>
        <v>265</v>
      </c>
      <c r="H366" s="151" t="s">
        <v>6241</v>
      </c>
      <c r="I366" s="151" t="s">
        <v>6962</v>
      </c>
      <c r="J366" s="151" t="s">
        <v>6962</v>
      </c>
      <c r="K366" s="151">
        <f t="shared" si="17"/>
        <v>0</v>
      </c>
      <c r="L366" s="151" t="s">
        <v>9020</v>
      </c>
    </row>
    <row r="367" spans="1:12" x14ac:dyDescent="0.25">
      <c r="A367" s="151" t="s">
        <v>2490</v>
      </c>
      <c r="B367" s="151" t="s">
        <v>2997</v>
      </c>
      <c r="C367" s="151" t="s">
        <v>3417</v>
      </c>
      <c r="D367" s="151">
        <f t="shared" si="15"/>
        <v>0</v>
      </c>
      <c r="E367" s="151" t="str">
        <f t="shared" si="16"/>
        <v>GC-04314</v>
      </c>
      <c r="F367" s="151">
        <f>+IF(AND(C367*1&gt;=200,E367="GC-04314"),IF(D367=0,MAX(F$2:F366)+1,0),0)</f>
        <v>266</v>
      </c>
      <c r="H367" s="151" t="s">
        <v>6242</v>
      </c>
      <c r="I367" s="151" t="s">
        <v>6962</v>
      </c>
      <c r="J367" s="151" t="s">
        <v>6962</v>
      </c>
      <c r="K367" s="151">
        <f t="shared" si="17"/>
        <v>0</v>
      </c>
      <c r="L367" s="151" t="s">
        <v>9020</v>
      </c>
    </row>
    <row r="368" spans="1:12" x14ac:dyDescent="0.25">
      <c r="A368" s="151" t="s">
        <v>2491</v>
      </c>
      <c r="B368" s="151" t="s">
        <v>2997</v>
      </c>
      <c r="C368" s="151" t="s">
        <v>3418</v>
      </c>
      <c r="D368" s="151">
        <f t="shared" si="15"/>
        <v>0</v>
      </c>
      <c r="E368" s="151" t="str">
        <f t="shared" si="16"/>
        <v>GC-04314</v>
      </c>
      <c r="F368" s="151">
        <f>+IF(AND(C368*1&gt;=200,E368="GC-04314"),IF(D368=0,MAX(F$2:F367)+1,0),0)</f>
        <v>267</v>
      </c>
      <c r="H368" s="151" t="s">
        <v>6243</v>
      </c>
      <c r="I368" s="151" t="s">
        <v>6962</v>
      </c>
      <c r="J368" s="151" t="s">
        <v>6962</v>
      </c>
      <c r="K368" s="151">
        <f t="shared" si="17"/>
        <v>0</v>
      </c>
      <c r="L368" s="151" t="s">
        <v>9020</v>
      </c>
    </row>
    <row r="369" spans="1:12" x14ac:dyDescent="0.25">
      <c r="A369" s="151" t="s">
        <v>2492</v>
      </c>
      <c r="B369" s="151" t="s">
        <v>2997</v>
      </c>
      <c r="C369" s="151" t="s">
        <v>3419</v>
      </c>
      <c r="D369" s="151">
        <f t="shared" si="15"/>
        <v>0</v>
      </c>
      <c r="E369" s="151" t="str">
        <f t="shared" si="16"/>
        <v>GC-04314</v>
      </c>
      <c r="F369" s="151">
        <f>+IF(AND(C369*1&gt;=200,E369="GC-04314"),IF(D369=0,MAX(F$2:F368)+1,0),0)</f>
        <v>268</v>
      </c>
      <c r="H369" s="151" t="s">
        <v>6244</v>
      </c>
      <c r="I369" s="151" t="s">
        <v>6962</v>
      </c>
      <c r="J369" s="151" t="s">
        <v>6962</v>
      </c>
      <c r="K369" s="151">
        <f t="shared" si="17"/>
        <v>0</v>
      </c>
      <c r="L369" s="151" t="s">
        <v>9020</v>
      </c>
    </row>
    <row r="370" spans="1:12" x14ac:dyDescent="0.25">
      <c r="A370" s="151" t="s">
        <v>2493</v>
      </c>
      <c r="B370" s="151" t="s">
        <v>2997</v>
      </c>
      <c r="C370" s="151" t="s">
        <v>3420</v>
      </c>
      <c r="D370" s="151">
        <f t="shared" si="15"/>
        <v>0</v>
      </c>
      <c r="E370" s="151" t="str">
        <f t="shared" si="16"/>
        <v>GC-04314</v>
      </c>
      <c r="F370" s="151">
        <f>+IF(AND(C370*1&gt;=200,E370="GC-04314"),IF(D370=0,MAX(F$2:F369)+1,0),0)</f>
        <v>269</v>
      </c>
      <c r="H370" s="151" t="s">
        <v>6245</v>
      </c>
      <c r="I370" s="151" t="s">
        <v>6962</v>
      </c>
      <c r="J370" s="151" t="s">
        <v>6962</v>
      </c>
      <c r="K370" s="151">
        <f t="shared" si="17"/>
        <v>0</v>
      </c>
      <c r="L370" s="151" t="s">
        <v>9020</v>
      </c>
    </row>
    <row r="371" spans="1:12" x14ac:dyDescent="0.25">
      <c r="A371" s="151" t="s">
        <v>2494</v>
      </c>
      <c r="B371" s="151" t="s">
        <v>2997</v>
      </c>
      <c r="C371" s="151" t="s">
        <v>3421</v>
      </c>
      <c r="D371" s="151">
        <f t="shared" si="15"/>
        <v>650000000002201</v>
      </c>
      <c r="E371" s="151" t="str">
        <f t="shared" si="16"/>
        <v/>
      </c>
      <c r="F371" s="151">
        <f>+IF(AND(C371*1&gt;=200,E371="GC-04314"),IF(D371=0,MAX(F$2:F370)+1,0),0)</f>
        <v>0</v>
      </c>
      <c r="H371" s="151" t="s">
        <v>6246</v>
      </c>
      <c r="I371" s="151" t="s">
        <v>6962</v>
      </c>
      <c r="J371" s="151" t="s">
        <v>6962</v>
      </c>
      <c r="K371" s="151">
        <f t="shared" si="17"/>
        <v>0</v>
      </c>
      <c r="L371" s="151" t="s">
        <v>9020</v>
      </c>
    </row>
    <row r="372" spans="1:12" x14ac:dyDescent="0.25">
      <c r="A372" s="151" t="s">
        <v>2495</v>
      </c>
      <c r="B372" s="151" t="s">
        <v>2997</v>
      </c>
      <c r="C372" s="151" t="s">
        <v>3422</v>
      </c>
      <c r="D372" s="151">
        <f t="shared" si="15"/>
        <v>650000000002203</v>
      </c>
      <c r="E372" s="151" t="str">
        <f t="shared" si="16"/>
        <v/>
      </c>
      <c r="F372" s="151">
        <f>+IF(AND(C372*1&gt;=200,E372="GC-04314"),IF(D372=0,MAX(F$2:F371)+1,0),0)</f>
        <v>0</v>
      </c>
      <c r="H372" s="151" t="s">
        <v>6247</v>
      </c>
      <c r="I372" s="151" t="s">
        <v>6962</v>
      </c>
      <c r="J372" s="151" t="s">
        <v>6962</v>
      </c>
      <c r="K372" s="151">
        <f t="shared" si="17"/>
        <v>0</v>
      </c>
      <c r="L372" s="151" t="s">
        <v>9020</v>
      </c>
    </row>
    <row r="373" spans="1:12" x14ac:dyDescent="0.25">
      <c r="A373" s="151" t="s">
        <v>2496</v>
      </c>
      <c r="B373" s="151" t="s">
        <v>2997</v>
      </c>
      <c r="C373" s="151" t="s">
        <v>3423</v>
      </c>
      <c r="D373" s="151">
        <f t="shared" si="15"/>
        <v>650000000002204</v>
      </c>
      <c r="E373" s="151" t="str">
        <f t="shared" si="16"/>
        <v/>
      </c>
      <c r="F373" s="151">
        <f>+IF(AND(C373*1&gt;=200,E373="GC-04314"),IF(D373=0,MAX(F$2:F372)+1,0),0)</f>
        <v>0</v>
      </c>
      <c r="H373" s="151" t="s">
        <v>6248</v>
      </c>
      <c r="I373" s="151" t="s">
        <v>6962</v>
      </c>
      <c r="J373" s="151" t="s">
        <v>6962</v>
      </c>
      <c r="K373" s="151">
        <f t="shared" si="17"/>
        <v>0</v>
      </c>
      <c r="L373" s="151" t="s">
        <v>9020</v>
      </c>
    </row>
    <row r="374" spans="1:12" x14ac:dyDescent="0.25">
      <c r="A374" s="151" t="s">
        <v>2497</v>
      </c>
      <c r="B374" s="151" t="s">
        <v>2997</v>
      </c>
      <c r="C374" s="151" t="s">
        <v>3424</v>
      </c>
      <c r="D374" s="151">
        <f t="shared" si="15"/>
        <v>650000000002205</v>
      </c>
      <c r="E374" s="151" t="str">
        <f t="shared" si="16"/>
        <v/>
      </c>
      <c r="F374" s="151">
        <f>+IF(AND(C374*1&gt;=200,E374="GC-04314"),IF(D374=0,MAX(F$2:F373)+1,0),0)</f>
        <v>0</v>
      </c>
      <c r="H374" s="151" t="s">
        <v>6249</v>
      </c>
      <c r="I374" s="151" t="s">
        <v>6962</v>
      </c>
      <c r="J374" s="151" t="s">
        <v>6962</v>
      </c>
      <c r="K374" s="151">
        <f t="shared" si="17"/>
        <v>0</v>
      </c>
      <c r="L374" s="151" t="s">
        <v>9020</v>
      </c>
    </row>
    <row r="375" spans="1:12" x14ac:dyDescent="0.25">
      <c r="A375" s="151" t="s">
        <v>2498</v>
      </c>
      <c r="B375" s="151" t="s">
        <v>2997</v>
      </c>
      <c r="C375" s="151" t="s">
        <v>3425</v>
      </c>
      <c r="D375" s="151">
        <f t="shared" si="15"/>
        <v>0</v>
      </c>
      <c r="E375" s="151" t="str">
        <f t="shared" si="16"/>
        <v>GC-04314</v>
      </c>
      <c r="F375" s="151">
        <f>+IF(AND(C375*1&gt;=200,E375="GC-04314"),IF(D375=0,MAX(F$2:F374)+1,0),0)</f>
        <v>270</v>
      </c>
      <c r="H375" s="151" t="s">
        <v>6250</v>
      </c>
      <c r="I375" s="151" t="s">
        <v>6962</v>
      </c>
      <c r="J375" s="151" t="s">
        <v>6962</v>
      </c>
      <c r="K375" s="151">
        <f t="shared" si="17"/>
        <v>0</v>
      </c>
      <c r="L375" s="151" t="s">
        <v>9020</v>
      </c>
    </row>
    <row r="376" spans="1:12" x14ac:dyDescent="0.25">
      <c r="A376" s="151" t="s">
        <v>2499</v>
      </c>
      <c r="B376" s="151" t="s">
        <v>2997</v>
      </c>
      <c r="C376" s="151" t="s">
        <v>3426</v>
      </c>
      <c r="D376" s="151">
        <f t="shared" si="15"/>
        <v>0</v>
      </c>
      <c r="E376" s="151" t="str">
        <f t="shared" si="16"/>
        <v>GC-04314</v>
      </c>
      <c r="F376" s="151">
        <f>+IF(AND(C376*1&gt;=200,E376="GC-04314"),IF(D376=0,MAX(F$2:F375)+1,0),0)</f>
        <v>271</v>
      </c>
      <c r="H376" s="151" t="s">
        <v>6251</v>
      </c>
      <c r="I376" s="151" t="s">
        <v>6962</v>
      </c>
      <c r="J376" s="151" t="s">
        <v>6962</v>
      </c>
      <c r="K376" s="151">
        <f t="shared" si="17"/>
        <v>0</v>
      </c>
      <c r="L376" s="151" t="s">
        <v>9020</v>
      </c>
    </row>
    <row r="377" spans="1:12" x14ac:dyDescent="0.25">
      <c r="A377" s="151" t="s">
        <v>2500</v>
      </c>
      <c r="B377" s="151" t="s">
        <v>2997</v>
      </c>
      <c r="C377" s="151" t="s">
        <v>3427</v>
      </c>
      <c r="D377" s="151">
        <f t="shared" si="15"/>
        <v>0</v>
      </c>
      <c r="E377" s="151" t="str">
        <f t="shared" si="16"/>
        <v>GC-04314</v>
      </c>
      <c r="F377" s="151">
        <f>+IF(AND(C377*1&gt;=200,E377="GC-04314"),IF(D377=0,MAX(F$2:F376)+1,0),0)</f>
        <v>272</v>
      </c>
      <c r="H377" s="151" t="s">
        <v>6252</v>
      </c>
      <c r="I377" s="151" t="s">
        <v>6962</v>
      </c>
      <c r="J377" s="151" t="s">
        <v>6962</v>
      </c>
      <c r="K377" s="151">
        <f t="shared" si="17"/>
        <v>0</v>
      </c>
      <c r="L377" s="151" t="s">
        <v>9020</v>
      </c>
    </row>
    <row r="378" spans="1:12" x14ac:dyDescent="0.25">
      <c r="A378" s="151" t="s">
        <v>2501</v>
      </c>
      <c r="B378" s="151" t="s">
        <v>2997</v>
      </c>
      <c r="C378" s="151" t="s">
        <v>3428</v>
      </c>
      <c r="D378" s="151">
        <f t="shared" si="15"/>
        <v>0</v>
      </c>
      <c r="E378" s="151" t="str">
        <f t="shared" si="16"/>
        <v>GC-04314</v>
      </c>
      <c r="F378" s="151">
        <f>+IF(AND(C378*1&gt;=200,E378="GC-04314"),IF(D378=0,MAX(F$2:F377)+1,0),0)</f>
        <v>273</v>
      </c>
      <c r="H378" s="151" t="s">
        <v>6253</v>
      </c>
      <c r="I378" s="151" t="s">
        <v>6962</v>
      </c>
      <c r="J378" s="151" t="s">
        <v>6962</v>
      </c>
      <c r="K378" s="151">
        <f t="shared" si="17"/>
        <v>0</v>
      </c>
      <c r="L378" s="151" t="s">
        <v>9020</v>
      </c>
    </row>
    <row r="379" spans="1:12" x14ac:dyDescent="0.25">
      <c r="A379" s="151" t="s">
        <v>2502</v>
      </c>
      <c r="B379" s="151" t="s">
        <v>2997</v>
      </c>
      <c r="C379" s="151" t="s">
        <v>3429</v>
      </c>
      <c r="D379" s="151">
        <f t="shared" si="15"/>
        <v>0</v>
      </c>
      <c r="E379" s="151" t="str">
        <f t="shared" si="16"/>
        <v>GC-04314</v>
      </c>
      <c r="F379" s="151">
        <f>+IF(AND(C379*1&gt;=200,E379="GC-04314"),IF(D379=0,MAX(F$2:F378)+1,0),0)</f>
        <v>274</v>
      </c>
      <c r="H379" s="151" t="s">
        <v>6254</v>
      </c>
      <c r="I379" s="151" t="s">
        <v>6962</v>
      </c>
      <c r="J379" s="151" t="s">
        <v>6962</v>
      </c>
      <c r="K379" s="151">
        <f t="shared" si="17"/>
        <v>0</v>
      </c>
      <c r="L379" s="151" t="s">
        <v>9020</v>
      </c>
    </row>
    <row r="380" spans="1:12" x14ac:dyDescent="0.25">
      <c r="A380" s="151" t="s">
        <v>2503</v>
      </c>
      <c r="B380" s="151" t="s">
        <v>2997</v>
      </c>
      <c r="C380" s="151" t="s">
        <v>3430</v>
      </c>
      <c r="D380" s="151">
        <f t="shared" si="15"/>
        <v>0</v>
      </c>
      <c r="E380" s="151" t="str">
        <f t="shared" si="16"/>
        <v>GC-04314</v>
      </c>
      <c r="F380" s="151">
        <f>+IF(AND(C380*1&gt;=200,E380="GC-04314"),IF(D380=0,MAX(F$2:F379)+1,0),0)</f>
        <v>275</v>
      </c>
      <c r="H380" s="151" t="s">
        <v>6255</v>
      </c>
      <c r="I380" s="151" t="s">
        <v>6962</v>
      </c>
      <c r="J380" s="151" t="s">
        <v>6962</v>
      </c>
      <c r="K380" s="151">
        <f t="shared" si="17"/>
        <v>0</v>
      </c>
      <c r="L380" s="151" t="s">
        <v>9020</v>
      </c>
    </row>
    <row r="381" spans="1:12" x14ac:dyDescent="0.25">
      <c r="A381" s="151" t="s">
        <v>2504</v>
      </c>
      <c r="B381" s="151" t="s">
        <v>2997</v>
      </c>
      <c r="C381" s="151" t="s">
        <v>3431</v>
      </c>
      <c r="D381" s="151">
        <f t="shared" si="15"/>
        <v>0</v>
      </c>
      <c r="E381" s="151" t="str">
        <f t="shared" si="16"/>
        <v>GC-04314</v>
      </c>
      <c r="F381" s="151">
        <f>+IF(AND(C381*1&gt;=200,E381="GC-04314"),IF(D381=0,MAX(F$2:F380)+1,0),0)</f>
        <v>276</v>
      </c>
      <c r="H381" s="151" t="s">
        <v>6256</v>
      </c>
      <c r="I381" s="151" t="s">
        <v>6962</v>
      </c>
      <c r="J381" s="151" t="s">
        <v>6962</v>
      </c>
      <c r="K381" s="151">
        <f t="shared" si="17"/>
        <v>0</v>
      </c>
      <c r="L381" s="151" t="s">
        <v>9020</v>
      </c>
    </row>
    <row r="382" spans="1:12" x14ac:dyDescent="0.25">
      <c r="A382" s="151" t="s">
        <v>2505</v>
      </c>
      <c r="B382" s="151" t="s">
        <v>2997</v>
      </c>
      <c r="C382" s="151" t="s">
        <v>3432</v>
      </c>
      <c r="D382" s="151">
        <f t="shared" si="15"/>
        <v>0</v>
      </c>
      <c r="E382" s="151" t="str">
        <f t="shared" si="16"/>
        <v>GC-04314</v>
      </c>
      <c r="F382" s="151">
        <f>+IF(AND(C382*1&gt;=200,E382="GC-04314"),IF(D382=0,MAX(F$2:F381)+1,0),0)</f>
        <v>277</v>
      </c>
      <c r="H382" s="151" t="s">
        <v>6257</v>
      </c>
      <c r="I382" s="151" t="s">
        <v>6962</v>
      </c>
      <c r="J382" s="151" t="s">
        <v>6962</v>
      </c>
      <c r="K382" s="151">
        <f t="shared" si="17"/>
        <v>0</v>
      </c>
      <c r="L382" s="151" t="s">
        <v>9020</v>
      </c>
    </row>
    <row r="383" spans="1:12" x14ac:dyDescent="0.25">
      <c r="A383" s="151" t="s">
        <v>2506</v>
      </c>
      <c r="B383" s="151" t="s">
        <v>2997</v>
      </c>
      <c r="C383" s="151" t="s">
        <v>3433</v>
      </c>
      <c r="D383" s="151">
        <f t="shared" si="15"/>
        <v>0</v>
      </c>
      <c r="E383" s="151" t="str">
        <f t="shared" si="16"/>
        <v>GC-04314</v>
      </c>
      <c r="F383" s="151">
        <f>+IF(AND(C383*1&gt;=200,E383="GC-04314"),IF(D383=0,MAX(F$2:F382)+1,0),0)</f>
        <v>278</v>
      </c>
      <c r="H383" s="151" t="s">
        <v>6258</v>
      </c>
      <c r="I383" s="151" t="s">
        <v>6962</v>
      </c>
      <c r="J383" s="151" t="s">
        <v>6962</v>
      </c>
      <c r="K383" s="151">
        <f t="shared" si="17"/>
        <v>0</v>
      </c>
      <c r="L383" s="151" t="s">
        <v>9020</v>
      </c>
    </row>
    <row r="384" spans="1:12" x14ac:dyDescent="0.25">
      <c r="A384" s="151" t="s">
        <v>2507</v>
      </c>
      <c r="B384" s="151" t="s">
        <v>2997</v>
      </c>
      <c r="C384" s="151" t="s">
        <v>3434</v>
      </c>
      <c r="D384" s="151">
        <f t="shared" si="15"/>
        <v>0</v>
      </c>
      <c r="E384" s="151" t="str">
        <f t="shared" si="16"/>
        <v>GC-04314</v>
      </c>
      <c r="F384" s="151">
        <f>+IF(AND(C384*1&gt;=200,E384="GC-04314"),IF(D384=0,MAX(F$2:F383)+1,0),0)</f>
        <v>279</v>
      </c>
      <c r="H384" s="151" t="s">
        <v>6259</v>
      </c>
      <c r="I384" s="151" t="s">
        <v>6962</v>
      </c>
      <c r="J384" s="151" t="s">
        <v>6962</v>
      </c>
      <c r="K384" s="151">
        <f t="shared" si="17"/>
        <v>0</v>
      </c>
      <c r="L384" s="151" t="s">
        <v>9020</v>
      </c>
    </row>
    <row r="385" spans="1:12" x14ac:dyDescent="0.25">
      <c r="A385" s="151" t="s">
        <v>2508</v>
      </c>
      <c r="B385" s="151" t="s">
        <v>2997</v>
      </c>
      <c r="C385" s="151" t="s">
        <v>3435</v>
      </c>
      <c r="D385" s="151">
        <f t="shared" si="15"/>
        <v>0</v>
      </c>
      <c r="E385" s="151" t="str">
        <f t="shared" si="16"/>
        <v>GC-04314</v>
      </c>
      <c r="F385" s="151">
        <f>+IF(AND(C385*1&gt;=200,E385="GC-04314"),IF(D385=0,MAX(F$2:F384)+1,0),0)</f>
        <v>280</v>
      </c>
      <c r="H385" s="151" t="s">
        <v>6260</v>
      </c>
      <c r="I385" s="151" t="s">
        <v>6962</v>
      </c>
      <c r="J385" s="151" t="s">
        <v>6962</v>
      </c>
      <c r="K385" s="151">
        <f t="shared" si="17"/>
        <v>0</v>
      </c>
      <c r="L385" s="151" t="s">
        <v>9020</v>
      </c>
    </row>
    <row r="386" spans="1:12" x14ac:dyDescent="0.25">
      <c r="A386" s="151" t="s">
        <v>2509</v>
      </c>
      <c r="B386" s="151" t="s">
        <v>2997</v>
      </c>
      <c r="C386" s="151" t="s">
        <v>3436</v>
      </c>
      <c r="D386" s="151">
        <f t="shared" ref="D386:D449" si="18">+SUMIFS(K:K,H:H,A386)</f>
        <v>0</v>
      </c>
      <c r="E386" s="151" t="str">
        <f t="shared" ref="E386:E449" si="19">+IF(D386=0,VLOOKUP(A386,$H:$L,5,FALSE),"")</f>
        <v>GC-04314</v>
      </c>
      <c r="F386" s="151">
        <f>+IF(AND(C386*1&gt;=200,E386="GC-04314"),IF(D386=0,MAX(F$2:F385)+1,0),0)</f>
        <v>281</v>
      </c>
      <c r="H386" s="151" t="s">
        <v>6261</v>
      </c>
      <c r="I386" s="151" t="s">
        <v>6962</v>
      </c>
      <c r="J386" s="151" t="s">
        <v>6962</v>
      </c>
      <c r="K386" s="151">
        <f t="shared" si="17"/>
        <v>0</v>
      </c>
      <c r="L386" s="151" t="s">
        <v>9020</v>
      </c>
    </row>
    <row r="387" spans="1:12" x14ac:dyDescent="0.25">
      <c r="A387" s="151" t="s">
        <v>2510</v>
      </c>
      <c r="B387" s="151" t="s">
        <v>2997</v>
      </c>
      <c r="C387" s="151" t="s">
        <v>3437</v>
      </c>
      <c r="D387" s="151">
        <f t="shared" si="18"/>
        <v>0</v>
      </c>
      <c r="E387" s="151" t="str">
        <f t="shared" si="19"/>
        <v>GC-04314</v>
      </c>
      <c r="F387" s="151">
        <f>+IF(AND(C387*1&gt;=200,E387="GC-04314"),IF(D387=0,MAX(F$2:F386)+1,0),0)</f>
        <v>282</v>
      </c>
      <c r="H387" s="151" t="s">
        <v>6262</v>
      </c>
      <c r="I387" s="151" t="s">
        <v>6962</v>
      </c>
      <c r="J387" s="151" t="s">
        <v>6962</v>
      </c>
      <c r="K387" s="151">
        <f t="shared" ref="K387:K450" si="20">+IFERROR(J387*1,0)</f>
        <v>0</v>
      </c>
      <c r="L387" s="151" t="s">
        <v>9020</v>
      </c>
    </row>
    <row r="388" spans="1:12" x14ac:dyDescent="0.25">
      <c r="A388" s="151" t="s">
        <v>2511</v>
      </c>
      <c r="B388" s="151" t="s">
        <v>2997</v>
      </c>
      <c r="C388" s="151" t="s">
        <v>3438</v>
      </c>
      <c r="D388" s="151">
        <f t="shared" si="18"/>
        <v>0</v>
      </c>
      <c r="E388" s="151" t="str">
        <f t="shared" si="19"/>
        <v>GC-04314</v>
      </c>
      <c r="F388" s="151">
        <f>+IF(AND(C388*1&gt;=200,E388="GC-04314"),IF(D388=0,MAX(F$2:F387)+1,0),0)</f>
        <v>283</v>
      </c>
      <c r="H388" s="151" t="s">
        <v>6263</v>
      </c>
      <c r="I388" s="151" t="s">
        <v>6962</v>
      </c>
      <c r="J388" s="151" t="s">
        <v>6962</v>
      </c>
      <c r="K388" s="151">
        <f t="shared" si="20"/>
        <v>0</v>
      </c>
      <c r="L388" s="151" t="s">
        <v>9020</v>
      </c>
    </row>
    <row r="389" spans="1:12" x14ac:dyDescent="0.25">
      <c r="A389" s="151" t="s">
        <v>2512</v>
      </c>
      <c r="B389" s="151" t="s">
        <v>2997</v>
      </c>
      <c r="C389" s="151" t="s">
        <v>3439</v>
      </c>
      <c r="D389" s="151">
        <f t="shared" si="18"/>
        <v>0</v>
      </c>
      <c r="E389" s="151" t="str">
        <f t="shared" si="19"/>
        <v>GC-04314</v>
      </c>
      <c r="F389" s="151">
        <f>+IF(AND(C389*1&gt;=200,E389="GC-04314"),IF(D389=0,MAX(F$2:F388)+1,0),0)</f>
        <v>284</v>
      </c>
      <c r="H389" s="151" t="s">
        <v>6264</v>
      </c>
      <c r="I389" s="151" t="s">
        <v>6962</v>
      </c>
      <c r="J389" s="151" t="s">
        <v>6962</v>
      </c>
      <c r="K389" s="151">
        <f t="shared" si="20"/>
        <v>0</v>
      </c>
      <c r="L389" s="151" t="s">
        <v>9020</v>
      </c>
    </row>
    <row r="390" spans="1:12" x14ac:dyDescent="0.25">
      <c r="A390" s="151" t="s">
        <v>2513</v>
      </c>
      <c r="B390" s="151" t="s">
        <v>2997</v>
      </c>
      <c r="C390" s="151" t="s">
        <v>3440</v>
      </c>
      <c r="D390" s="151">
        <f t="shared" si="18"/>
        <v>0</v>
      </c>
      <c r="E390" s="151" t="str">
        <f t="shared" si="19"/>
        <v>GC-04314</v>
      </c>
      <c r="F390" s="151">
        <f>+IF(AND(C390*1&gt;=200,E390="GC-04314"),IF(D390=0,MAX(F$2:F389)+1,0),0)</f>
        <v>285</v>
      </c>
      <c r="H390" s="151" t="s">
        <v>6265</v>
      </c>
      <c r="I390" s="151" t="s">
        <v>6962</v>
      </c>
      <c r="J390" s="151" t="s">
        <v>6962</v>
      </c>
      <c r="K390" s="151">
        <f t="shared" si="20"/>
        <v>0</v>
      </c>
      <c r="L390" s="151" t="s">
        <v>9020</v>
      </c>
    </row>
    <row r="391" spans="1:12" x14ac:dyDescent="0.25">
      <c r="A391" s="151" t="s">
        <v>2514</v>
      </c>
      <c r="B391" s="151" t="s">
        <v>2997</v>
      </c>
      <c r="C391" s="151" t="s">
        <v>3441</v>
      </c>
      <c r="D391" s="151">
        <f t="shared" si="18"/>
        <v>0</v>
      </c>
      <c r="E391" s="151" t="str">
        <f t="shared" si="19"/>
        <v>GC-04314</v>
      </c>
      <c r="F391" s="151">
        <f>+IF(AND(C391*1&gt;=200,E391="GC-04314"),IF(D391=0,MAX(F$2:F390)+1,0),0)</f>
        <v>286</v>
      </c>
      <c r="H391" s="151" t="s">
        <v>6266</v>
      </c>
      <c r="I391" s="151" t="s">
        <v>6962</v>
      </c>
      <c r="J391" s="151" t="s">
        <v>6962</v>
      </c>
      <c r="K391" s="151">
        <f t="shared" si="20"/>
        <v>0</v>
      </c>
      <c r="L391" s="151" t="s">
        <v>9020</v>
      </c>
    </row>
    <row r="392" spans="1:12" x14ac:dyDescent="0.25">
      <c r="A392" s="151" t="s">
        <v>2515</v>
      </c>
      <c r="B392" s="151" t="s">
        <v>2997</v>
      </c>
      <c r="C392" s="151" t="s">
        <v>3442</v>
      </c>
      <c r="D392" s="151">
        <f t="shared" si="18"/>
        <v>0</v>
      </c>
      <c r="E392" s="151" t="str">
        <f t="shared" si="19"/>
        <v>GC-04314</v>
      </c>
      <c r="F392" s="151">
        <f>+IF(AND(C392*1&gt;=200,E392="GC-04314"),IF(D392=0,MAX(F$2:F391)+1,0),0)</f>
        <v>287</v>
      </c>
      <c r="H392" s="151" t="s">
        <v>6267</v>
      </c>
      <c r="I392" s="151" t="s">
        <v>6962</v>
      </c>
      <c r="J392" s="151" t="s">
        <v>6962</v>
      </c>
      <c r="K392" s="151">
        <f t="shared" si="20"/>
        <v>0</v>
      </c>
      <c r="L392" s="151" t="s">
        <v>9020</v>
      </c>
    </row>
    <row r="393" spans="1:12" x14ac:dyDescent="0.25">
      <c r="A393" s="151" t="s">
        <v>2516</v>
      </c>
      <c r="B393" s="151" t="s">
        <v>2997</v>
      </c>
      <c r="C393" s="151" t="s">
        <v>3443</v>
      </c>
      <c r="D393" s="151">
        <f t="shared" si="18"/>
        <v>0</v>
      </c>
      <c r="E393" s="151" t="str">
        <f t="shared" si="19"/>
        <v>GC-04314</v>
      </c>
      <c r="F393" s="151">
        <f>+IF(AND(C393*1&gt;=200,E393="GC-04314"),IF(D393=0,MAX(F$2:F392)+1,0),0)</f>
        <v>288</v>
      </c>
      <c r="H393" s="151" t="s">
        <v>6268</v>
      </c>
      <c r="I393" s="151" t="s">
        <v>6962</v>
      </c>
      <c r="J393" s="151" t="s">
        <v>6962</v>
      </c>
      <c r="K393" s="151">
        <f t="shared" si="20"/>
        <v>0</v>
      </c>
      <c r="L393" s="151" t="s">
        <v>9020</v>
      </c>
    </row>
    <row r="394" spans="1:12" x14ac:dyDescent="0.25">
      <c r="A394" s="151" t="s">
        <v>2517</v>
      </c>
      <c r="B394" s="151" t="s">
        <v>2997</v>
      </c>
      <c r="C394" s="151" t="s">
        <v>3444</v>
      </c>
      <c r="D394" s="151">
        <f t="shared" si="18"/>
        <v>0</v>
      </c>
      <c r="E394" s="151" t="str">
        <f t="shared" si="19"/>
        <v>GC-04314</v>
      </c>
      <c r="F394" s="151">
        <f>+IF(AND(C394*1&gt;=200,E394="GC-04314"),IF(D394=0,MAX(F$2:F393)+1,0),0)</f>
        <v>289</v>
      </c>
      <c r="H394" s="151" t="s">
        <v>6269</v>
      </c>
      <c r="I394" s="151" t="s">
        <v>6962</v>
      </c>
      <c r="J394" s="151" t="s">
        <v>6962</v>
      </c>
      <c r="K394" s="151">
        <f t="shared" si="20"/>
        <v>0</v>
      </c>
      <c r="L394" s="151" t="s">
        <v>9020</v>
      </c>
    </row>
    <row r="395" spans="1:12" x14ac:dyDescent="0.25">
      <c r="A395" s="151" t="s">
        <v>2518</v>
      </c>
      <c r="B395" s="151" t="s">
        <v>2997</v>
      </c>
      <c r="C395" s="151" t="s">
        <v>3445</v>
      </c>
      <c r="D395" s="151">
        <f t="shared" si="18"/>
        <v>0</v>
      </c>
      <c r="E395" s="151" t="str">
        <f t="shared" si="19"/>
        <v>GC-04314</v>
      </c>
      <c r="F395" s="151">
        <f>+IF(AND(C395*1&gt;=200,E395="GC-04314"),IF(D395=0,MAX(F$2:F394)+1,0),0)</f>
        <v>290</v>
      </c>
      <c r="H395" s="151" t="s">
        <v>6270</v>
      </c>
      <c r="I395" s="151" t="s">
        <v>6962</v>
      </c>
      <c r="J395" s="151" t="s">
        <v>6962</v>
      </c>
      <c r="K395" s="151">
        <f t="shared" si="20"/>
        <v>0</v>
      </c>
      <c r="L395" s="151" t="s">
        <v>9020</v>
      </c>
    </row>
    <row r="396" spans="1:12" x14ac:dyDescent="0.25">
      <c r="A396" s="151" t="s">
        <v>2519</v>
      </c>
      <c r="B396" s="151" t="s">
        <v>2997</v>
      </c>
      <c r="C396" s="151" t="s">
        <v>3446</v>
      </c>
      <c r="D396" s="151">
        <f t="shared" si="18"/>
        <v>0</v>
      </c>
      <c r="E396" s="151" t="str">
        <f t="shared" si="19"/>
        <v>GC-04314</v>
      </c>
      <c r="F396" s="151">
        <f>+IF(AND(C396*1&gt;=200,E396="GC-04314"),IF(D396=0,MAX(F$2:F395)+1,0),0)</f>
        <v>291</v>
      </c>
      <c r="H396" s="151" t="s">
        <v>6271</v>
      </c>
      <c r="I396" s="151" t="s">
        <v>6962</v>
      </c>
      <c r="J396" s="151" t="s">
        <v>6962</v>
      </c>
      <c r="K396" s="151">
        <f t="shared" si="20"/>
        <v>0</v>
      </c>
      <c r="L396" s="151" t="s">
        <v>9020</v>
      </c>
    </row>
    <row r="397" spans="1:12" x14ac:dyDescent="0.25">
      <c r="A397" s="151" t="s">
        <v>2520</v>
      </c>
      <c r="B397" s="151" t="s">
        <v>2997</v>
      </c>
      <c r="C397" s="151" t="s">
        <v>3447</v>
      </c>
      <c r="D397" s="151">
        <f t="shared" si="18"/>
        <v>0</v>
      </c>
      <c r="E397" s="151" t="str">
        <f t="shared" si="19"/>
        <v>GC-04314</v>
      </c>
      <c r="F397" s="151">
        <f>+IF(AND(C397*1&gt;=200,E397="GC-04314"),IF(D397=0,MAX(F$2:F396)+1,0),0)</f>
        <v>292</v>
      </c>
      <c r="H397" s="151" t="s">
        <v>6272</v>
      </c>
      <c r="I397" s="151" t="s">
        <v>6962</v>
      </c>
      <c r="J397" s="151" t="s">
        <v>6962</v>
      </c>
      <c r="K397" s="151">
        <f t="shared" si="20"/>
        <v>0</v>
      </c>
      <c r="L397" s="151" t="s">
        <v>9020</v>
      </c>
    </row>
    <row r="398" spans="1:12" x14ac:dyDescent="0.25">
      <c r="A398" s="151" t="s">
        <v>2521</v>
      </c>
      <c r="B398" s="151" t="s">
        <v>2997</v>
      </c>
      <c r="C398" s="151" t="s">
        <v>3448</v>
      </c>
      <c r="D398" s="151">
        <f t="shared" si="18"/>
        <v>0</v>
      </c>
      <c r="E398" s="151" t="str">
        <f t="shared" si="19"/>
        <v>GC-04314</v>
      </c>
      <c r="F398" s="151">
        <f>+IF(AND(C398*1&gt;=200,E398="GC-04314"),IF(D398=0,MAX(F$2:F397)+1,0),0)</f>
        <v>293</v>
      </c>
      <c r="H398" s="151" t="s">
        <v>6273</v>
      </c>
      <c r="I398" s="151" t="s">
        <v>6962</v>
      </c>
      <c r="J398" s="151" t="s">
        <v>6962</v>
      </c>
      <c r="K398" s="151">
        <f t="shared" si="20"/>
        <v>0</v>
      </c>
      <c r="L398" s="151" t="s">
        <v>9020</v>
      </c>
    </row>
    <row r="399" spans="1:12" x14ac:dyDescent="0.25">
      <c r="A399" s="151" t="s">
        <v>2522</v>
      </c>
      <c r="B399" s="151" t="s">
        <v>2997</v>
      </c>
      <c r="C399" s="151" t="s">
        <v>3449</v>
      </c>
      <c r="D399" s="151">
        <f t="shared" si="18"/>
        <v>0</v>
      </c>
      <c r="E399" s="151" t="str">
        <f t="shared" si="19"/>
        <v>GC-04314</v>
      </c>
      <c r="F399" s="151">
        <f>+IF(AND(C399*1&gt;=200,E399="GC-04314"),IF(D399=0,MAX(F$2:F398)+1,0),0)</f>
        <v>294</v>
      </c>
      <c r="H399" s="151" t="s">
        <v>6274</v>
      </c>
      <c r="I399" s="151" t="s">
        <v>6962</v>
      </c>
      <c r="J399" s="151" t="s">
        <v>6962</v>
      </c>
      <c r="K399" s="151">
        <f t="shared" si="20"/>
        <v>0</v>
      </c>
      <c r="L399" s="151" t="s">
        <v>9020</v>
      </c>
    </row>
    <row r="400" spans="1:12" x14ac:dyDescent="0.25">
      <c r="A400" s="151" t="s">
        <v>2523</v>
      </c>
      <c r="B400" s="151" t="s">
        <v>2997</v>
      </c>
      <c r="C400" s="151" t="s">
        <v>3450</v>
      </c>
      <c r="D400" s="151">
        <f t="shared" si="18"/>
        <v>0</v>
      </c>
      <c r="E400" s="151" t="str">
        <f t="shared" si="19"/>
        <v>GC-04314</v>
      </c>
      <c r="F400" s="151">
        <f>+IF(AND(C400*1&gt;=200,E400="GC-04314"),IF(D400=0,MAX(F$2:F399)+1,0),0)</f>
        <v>295</v>
      </c>
      <c r="H400" s="151" t="s">
        <v>6275</v>
      </c>
      <c r="I400" s="151" t="s">
        <v>6962</v>
      </c>
      <c r="J400" s="151" t="s">
        <v>6962</v>
      </c>
      <c r="K400" s="151">
        <f t="shared" si="20"/>
        <v>0</v>
      </c>
      <c r="L400" s="151" t="s">
        <v>9020</v>
      </c>
    </row>
    <row r="401" spans="1:12" x14ac:dyDescent="0.25">
      <c r="A401" s="151" t="s">
        <v>2524</v>
      </c>
      <c r="B401" s="151" t="s">
        <v>2997</v>
      </c>
      <c r="C401" s="151" t="s">
        <v>3451</v>
      </c>
      <c r="D401" s="151">
        <f t="shared" si="18"/>
        <v>0</v>
      </c>
      <c r="E401" s="151" t="str">
        <f t="shared" si="19"/>
        <v>GC-04314</v>
      </c>
      <c r="F401" s="151">
        <f>+IF(AND(C401*1&gt;=200,E401="GC-04314"),IF(D401=0,MAX(F$2:F400)+1,0),0)</f>
        <v>296</v>
      </c>
      <c r="H401" s="151" t="s">
        <v>6276</v>
      </c>
      <c r="I401" s="151" t="s">
        <v>6962</v>
      </c>
      <c r="J401" s="151" t="s">
        <v>6962</v>
      </c>
      <c r="K401" s="151">
        <f t="shared" si="20"/>
        <v>0</v>
      </c>
      <c r="L401" s="151" t="s">
        <v>9020</v>
      </c>
    </row>
    <row r="402" spans="1:12" x14ac:dyDescent="0.25">
      <c r="A402" s="151" t="s">
        <v>2525</v>
      </c>
      <c r="B402" s="151" t="s">
        <v>2997</v>
      </c>
      <c r="C402" s="151" t="s">
        <v>3452</v>
      </c>
      <c r="D402" s="151">
        <f t="shared" si="18"/>
        <v>0</v>
      </c>
      <c r="E402" s="151" t="str">
        <f t="shared" si="19"/>
        <v>GC-04314</v>
      </c>
      <c r="F402" s="151">
        <f>+IF(AND(C402*1&gt;=200,E402="GC-04314"),IF(D402=0,MAX(F$2:F401)+1,0),0)</f>
        <v>297</v>
      </c>
      <c r="H402" s="151" t="s">
        <v>6277</v>
      </c>
      <c r="I402" s="151" t="s">
        <v>6962</v>
      </c>
      <c r="J402" s="151" t="s">
        <v>6962</v>
      </c>
      <c r="K402" s="151">
        <f t="shared" si="20"/>
        <v>0</v>
      </c>
      <c r="L402" s="151" t="s">
        <v>9020</v>
      </c>
    </row>
    <row r="403" spans="1:12" x14ac:dyDescent="0.25">
      <c r="A403" s="151" t="s">
        <v>2526</v>
      </c>
      <c r="B403" s="151" t="s">
        <v>2997</v>
      </c>
      <c r="C403" s="151" t="s">
        <v>3453</v>
      </c>
      <c r="D403" s="151">
        <f t="shared" si="18"/>
        <v>0</v>
      </c>
      <c r="E403" s="151" t="str">
        <f t="shared" si="19"/>
        <v>GC-04314</v>
      </c>
      <c r="F403" s="151">
        <f>+IF(AND(C403*1&gt;=200,E403="GC-04314"),IF(D403=0,MAX(F$2:F402)+1,0),0)</f>
        <v>298</v>
      </c>
      <c r="H403" s="151" t="s">
        <v>6278</v>
      </c>
      <c r="I403" s="151" t="s">
        <v>6962</v>
      </c>
      <c r="J403" s="151" t="s">
        <v>6962</v>
      </c>
      <c r="K403" s="151">
        <f t="shared" si="20"/>
        <v>0</v>
      </c>
      <c r="L403" s="151" t="s">
        <v>9020</v>
      </c>
    </row>
    <row r="404" spans="1:12" x14ac:dyDescent="0.25">
      <c r="A404" s="151" t="s">
        <v>2527</v>
      </c>
      <c r="B404" s="151" t="s">
        <v>2997</v>
      </c>
      <c r="C404" s="151" t="s">
        <v>3454</v>
      </c>
      <c r="D404" s="151">
        <f t="shared" si="18"/>
        <v>0</v>
      </c>
      <c r="E404" s="151" t="str">
        <f t="shared" si="19"/>
        <v>GC-04314</v>
      </c>
      <c r="F404" s="151">
        <f>+IF(AND(C404*1&gt;=200,E404="GC-04314"),IF(D404=0,MAX(F$2:F403)+1,0),0)</f>
        <v>299</v>
      </c>
      <c r="H404" s="151" t="s">
        <v>6279</v>
      </c>
      <c r="I404" s="151" t="s">
        <v>6962</v>
      </c>
      <c r="J404" s="151" t="s">
        <v>6962</v>
      </c>
      <c r="K404" s="151">
        <f t="shared" si="20"/>
        <v>0</v>
      </c>
      <c r="L404" s="151" t="s">
        <v>9020</v>
      </c>
    </row>
    <row r="405" spans="1:12" x14ac:dyDescent="0.25">
      <c r="A405" s="151" t="s">
        <v>2528</v>
      </c>
      <c r="B405" s="151" t="s">
        <v>2997</v>
      </c>
      <c r="C405" s="151" t="s">
        <v>3455</v>
      </c>
      <c r="D405" s="151">
        <f t="shared" si="18"/>
        <v>0</v>
      </c>
      <c r="E405" s="151" t="str">
        <f t="shared" si="19"/>
        <v>GC-04314</v>
      </c>
      <c r="F405" s="151">
        <f>+IF(AND(C405*1&gt;=200,E405="GC-04314"),IF(D405=0,MAX(F$2:F404)+1,0),0)</f>
        <v>300</v>
      </c>
      <c r="H405" s="151" t="s">
        <v>6280</v>
      </c>
      <c r="I405" s="151" t="s">
        <v>6962</v>
      </c>
      <c r="J405" s="151" t="s">
        <v>6962</v>
      </c>
      <c r="K405" s="151">
        <f t="shared" si="20"/>
        <v>0</v>
      </c>
      <c r="L405" s="151" t="s">
        <v>9020</v>
      </c>
    </row>
    <row r="406" spans="1:12" x14ac:dyDescent="0.25">
      <c r="A406" s="151" t="s">
        <v>2529</v>
      </c>
      <c r="B406" s="151" t="s">
        <v>2997</v>
      </c>
      <c r="C406" s="151" t="s">
        <v>3456</v>
      </c>
      <c r="D406" s="151">
        <f t="shared" si="18"/>
        <v>0</v>
      </c>
      <c r="E406" s="151" t="str">
        <f t="shared" si="19"/>
        <v>GC-04314</v>
      </c>
      <c r="F406" s="151">
        <f>+IF(AND(C406*1&gt;=200,E406="GC-04314"),IF(D406=0,MAX(F$2:F405)+1,0),0)</f>
        <v>301</v>
      </c>
      <c r="H406" s="151" t="s">
        <v>6281</v>
      </c>
      <c r="I406" s="151" t="s">
        <v>6962</v>
      </c>
      <c r="J406" s="151" t="s">
        <v>6962</v>
      </c>
      <c r="K406" s="151">
        <f t="shared" si="20"/>
        <v>0</v>
      </c>
      <c r="L406" s="151" t="s">
        <v>9020</v>
      </c>
    </row>
    <row r="407" spans="1:12" x14ac:dyDescent="0.25">
      <c r="A407" s="151" t="s">
        <v>2530</v>
      </c>
      <c r="B407" s="151" t="s">
        <v>2997</v>
      </c>
      <c r="C407" s="151" t="s">
        <v>3457</v>
      </c>
      <c r="D407" s="151">
        <f t="shared" si="18"/>
        <v>0</v>
      </c>
      <c r="E407" s="151" t="str">
        <f t="shared" si="19"/>
        <v>GC-04314</v>
      </c>
      <c r="F407" s="151">
        <f>+IF(AND(C407*1&gt;=200,E407="GC-04314"),IF(D407=0,MAX(F$2:F406)+1,0),0)</f>
        <v>302</v>
      </c>
      <c r="H407" s="151" t="s">
        <v>6282</v>
      </c>
      <c r="I407" s="151" t="s">
        <v>6962</v>
      </c>
      <c r="J407" s="151" t="s">
        <v>6962</v>
      </c>
      <c r="K407" s="151">
        <f t="shared" si="20"/>
        <v>0</v>
      </c>
      <c r="L407" s="151" t="s">
        <v>9020</v>
      </c>
    </row>
    <row r="408" spans="1:12" x14ac:dyDescent="0.25">
      <c r="A408" s="151" t="s">
        <v>2531</v>
      </c>
      <c r="B408" s="151" t="s">
        <v>2997</v>
      </c>
      <c r="C408" s="151" t="s">
        <v>3458</v>
      </c>
      <c r="D408" s="151">
        <f t="shared" si="18"/>
        <v>0</v>
      </c>
      <c r="E408" s="151" t="str">
        <f t="shared" si="19"/>
        <v>GC-04314</v>
      </c>
      <c r="F408" s="151">
        <f>+IF(AND(C408*1&gt;=200,E408="GC-04314"),IF(D408=0,MAX(F$2:F407)+1,0),0)</f>
        <v>303</v>
      </c>
      <c r="H408" s="151" t="s">
        <v>6283</v>
      </c>
      <c r="I408" s="151" t="s">
        <v>6962</v>
      </c>
      <c r="J408" s="151" t="s">
        <v>6962</v>
      </c>
      <c r="K408" s="151">
        <f t="shared" si="20"/>
        <v>0</v>
      </c>
      <c r="L408" s="151" t="s">
        <v>9020</v>
      </c>
    </row>
    <row r="409" spans="1:12" x14ac:dyDescent="0.25">
      <c r="A409" s="151" t="s">
        <v>2532</v>
      </c>
      <c r="B409" s="151" t="s">
        <v>2997</v>
      </c>
      <c r="C409" s="151" t="s">
        <v>3459</v>
      </c>
      <c r="D409" s="151">
        <f t="shared" si="18"/>
        <v>0</v>
      </c>
      <c r="E409" s="151" t="str">
        <f t="shared" si="19"/>
        <v>GC-04314</v>
      </c>
      <c r="F409" s="151">
        <f>+IF(AND(C409*1&gt;=200,E409="GC-04314"),IF(D409=0,MAX(F$2:F408)+1,0),0)</f>
        <v>304</v>
      </c>
      <c r="H409" s="151" t="s">
        <v>6284</v>
      </c>
      <c r="I409" s="151" t="s">
        <v>6962</v>
      </c>
      <c r="J409" s="151" t="s">
        <v>6962</v>
      </c>
      <c r="K409" s="151">
        <f t="shared" si="20"/>
        <v>0</v>
      </c>
      <c r="L409" s="151" t="s">
        <v>9020</v>
      </c>
    </row>
    <row r="410" spans="1:12" x14ac:dyDescent="0.25">
      <c r="A410" s="151" t="s">
        <v>2533</v>
      </c>
      <c r="B410" s="151" t="s">
        <v>2997</v>
      </c>
      <c r="C410" s="151" t="s">
        <v>3460</v>
      </c>
      <c r="D410" s="151">
        <f t="shared" si="18"/>
        <v>0</v>
      </c>
      <c r="E410" s="151" t="str">
        <f t="shared" si="19"/>
        <v>GC-04314</v>
      </c>
      <c r="F410" s="151">
        <f>+IF(AND(C410*1&gt;=200,E410="GC-04314"),IF(D410=0,MAX(F$2:F409)+1,0),0)</f>
        <v>305</v>
      </c>
      <c r="H410" s="151" t="s">
        <v>6285</v>
      </c>
      <c r="I410" s="151" t="s">
        <v>6962</v>
      </c>
      <c r="J410" s="151" t="s">
        <v>6962</v>
      </c>
      <c r="K410" s="151">
        <f t="shared" si="20"/>
        <v>0</v>
      </c>
      <c r="L410" s="151" t="s">
        <v>9020</v>
      </c>
    </row>
    <row r="411" spans="1:12" x14ac:dyDescent="0.25">
      <c r="A411" s="151" t="s">
        <v>2534</v>
      </c>
      <c r="B411" s="151" t="s">
        <v>2997</v>
      </c>
      <c r="C411" s="151" t="s">
        <v>3461</v>
      </c>
      <c r="D411" s="151">
        <f t="shared" si="18"/>
        <v>0</v>
      </c>
      <c r="E411" s="151" t="str">
        <f t="shared" si="19"/>
        <v>GC-04314</v>
      </c>
      <c r="F411" s="151">
        <f>+IF(AND(C411*1&gt;=200,E411="GC-04314"),IF(D411=0,MAX(F$2:F410)+1,0),0)</f>
        <v>306</v>
      </c>
      <c r="H411" s="151" t="s">
        <v>6286</v>
      </c>
      <c r="I411" s="151" t="s">
        <v>6962</v>
      </c>
      <c r="J411" s="151" t="s">
        <v>6962</v>
      </c>
      <c r="K411" s="151">
        <f t="shared" si="20"/>
        <v>0</v>
      </c>
      <c r="L411" s="151" t="s">
        <v>9020</v>
      </c>
    </row>
    <row r="412" spans="1:12" x14ac:dyDescent="0.25">
      <c r="A412" s="151" t="s">
        <v>2535</v>
      </c>
      <c r="B412" s="151" t="s">
        <v>2997</v>
      </c>
      <c r="C412" s="151" t="s">
        <v>3462</v>
      </c>
      <c r="D412" s="151">
        <f t="shared" si="18"/>
        <v>0</v>
      </c>
      <c r="E412" s="151" t="str">
        <f t="shared" si="19"/>
        <v>GC-04314</v>
      </c>
      <c r="F412" s="151">
        <f>+IF(AND(C412*1&gt;=200,E412="GC-04314"),IF(D412=0,MAX(F$2:F411)+1,0),0)</f>
        <v>307</v>
      </c>
      <c r="H412" s="151" t="s">
        <v>6287</v>
      </c>
      <c r="I412" s="151" t="s">
        <v>6962</v>
      </c>
      <c r="J412" s="151" t="s">
        <v>6962</v>
      </c>
      <c r="K412" s="151">
        <f t="shared" si="20"/>
        <v>0</v>
      </c>
      <c r="L412" s="151" t="s">
        <v>9020</v>
      </c>
    </row>
    <row r="413" spans="1:12" x14ac:dyDescent="0.25">
      <c r="A413" s="151" t="s">
        <v>2536</v>
      </c>
      <c r="B413" s="151" t="s">
        <v>2997</v>
      </c>
      <c r="C413" s="151" t="s">
        <v>3463</v>
      </c>
      <c r="D413" s="151">
        <f t="shared" si="18"/>
        <v>0</v>
      </c>
      <c r="E413" s="151" t="str">
        <f t="shared" si="19"/>
        <v>GC-04314</v>
      </c>
      <c r="F413" s="151">
        <f>+IF(AND(C413*1&gt;=200,E413="GC-04314"),IF(D413=0,MAX(F$2:F412)+1,0),0)</f>
        <v>308</v>
      </c>
      <c r="H413" s="151" t="s">
        <v>6288</v>
      </c>
      <c r="I413" s="151" t="s">
        <v>6962</v>
      </c>
      <c r="J413" s="151" t="s">
        <v>6962</v>
      </c>
      <c r="K413" s="151">
        <f t="shared" si="20"/>
        <v>0</v>
      </c>
      <c r="L413" s="151" t="s">
        <v>9020</v>
      </c>
    </row>
    <row r="414" spans="1:12" x14ac:dyDescent="0.25">
      <c r="A414" s="151" t="s">
        <v>2537</v>
      </c>
      <c r="B414" s="151" t="s">
        <v>2997</v>
      </c>
      <c r="C414" s="151" t="s">
        <v>3464</v>
      </c>
      <c r="D414" s="151">
        <f t="shared" si="18"/>
        <v>0</v>
      </c>
      <c r="E414" s="151" t="str">
        <f t="shared" si="19"/>
        <v>GC-04314</v>
      </c>
      <c r="F414" s="151">
        <f>+IF(AND(C414*1&gt;=200,E414="GC-04314"),IF(D414=0,MAX(F$2:F413)+1,0),0)</f>
        <v>309</v>
      </c>
      <c r="H414" s="151" t="s">
        <v>6289</v>
      </c>
      <c r="I414" s="151" t="s">
        <v>6962</v>
      </c>
      <c r="J414" s="151" t="s">
        <v>6962</v>
      </c>
      <c r="K414" s="151">
        <f t="shared" si="20"/>
        <v>0</v>
      </c>
      <c r="L414" s="151" t="s">
        <v>9020</v>
      </c>
    </row>
    <row r="415" spans="1:12" x14ac:dyDescent="0.25">
      <c r="A415" s="151" t="s">
        <v>2538</v>
      </c>
      <c r="B415" s="151" t="s">
        <v>2997</v>
      </c>
      <c r="C415" s="151" t="s">
        <v>3465</v>
      </c>
      <c r="D415" s="151">
        <f t="shared" si="18"/>
        <v>0</v>
      </c>
      <c r="E415" s="151" t="str">
        <f t="shared" si="19"/>
        <v>GC-04314</v>
      </c>
      <c r="F415" s="151">
        <f>+IF(AND(C415*1&gt;=200,E415="GC-04314"),IF(D415=0,MAX(F$2:F414)+1,0),0)</f>
        <v>310</v>
      </c>
      <c r="H415" s="151" t="s">
        <v>6290</v>
      </c>
      <c r="I415" s="151" t="s">
        <v>6962</v>
      </c>
      <c r="J415" s="151" t="s">
        <v>6962</v>
      </c>
      <c r="K415" s="151">
        <f t="shared" si="20"/>
        <v>0</v>
      </c>
      <c r="L415" s="151" t="s">
        <v>9020</v>
      </c>
    </row>
    <row r="416" spans="1:12" x14ac:dyDescent="0.25">
      <c r="A416" s="151" t="s">
        <v>2539</v>
      </c>
      <c r="B416" s="151" t="s">
        <v>2997</v>
      </c>
      <c r="C416" s="151" t="s">
        <v>3466</v>
      </c>
      <c r="D416" s="151">
        <f t="shared" si="18"/>
        <v>0</v>
      </c>
      <c r="E416" s="151" t="str">
        <f t="shared" si="19"/>
        <v>GC-04314</v>
      </c>
      <c r="F416" s="151">
        <f>+IF(AND(C416*1&gt;=200,E416="GC-04314"),IF(D416=0,MAX(F$2:F415)+1,0),0)</f>
        <v>311</v>
      </c>
      <c r="H416" s="151" t="s">
        <v>6291</v>
      </c>
      <c r="I416" s="151" t="s">
        <v>6962</v>
      </c>
      <c r="J416" s="151" t="s">
        <v>6962</v>
      </c>
      <c r="K416" s="151">
        <f t="shared" si="20"/>
        <v>0</v>
      </c>
      <c r="L416" s="151" t="s">
        <v>9020</v>
      </c>
    </row>
    <row r="417" spans="1:12" x14ac:dyDescent="0.25">
      <c r="A417" s="151" t="s">
        <v>2540</v>
      </c>
      <c r="B417" s="151" t="s">
        <v>2997</v>
      </c>
      <c r="C417" s="151" t="s">
        <v>3467</v>
      </c>
      <c r="D417" s="151">
        <f t="shared" si="18"/>
        <v>0</v>
      </c>
      <c r="E417" s="151" t="str">
        <f t="shared" si="19"/>
        <v>GC-04314</v>
      </c>
      <c r="F417" s="151">
        <f>+IF(AND(C417*1&gt;=200,E417="GC-04314"),IF(D417=0,MAX(F$2:F416)+1,0),0)</f>
        <v>312</v>
      </c>
      <c r="H417" s="151" t="s">
        <v>6292</v>
      </c>
      <c r="I417" s="151" t="s">
        <v>6962</v>
      </c>
      <c r="J417" s="151" t="s">
        <v>6962</v>
      </c>
      <c r="K417" s="151">
        <f t="shared" si="20"/>
        <v>0</v>
      </c>
      <c r="L417" s="151" t="s">
        <v>9020</v>
      </c>
    </row>
    <row r="418" spans="1:12" x14ac:dyDescent="0.25">
      <c r="A418" s="151" t="s">
        <v>2541</v>
      </c>
      <c r="B418" s="151" t="s">
        <v>2997</v>
      </c>
      <c r="C418" s="151" t="s">
        <v>3468</v>
      </c>
      <c r="D418" s="151">
        <f t="shared" si="18"/>
        <v>0</v>
      </c>
      <c r="E418" s="151" t="str">
        <f t="shared" si="19"/>
        <v>GC-04314</v>
      </c>
      <c r="F418" s="151">
        <f>+IF(AND(C418*1&gt;=200,E418="GC-04314"),IF(D418=0,MAX(F$2:F417)+1,0),0)</f>
        <v>313</v>
      </c>
      <c r="H418" s="151" t="s">
        <v>6293</v>
      </c>
      <c r="I418" s="151" t="s">
        <v>6962</v>
      </c>
      <c r="J418" s="151" t="s">
        <v>6962</v>
      </c>
      <c r="K418" s="151">
        <f t="shared" si="20"/>
        <v>0</v>
      </c>
      <c r="L418" s="151" t="s">
        <v>9020</v>
      </c>
    </row>
    <row r="419" spans="1:12" x14ac:dyDescent="0.25">
      <c r="A419" s="151" t="s">
        <v>2542</v>
      </c>
      <c r="B419" s="151" t="s">
        <v>2997</v>
      </c>
      <c r="C419" s="151" t="s">
        <v>3469</v>
      </c>
      <c r="D419" s="151">
        <f t="shared" si="18"/>
        <v>0</v>
      </c>
      <c r="E419" s="151" t="str">
        <f t="shared" si="19"/>
        <v>GC-04314</v>
      </c>
      <c r="F419" s="151">
        <f>+IF(AND(C419*1&gt;=200,E419="GC-04314"),IF(D419=0,MAX(F$2:F418)+1,0),0)</f>
        <v>314</v>
      </c>
      <c r="H419" s="151" t="s">
        <v>6294</v>
      </c>
      <c r="I419" s="151" t="s">
        <v>6962</v>
      </c>
      <c r="J419" s="151" t="s">
        <v>6962</v>
      </c>
      <c r="K419" s="151">
        <f t="shared" si="20"/>
        <v>0</v>
      </c>
      <c r="L419" s="151" t="s">
        <v>9020</v>
      </c>
    </row>
    <row r="420" spans="1:12" x14ac:dyDescent="0.25">
      <c r="A420" s="151" t="s">
        <v>2543</v>
      </c>
      <c r="B420" s="151" t="s">
        <v>2997</v>
      </c>
      <c r="C420" s="151" t="s">
        <v>3470</v>
      </c>
      <c r="D420" s="151">
        <f t="shared" si="18"/>
        <v>0</v>
      </c>
      <c r="E420" s="151" t="str">
        <f t="shared" si="19"/>
        <v>GC-04314</v>
      </c>
      <c r="F420" s="151">
        <f>+IF(AND(C420*1&gt;=200,E420="GC-04314"),IF(D420=0,MAX(F$2:F419)+1,0),0)</f>
        <v>315</v>
      </c>
      <c r="H420" s="151" t="s">
        <v>6295</v>
      </c>
      <c r="I420" s="151" t="s">
        <v>6962</v>
      </c>
      <c r="J420" s="151" t="s">
        <v>6962</v>
      </c>
      <c r="K420" s="151">
        <f t="shared" si="20"/>
        <v>0</v>
      </c>
      <c r="L420" s="151" t="s">
        <v>9020</v>
      </c>
    </row>
    <row r="421" spans="1:12" x14ac:dyDescent="0.25">
      <c r="A421" s="151" t="s">
        <v>2544</v>
      </c>
      <c r="B421" s="151" t="s">
        <v>2997</v>
      </c>
      <c r="C421" s="151" t="s">
        <v>3471</v>
      </c>
      <c r="D421" s="151">
        <f t="shared" si="18"/>
        <v>0</v>
      </c>
      <c r="E421" s="151" t="str">
        <f t="shared" si="19"/>
        <v>GC-04314</v>
      </c>
      <c r="F421" s="151">
        <f>+IF(AND(C421*1&gt;=200,E421="GC-04314"),IF(D421=0,MAX(F$2:F420)+1,0),0)</f>
        <v>316</v>
      </c>
      <c r="H421" s="151" t="s">
        <v>6296</v>
      </c>
      <c r="I421" s="151" t="s">
        <v>6962</v>
      </c>
      <c r="J421" s="151" t="s">
        <v>6962</v>
      </c>
      <c r="K421" s="151">
        <f t="shared" si="20"/>
        <v>0</v>
      </c>
      <c r="L421" s="151" t="s">
        <v>9020</v>
      </c>
    </row>
    <row r="422" spans="1:12" x14ac:dyDescent="0.25">
      <c r="A422" s="151" t="s">
        <v>2545</v>
      </c>
      <c r="B422" s="151" t="s">
        <v>2997</v>
      </c>
      <c r="C422" s="151" t="s">
        <v>3472</v>
      </c>
      <c r="D422" s="151">
        <f t="shared" si="18"/>
        <v>0</v>
      </c>
      <c r="E422" s="151" t="str">
        <f t="shared" si="19"/>
        <v>GC-04314</v>
      </c>
      <c r="F422" s="151">
        <f>+IF(AND(C422*1&gt;=200,E422="GC-04314"),IF(D422=0,MAX(F$2:F421)+1,0),0)</f>
        <v>317</v>
      </c>
      <c r="H422" s="151" t="s">
        <v>6297</v>
      </c>
      <c r="I422" s="151" t="s">
        <v>6962</v>
      </c>
      <c r="J422" s="151" t="s">
        <v>6962</v>
      </c>
      <c r="K422" s="151">
        <f t="shared" si="20"/>
        <v>0</v>
      </c>
      <c r="L422" s="151" t="s">
        <v>9020</v>
      </c>
    </row>
    <row r="423" spans="1:12" x14ac:dyDescent="0.25">
      <c r="A423" s="151" t="s">
        <v>2546</v>
      </c>
      <c r="B423" s="151" t="s">
        <v>2997</v>
      </c>
      <c r="C423" s="151" t="s">
        <v>3473</v>
      </c>
      <c r="D423" s="151">
        <f t="shared" si="18"/>
        <v>0</v>
      </c>
      <c r="E423" s="151" t="str">
        <f t="shared" si="19"/>
        <v>GC-04314</v>
      </c>
      <c r="F423" s="151">
        <f>+IF(AND(C423*1&gt;=200,E423="GC-04314"),IF(D423=0,MAX(F$2:F422)+1,0),0)</f>
        <v>318</v>
      </c>
      <c r="H423" s="151" t="s">
        <v>6298</v>
      </c>
      <c r="I423" s="151" t="s">
        <v>6962</v>
      </c>
      <c r="J423" s="151" t="s">
        <v>6962</v>
      </c>
      <c r="K423" s="151">
        <f t="shared" si="20"/>
        <v>0</v>
      </c>
      <c r="L423" s="151" t="s">
        <v>9020</v>
      </c>
    </row>
    <row r="424" spans="1:12" x14ac:dyDescent="0.25">
      <c r="A424" s="151" t="s">
        <v>2547</v>
      </c>
      <c r="B424" s="151" t="s">
        <v>2997</v>
      </c>
      <c r="C424" s="151" t="s">
        <v>3474</v>
      </c>
      <c r="D424" s="151">
        <f t="shared" si="18"/>
        <v>0</v>
      </c>
      <c r="E424" s="151" t="str">
        <f t="shared" si="19"/>
        <v>GC-04314</v>
      </c>
      <c r="F424" s="151">
        <f>+IF(AND(C424*1&gt;=200,E424="GC-04314"),IF(D424=0,MAX(F$2:F423)+1,0),0)</f>
        <v>319</v>
      </c>
      <c r="H424" s="151" t="s">
        <v>6299</v>
      </c>
      <c r="I424" s="151" t="s">
        <v>6962</v>
      </c>
      <c r="J424" s="151" t="s">
        <v>6962</v>
      </c>
      <c r="K424" s="151">
        <f t="shared" si="20"/>
        <v>0</v>
      </c>
      <c r="L424" s="151" t="s">
        <v>9020</v>
      </c>
    </row>
    <row r="425" spans="1:12" x14ac:dyDescent="0.25">
      <c r="A425" s="151" t="s">
        <v>2548</v>
      </c>
      <c r="B425" s="151" t="s">
        <v>2997</v>
      </c>
      <c r="C425" s="151" t="s">
        <v>3475</v>
      </c>
      <c r="D425" s="151">
        <f t="shared" si="18"/>
        <v>0</v>
      </c>
      <c r="E425" s="151" t="str">
        <f t="shared" si="19"/>
        <v>GC-04314</v>
      </c>
      <c r="F425" s="151">
        <f>+IF(AND(C425*1&gt;=200,E425="GC-04314"),IF(D425=0,MAX(F$2:F424)+1,0),0)</f>
        <v>320</v>
      </c>
      <c r="H425" s="151" t="s">
        <v>6300</v>
      </c>
      <c r="I425" s="151" t="s">
        <v>6962</v>
      </c>
      <c r="J425" s="151" t="s">
        <v>6962</v>
      </c>
      <c r="K425" s="151">
        <f t="shared" si="20"/>
        <v>0</v>
      </c>
      <c r="L425" s="151" t="s">
        <v>9020</v>
      </c>
    </row>
    <row r="426" spans="1:12" x14ac:dyDescent="0.25">
      <c r="A426" s="151" t="s">
        <v>2549</v>
      </c>
      <c r="B426" s="151" t="s">
        <v>2997</v>
      </c>
      <c r="C426" s="151" t="s">
        <v>3476</v>
      </c>
      <c r="D426" s="151">
        <f t="shared" si="18"/>
        <v>0</v>
      </c>
      <c r="E426" s="151" t="str">
        <f t="shared" si="19"/>
        <v>GC-04314</v>
      </c>
      <c r="F426" s="151">
        <f>+IF(AND(C426*1&gt;=200,E426="GC-04314"),IF(D426=0,MAX(F$2:F425)+1,0),0)</f>
        <v>321</v>
      </c>
      <c r="H426" s="151" t="s">
        <v>6301</v>
      </c>
      <c r="I426" s="151" t="s">
        <v>6962</v>
      </c>
      <c r="J426" s="151" t="s">
        <v>6962</v>
      </c>
      <c r="K426" s="151">
        <f t="shared" si="20"/>
        <v>0</v>
      </c>
      <c r="L426" s="151" t="s">
        <v>9020</v>
      </c>
    </row>
    <row r="427" spans="1:12" x14ac:dyDescent="0.25">
      <c r="A427" s="151" t="s">
        <v>2550</v>
      </c>
      <c r="B427" s="151" t="s">
        <v>2997</v>
      </c>
      <c r="C427" s="151" t="s">
        <v>3477</v>
      </c>
      <c r="D427" s="151">
        <f t="shared" si="18"/>
        <v>0</v>
      </c>
      <c r="E427" s="151" t="str">
        <f t="shared" si="19"/>
        <v>GC-04314</v>
      </c>
      <c r="F427" s="151">
        <f>+IF(AND(C427*1&gt;=200,E427="GC-04314"),IF(D427=0,MAX(F$2:F426)+1,0),0)</f>
        <v>322</v>
      </c>
      <c r="H427" s="151" t="s">
        <v>6302</v>
      </c>
      <c r="I427" s="151" t="s">
        <v>6962</v>
      </c>
      <c r="J427" s="151" t="s">
        <v>6962</v>
      </c>
      <c r="K427" s="151">
        <f t="shared" si="20"/>
        <v>0</v>
      </c>
      <c r="L427" s="151" t="s">
        <v>9020</v>
      </c>
    </row>
    <row r="428" spans="1:12" x14ac:dyDescent="0.25">
      <c r="A428" s="151" t="s">
        <v>2551</v>
      </c>
      <c r="B428" s="151" t="s">
        <v>2997</v>
      </c>
      <c r="C428" s="151" t="s">
        <v>3478</v>
      </c>
      <c r="D428" s="151">
        <f t="shared" si="18"/>
        <v>0</v>
      </c>
      <c r="E428" s="151" t="str">
        <f t="shared" si="19"/>
        <v>GC-04314</v>
      </c>
      <c r="F428" s="151">
        <f>+IF(AND(C428*1&gt;=200,E428="GC-04314"),IF(D428=0,MAX(F$2:F427)+1,0),0)</f>
        <v>323</v>
      </c>
      <c r="H428" s="151" t="s">
        <v>6303</v>
      </c>
      <c r="I428" s="151" t="s">
        <v>6962</v>
      </c>
      <c r="J428" s="151" t="s">
        <v>6962</v>
      </c>
      <c r="K428" s="151">
        <f t="shared" si="20"/>
        <v>0</v>
      </c>
      <c r="L428" s="151" t="s">
        <v>9020</v>
      </c>
    </row>
    <row r="429" spans="1:12" x14ac:dyDescent="0.25">
      <c r="A429" s="151" t="s">
        <v>2552</v>
      </c>
      <c r="B429" s="151" t="s">
        <v>2997</v>
      </c>
      <c r="C429" s="151" t="s">
        <v>3479</v>
      </c>
      <c r="D429" s="151">
        <f t="shared" si="18"/>
        <v>0</v>
      </c>
      <c r="E429" s="151" t="str">
        <f t="shared" si="19"/>
        <v>GC-04314</v>
      </c>
      <c r="F429" s="151">
        <f>+IF(AND(C429*1&gt;=200,E429="GC-04314"),IF(D429=0,MAX(F$2:F428)+1,0),0)</f>
        <v>324</v>
      </c>
      <c r="H429" s="151" t="s">
        <v>6304</v>
      </c>
      <c r="I429" s="151" t="s">
        <v>6962</v>
      </c>
      <c r="J429" s="151" t="s">
        <v>6962</v>
      </c>
      <c r="K429" s="151">
        <f t="shared" si="20"/>
        <v>0</v>
      </c>
      <c r="L429" s="151" t="s">
        <v>9020</v>
      </c>
    </row>
    <row r="430" spans="1:12" x14ac:dyDescent="0.25">
      <c r="A430" s="151" t="s">
        <v>2553</v>
      </c>
      <c r="B430" s="151" t="s">
        <v>2997</v>
      </c>
      <c r="C430" s="151" t="s">
        <v>3480</v>
      </c>
      <c r="D430" s="151">
        <f t="shared" si="18"/>
        <v>0</v>
      </c>
      <c r="E430" s="151" t="str">
        <f t="shared" si="19"/>
        <v>GC-04314</v>
      </c>
      <c r="F430" s="151">
        <f>+IF(AND(C430*1&gt;=200,E430="GC-04314"),IF(D430=0,MAX(F$2:F429)+1,0),0)</f>
        <v>325</v>
      </c>
      <c r="H430" s="151" t="s">
        <v>6305</v>
      </c>
      <c r="I430" s="151" t="s">
        <v>6962</v>
      </c>
      <c r="J430" s="151" t="s">
        <v>6962</v>
      </c>
      <c r="K430" s="151">
        <f t="shared" si="20"/>
        <v>0</v>
      </c>
      <c r="L430" s="151" t="s">
        <v>9020</v>
      </c>
    </row>
    <row r="431" spans="1:12" x14ac:dyDescent="0.25">
      <c r="A431" s="151" t="s">
        <v>2554</v>
      </c>
      <c r="B431" s="151" t="s">
        <v>2997</v>
      </c>
      <c r="C431" s="151" t="s">
        <v>3481</v>
      </c>
      <c r="D431" s="151">
        <f t="shared" si="18"/>
        <v>0</v>
      </c>
      <c r="E431" s="151" t="str">
        <f t="shared" si="19"/>
        <v>GC-04314</v>
      </c>
      <c r="F431" s="151">
        <f>+IF(AND(C431*1&gt;=200,E431="GC-04314"),IF(D431=0,MAX(F$2:F430)+1,0),0)</f>
        <v>326</v>
      </c>
      <c r="H431" s="151" t="s">
        <v>6306</v>
      </c>
      <c r="I431" s="151" t="s">
        <v>6962</v>
      </c>
      <c r="J431" s="151" t="s">
        <v>6962</v>
      </c>
      <c r="K431" s="151">
        <f t="shared" si="20"/>
        <v>0</v>
      </c>
      <c r="L431" s="151" t="s">
        <v>9020</v>
      </c>
    </row>
    <row r="432" spans="1:12" x14ac:dyDescent="0.25">
      <c r="A432" s="151" t="s">
        <v>2555</v>
      </c>
      <c r="B432" s="151" t="s">
        <v>2997</v>
      </c>
      <c r="C432" s="151" t="s">
        <v>3482</v>
      </c>
      <c r="D432" s="151">
        <f t="shared" si="18"/>
        <v>0</v>
      </c>
      <c r="E432" s="151" t="str">
        <f t="shared" si="19"/>
        <v>GC-04314</v>
      </c>
      <c r="F432" s="151">
        <f>+IF(AND(C432*1&gt;=200,E432="GC-04314"),IF(D432=0,MAX(F$2:F431)+1,0),0)</f>
        <v>327</v>
      </c>
      <c r="H432" s="151" t="s">
        <v>6307</v>
      </c>
      <c r="I432" s="151" t="s">
        <v>6962</v>
      </c>
      <c r="J432" s="151" t="s">
        <v>6962</v>
      </c>
      <c r="K432" s="151">
        <f t="shared" si="20"/>
        <v>0</v>
      </c>
      <c r="L432" s="151" t="s">
        <v>9020</v>
      </c>
    </row>
    <row r="433" spans="1:12" x14ac:dyDescent="0.25">
      <c r="A433" s="151" t="s">
        <v>2556</v>
      </c>
      <c r="B433" s="151" t="s">
        <v>2997</v>
      </c>
      <c r="C433" s="151" t="s">
        <v>3483</v>
      </c>
      <c r="D433" s="151">
        <f t="shared" si="18"/>
        <v>0</v>
      </c>
      <c r="E433" s="151" t="str">
        <f t="shared" si="19"/>
        <v>GC-04314</v>
      </c>
      <c r="F433" s="151">
        <f>+IF(AND(C433*1&gt;=200,E433="GC-04314"),IF(D433=0,MAX(F$2:F432)+1,0),0)</f>
        <v>328</v>
      </c>
      <c r="H433" s="151" t="s">
        <v>6308</v>
      </c>
      <c r="I433" s="151" t="s">
        <v>6962</v>
      </c>
      <c r="J433" s="151" t="s">
        <v>6962</v>
      </c>
      <c r="K433" s="151">
        <f t="shared" si="20"/>
        <v>0</v>
      </c>
      <c r="L433" s="151" t="s">
        <v>9020</v>
      </c>
    </row>
    <row r="434" spans="1:12" x14ac:dyDescent="0.25">
      <c r="A434" s="151" t="s">
        <v>2557</v>
      </c>
      <c r="B434" s="151" t="s">
        <v>2997</v>
      </c>
      <c r="C434" s="151" t="s">
        <v>3484</v>
      </c>
      <c r="D434" s="151">
        <f t="shared" si="18"/>
        <v>0</v>
      </c>
      <c r="E434" s="151" t="str">
        <f t="shared" si="19"/>
        <v>GC-04314</v>
      </c>
      <c r="F434" s="151">
        <f>+IF(AND(C434*1&gt;=200,E434="GC-04314"),IF(D434=0,MAX(F$2:F433)+1,0),0)</f>
        <v>329</v>
      </c>
      <c r="H434" s="151" t="s">
        <v>6309</v>
      </c>
      <c r="I434" s="151" t="s">
        <v>6962</v>
      </c>
      <c r="J434" s="151" t="s">
        <v>6962</v>
      </c>
      <c r="K434" s="151">
        <f t="shared" si="20"/>
        <v>0</v>
      </c>
      <c r="L434" s="151" t="s">
        <v>9020</v>
      </c>
    </row>
    <row r="435" spans="1:12" x14ac:dyDescent="0.25">
      <c r="A435" s="151" t="s">
        <v>2558</v>
      </c>
      <c r="B435" s="151" t="s">
        <v>2997</v>
      </c>
      <c r="C435" s="151" t="s">
        <v>3485</v>
      </c>
      <c r="D435" s="151">
        <f t="shared" si="18"/>
        <v>0</v>
      </c>
      <c r="E435" s="151" t="str">
        <f t="shared" si="19"/>
        <v>GC-04314</v>
      </c>
      <c r="F435" s="151">
        <f>+IF(AND(C435*1&gt;=200,E435="GC-04314"),IF(D435=0,MAX(F$2:F434)+1,0),0)</f>
        <v>330</v>
      </c>
      <c r="H435" s="151" t="s">
        <v>6310</v>
      </c>
      <c r="I435" s="151" t="s">
        <v>6962</v>
      </c>
      <c r="J435" s="151" t="s">
        <v>6962</v>
      </c>
      <c r="K435" s="151">
        <f t="shared" si="20"/>
        <v>0</v>
      </c>
      <c r="L435" s="151" t="s">
        <v>9020</v>
      </c>
    </row>
    <row r="436" spans="1:12" x14ac:dyDescent="0.25">
      <c r="A436" s="151" t="s">
        <v>2559</v>
      </c>
      <c r="B436" s="151" t="s">
        <v>2997</v>
      </c>
      <c r="C436" s="151" t="s">
        <v>3486</v>
      </c>
      <c r="D436" s="151">
        <f t="shared" si="18"/>
        <v>0</v>
      </c>
      <c r="E436" s="151" t="str">
        <f t="shared" si="19"/>
        <v>GC-04314</v>
      </c>
      <c r="F436" s="151">
        <f>+IF(AND(C436*1&gt;=200,E436="GC-04314"),IF(D436=0,MAX(F$2:F435)+1,0),0)</f>
        <v>331</v>
      </c>
      <c r="H436" s="151" t="s">
        <v>6311</v>
      </c>
      <c r="I436" s="151" t="s">
        <v>6962</v>
      </c>
      <c r="J436" s="151" t="s">
        <v>6962</v>
      </c>
      <c r="K436" s="151">
        <f t="shared" si="20"/>
        <v>0</v>
      </c>
      <c r="L436" s="151" t="s">
        <v>9020</v>
      </c>
    </row>
    <row r="437" spans="1:12" x14ac:dyDescent="0.25">
      <c r="A437" s="151" t="s">
        <v>2560</v>
      </c>
      <c r="B437" s="151" t="s">
        <v>2997</v>
      </c>
      <c r="C437" s="151" t="s">
        <v>3487</v>
      </c>
      <c r="D437" s="151">
        <f t="shared" si="18"/>
        <v>0</v>
      </c>
      <c r="E437" s="151" t="str">
        <f t="shared" si="19"/>
        <v>GC-04314</v>
      </c>
      <c r="F437" s="151">
        <f>+IF(AND(C437*1&gt;=200,E437="GC-04314"),IF(D437=0,MAX(F$2:F436)+1,0),0)</f>
        <v>332</v>
      </c>
      <c r="H437" s="151" t="s">
        <v>6312</v>
      </c>
      <c r="I437" s="151" t="s">
        <v>6962</v>
      </c>
      <c r="J437" s="151" t="s">
        <v>6962</v>
      </c>
      <c r="K437" s="151">
        <f t="shared" si="20"/>
        <v>0</v>
      </c>
      <c r="L437" s="151" t="s">
        <v>9020</v>
      </c>
    </row>
    <row r="438" spans="1:12" x14ac:dyDescent="0.25">
      <c r="A438" s="151" t="s">
        <v>2561</v>
      </c>
      <c r="B438" s="151" t="s">
        <v>2997</v>
      </c>
      <c r="C438" s="151" t="s">
        <v>3488</v>
      </c>
      <c r="D438" s="151">
        <f t="shared" si="18"/>
        <v>0</v>
      </c>
      <c r="E438" s="151" t="str">
        <f t="shared" si="19"/>
        <v>GC-04314</v>
      </c>
      <c r="F438" s="151">
        <f>+IF(AND(C438*1&gt;=200,E438="GC-04314"),IF(D438=0,MAX(F$2:F437)+1,0),0)</f>
        <v>333</v>
      </c>
      <c r="H438" s="151" t="s">
        <v>6313</v>
      </c>
      <c r="I438" s="151" t="s">
        <v>6962</v>
      </c>
      <c r="J438" s="151" t="s">
        <v>6962</v>
      </c>
      <c r="K438" s="151">
        <f t="shared" si="20"/>
        <v>0</v>
      </c>
      <c r="L438" s="151" t="s">
        <v>9020</v>
      </c>
    </row>
    <row r="439" spans="1:12" x14ac:dyDescent="0.25">
      <c r="A439" s="151" t="s">
        <v>2562</v>
      </c>
      <c r="B439" s="151" t="s">
        <v>2997</v>
      </c>
      <c r="C439" s="151" t="s">
        <v>3489</v>
      </c>
      <c r="D439" s="151">
        <f t="shared" si="18"/>
        <v>0</v>
      </c>
      <c r="E439" s="151" t="str">
        <f t="shared" si="19"/>
        <v>GC-04314</v>
      </c>
      <c r="F439" s="151">
        <f>+IF(AND(C439*1&gt;=200,E439="GC-04314"),IF(D439=0,MAX(F$2:F438)+1,0),0)</f>
        <v>334</v>
      </c>
      <c r="H439" s="151" t="s">
        <v>6314</v>
      </c>
      <c r="I439" s="151" t="s">
        <v>6962</v>
      </c>
      <c r="J439" s="151" t="s">
        <v>6962</v>
      </c>
      <c r="K439" s="151">
        <f t="shared" si="20"/>
        <v>0</v>
      </c>
      <c r="L439" s="151" t="s">
        <v>9020</v>
      </c>
    </row>
    <row r="440" spans="1:12" x14ac:dyDescent="0.25">
      <c r="A440" s="151" t="s">
        <v>2563</v>
      </c>
      <c r="B440" s="151" t="s">
        <v>2997</v>
      </c>
      <c r="C440" s="151" t="s">
        <v>3490</v>
      </c>
      <c r="D440" s="151">
        <f t="shared" si="18"/>
        <v>0</v>
      </c>
      <c r="E440" s="151" t="str">
        <f t="shared" si="19"/>
        <v>GC-04314</v>
      </c>
      <c r="F440" s="151">
        <f>+IF(AND(C440*1&gt;=200,E440="GC-04314"),IF(D440=0,MAX(F$2:F439)+1,0),0)</f>
        <v>335</v>
      </c>
      <c r="H440" s="151" t="s">
        <v>6315</v>
      </c>
      <c r="I440" s="151" t="s">
        <v>6962</v>
      </c>
      <c r="J440" s="151" t="s">
        <v>6962</v>
      </c>
      <c r="K440" s="151">
        <f t="shared" si="20"/>
        <v>0</v>
      </c>
      <c r="L440" s="151" t="s">
        <v>9020</v>
      </c>
    </row>
    <row r="441" spans="1:12" x14ac:dyDescent="0.25">
      <c r="A441" s="151" t="s">
        <v>2564</v>
      </c>
      <c r="B441" s="151" t="s">
        <v>2997</v>
      </c>
      <c r="C441" s="151" t="s">
        <v>3491</v>
      </c>
      <c r="D441" s="151">
        <f t="shared" si="18"/>
        <v>0</v>
      </c>
      <c r="E441" s="151" t="str">
        <f t="shared" si="19"/>
        <v>GC-04314</v>
      </c>
      <c r="F441" s="151">
        <f>+IF(AND(C441*1&gt;=200,E441="GC-04314"),IF(D441=0,MAX(F$2:F440)+1,0),0)</f>
        <v>336</v>
      </c>
      <c r="H441" s="151" t="s">
        <v>6316</v>
      </c>
      <c r="I441" s="151" t="s">
        <v>6962</v>
      </c>
      <c r="J441" s="151" t="s">
        <v>6962</v>
      </c>
      <c r="K441" s="151">
        <f t="shared" si="20"/>
        <v>0</v>
      </c>
      <c r="L441" s="151" t="s">
        <v>9020</v>
      </c>
    </row>
    <row r="442" spans="1:12" x14ac:dyDescent="0.25">
      <c r="A442" s="151" t="s">
        <v>2565</v>
      </c>
      <c r="B442" s="151" t="s">
        <v>2997</v>
      </c>
      <c r="C442" s="151" t="s">
        <v>3492</v>
      </c>
      <c r="D442" s="151">
        <f t="shared" si="18"/>
        <v>0</v>
      </c>
      <c r="E442" s="151" t="str">
        <f t="shared" si="19"/>
        <v>GC-04314</v>
      </c>
      <c r="F442" s="151">
        <f>+IF(AND(C442*1&gt;=200,E442="GC-04314"),IF(D442=0,MAX(F$2:F441)+1,0),0)</f>
        <v>337</v>
      </c>
      <c r="H442" s="151" t="s">
        <v>6317</v>
      </c>
      <c r="I442" s="151" t="s">
        <v>6962</v>
      </c>
      <c r="J442" s="151" t="s">
        <v>6962</v>
      </c>
      <c r="K442" s="151">
        <f t="shared" si="20"/>
        <v>0</v>
      </c>
      <c r="L442" s="151" t="s">
        <v>9020</v>
      </c>
    </row>
    <row r="443" spans="1:12" x14ac:dyDescent="0.25">
      <c r="A443" s="151" t="s">
        <v>2566</v>
      </c>
      <c r="B443" s="151" t="s">
        <v>2997</v>
      </c>
      <c r="C443" s="151" t="s">
        <v>3493</v>
      </c>
      <c r="D443" s="151">
        <f t="shared" si="18"/>
        <v>0</v>
      </c>
      <c r="E443" s="151" t="str">
        <f t="shared" si="19"/>
        <v>GC-04314</v>
      </c>
      <c r="F443" s="151">
        <f>+IF(AND(C443*1&gt;=200,E443="GC-04314"),IF(D443=0,MAX(F$2:F442)+1,0),0)</f>
        <v>338</v>
      </c>
      <c r="H443" s="151" t="s">
        <v>6318</v>
      </c>
      <c r="I443" s="151" t="s">
        <v>6962</v>
      </c>
      <c r="J443" s="151" t="s">
        <v>6962</v>
      </c>
      <c r="K443" s="151">
        <f t="shared" si="20"/>
        <v>0</v>
      </c>
      <c r="L443" s="151" t="s">
        <v>9020</v>
      </c>
    </row>
    <row r="444" spans="1:12" x14ac:dyDescent="0.25">
      <c r="A444" s="151" t="s">
        <v>2567</v>
      </c>
      <c r="B444" s="151" t="s">
        <v>2997</v>
      </c>
      <c r="C444" s="151" t="s">
        <v>3494</v>
      </c>
      <c r="D444" s="151">
        <f t="shared" si="18"/>
        <v>0</v>
      </c>
      <c r="E444" s="151" t="str">
        <f t="shared" si="19"/>
        <v>GC-04314</v>
      </c>
      <c r="F444" s="151">
        <f>+IF(AND(C444*1&gt;=200,E444="GC-04314"),IF(D444=0,MAX(F$2:F443)+1,0),0)</f>
        <v>339</v>
      </c>
      <c r="H444" s="151" t="s">
        <v>6319</v>
      </c>
      <c r="I444" s="151" t="s">
        <v>6962</v>
      </c>
      <c r="J444" s="151" t="s">
        <v>6962</v>
      </c>
      <c r="K444" s="151">
        <f t="shared" si="20"/>
        <v>0</v>
      </c>
      <c r="L444" s="151" t="s">
        <v>9020</v>
      </c>
    </row>
    <row r="445" spans="1:12" x14ac:dyDescent="0.25">
      <c r="A445" s="151" t="s">
        <v>2568</v>
      </c>
      <c r="B445" s="151" t="s">
        <v>2997</v>
      </c>
      <c r="C445" s="151" t="s">
        <v>3495</v>
      </c>
      <c r="D445" s="151">
        <f t="shared" si="18"/>
        <v>0</v>
      </c>
      <c r="E445" s="151" t="str">
        <f t="shared" si="19"/>
        <v>GC-04314</v>
      </c>
      <c r="F445" s="151">
        <f>+IF(AND(C445*1&gt;=200,E445="GC-04314"),IF(D445=0,MAX(F$2:F444)+1,0),0)</f>
        <v>340</v>
      </c>
      <c r="H445" s="151" t="s">
        <v>6320</v>
      </c>
      <c r="I445" s="151" t="s">
        <v>6962</v>
      </c>
      <c r="J445" s="151" t="s">
        <v>6962</v>
      </c>
      <c r="K445" s="151">
        <f t="shared" si="20"/>
        <v>0</v>
      </c>
      <c r="L445" s="151" t="s">
        <v>9020</v>
      </c>
    </row>
    <row r="446" spans="1:12" x14ac:dyDescent="0.25">
      <c r="A446" s="151" t="s">
        <v>2569</v>
      </c>
      <c r="B446" s="151" t="s">
        <v>2997</v>
      </c>
      <c r="C446" s="151" t="s">
        <v>3496</v>
      </c>
      <c r="D446" s="151">
        <f t="shared" si="18"/>
        <v>0</v>
      </c>
      <c r="E446" s="151" t="str">
        <f t="shared" si="19"/>
        <v>GC-04314</v>
      </c>
      <c r="F446" s="151">
        <f>+IF(AND(C446*1&gt;=200,E446="GC-04314"),IF(D446=0,MAX(F$2:F445)+1,0),0)</f>
        <v>341</v>
      </c>
      <c r="H446" s="151" t="s">
        <v>6321</v>
      </c>
      <c r="I446" s="151" t="s">
        <v>6962</v>
      </c>
      <c r="J446" s="151" t="s">
        <v>6962</v>
      </c>
      <c r="K446" s="151">
        <f t="shared" si="20"/>
        <v>0</v>
      </c>
      <c r="L446" s="151" t="s">
        <v>9020</v>
      </c>
    </row>
    <row r="447" spans="1:12" x14ac:dyDescent="0.25">
      <c r="A447" s="151" t="s">
        <v>2570</v>
      </c>
      <c r="B447" s="151" t="s">
        <v>2997</v>
      </c>
      <c r="C447" s="151" t="s">
        <v>3497</v>
      </c>
      <c r="D447" s="151">
        <f t="shared" si="18"/>
        <v>0</v>
      </c>
      <c r="E447" s="151" t="str">
        <f t="shared" si="19"/>
        <v>GC-04314</v>
      </c>
      <c r="F447" s="151">
        <f>+IF(AND(C447*1&gt;=200,E447="GC-04314"),IF(D447=0,MAX(F$2:F446)+1,0),0)</f>
        <v>342</v>
      </c>
      <c r="H447" s="151" t="s">
        <v>6322</v>
      </c>
      <c r="I447" s="151" t="s">
        <v>6962</v>
      </c>
      <c r="J447" s="151" t="s">
        <v>6962</v>
      </c>
      <c r="K447" s="151">
        <f t="shared" si="20"/>
        <v>0</v>
      </c>
      <c r="L447" s="151" t="s">
        <v>9020</v>
      </c>
    </row>
    <row r="448" spans="1:12" x14ac:dyDescent="0.25">
      <c r="A448" s="151" t="s">
        <v>2571</v>
      </c>
      <c r="B448" s="151" t="s">
        <v>2997</v>
      </c>
      <c r="C448" s="151" t="s">
        <v>3498</v>
      </c>
      <c r="D448" s="151">
        <f t="shared" si="18"/>
        <v>0</v>
      </c>
      <c r="E448" s="151" t="str">
        <f t="shared" si="19"/>
        <v>GC-04314</v>
      </c>
      <c r="F448" s="151">
        <f>+IF(AND(C448*1&gt;=200,E448="GC-04314"),IF(D448=0,MAX(F$2:F447)+1,0),0)</f>
        <v>343</v>
      </c>
      <c r="H448" s="151" t="s">
        <v>6323</v>
      </c>
      <c r="I448" s="151" t="s">
        <v>6962</v>
      </c>
      <c r="J448" s="151" t="s">
        <v>6962</v>
      </c>
      <c r="K448" s="151">
        <f t="shared" si="20"/>
        <v>0</v>
      </c>
      <c r="L448" s="151" t="s">
        <v>9020</v>
      </c>
    </row>
    <row r="449" spans="1:12" x14ac:dyDescent="0.25">
      <c r="A449" s="151" t="s">
        <v>2572</v>
      </c>
      <c r="B449" s="151" t="s">
        <v>2997</v>
      </c>
      <c r="C449" s="151" t="s">
        <v>3499</v>
      </c>
      <c r="D449" s="151">
        <f t="shared" si="18"/>
        <v>0</v>
      </c>
      <c r="E449" s="151" t="str">
        <f t="shared" si="19"/>
        <v>GC-04314</v>
      </c>
      <c r="F449" s="151">
        <f>+IF(AND(C449*1&gt;=200,E449="GC-04314"),IF(D449=0,MAX(F$2:F448)+1,0),0)</f>
        <v>344</v>
      </c>
      <c r="H449" s="151" t="s">
        <v>6324</v>
      </c>
      <c r="I449" s="151" t="s">
        <v>6962</v>
      </c>
      <c r="J449" s="151" t="s">
        <v>6962</v>
      </c>
      <c r="K449" s="151">
        <f t="shared" si="20"/>
        <v>0</v>
      </c>
      <c r="L449" s="151" t="s">
        <v>9020</v>
      </c>
    </row>
    <row r="450" spans="1:12" x14ac:dyDescent="0.25">
      <c r="A450" s="151" t="s">
        <v>2573</v>
      </c>
      <c r="B450" s="151" t="s">
        <v>2997</v>
      </c>
      <c r="C450" s="151" t="s">
        <v>3500</v>
      </c>
      <c r="D450" s="151">
        <f t="shared" ref="D450:D513" si="21">+SUMIFS(K:K,H:H,A450)</f>
        <v>0</v>
      </c>
      <c r="E450" s="151" t="str">
        <f t="shared" ref="E450:E513" si="22">+IF(D450=0,VLOOKUP(A450,$H:$L,5,FALSE),"")</f>
        <v>GC-04314</v>
      </c>
      <c r="F450" s="151">
        <f>+IF(AND(C450*1&gt;=200,E450="GC-04314"),IF(D450=0,MAX(F$2:F449)+1,0),0)</f>
        <v>345</v>
      </c>
      <c r="H450" s="151" t="s">
        <v>6325</v>
      </c>
      <c r="I450" s="151" t="s">
        <v>6962</v>
      </c>
      <c r="J450" s="151" t="s">
        <v>6962</v>
      </c>
      <c r="K450" s="151">
        <f t="shared" si="20"/>
        <v>0</v>
      </c>
      <c r="L450" s="151" t="s">
        <v>9020</v>
      </c>
    </row>
    <row r="451" spans="1:12" x14ac:dyDescent="0.25">
      <c r="A451" s="151" t="s">
        <v>2574</v>
      </c>
      <c r="B451" s="151" t="s">
        <v>2997</v>
      </c>
      <c r="C451" s="151" t="s">
        <v>3501</v>
      </c>
      <c r="D451" s="151">
        <f t="shared" si="21"/>
        <v>0</v>
      </c>
      <c r="E451" s="151" t="str">
        <f t="shared" si="22"/>
        <v>GC-04314</v>
      </c>
      <c r="F451" s="151">
        <f>+IF(AND(C451*1&gt;=200,E451="GC-04314"),IF(D451=0,MAX(F$2:F450)+1,0),0)</f>
        <v>346</v>
      </c>
      <c r="H451" s="151" t="s">
        <v>6326</v>
      </c>
      <c r="I451" s="151" t="s">
        <v>6962</v>
      </c>
      <c r="J451" s="151" t="s">
        <v>6962</v>
      </c>
      <c r="K451" s="151">
        <f t="shared" ref="K451:K514" si="23">+IFERROR(J451*1,0)</f>
        <v>0</v>
      </c>
      <c r="L451" s="151" t="s">
        <v>9020</v>
      </c>
    </row>
    <row r="452" spans="1:12" x14ac:dyDescent="0.25">
      <c r="A452" s="151" t="s">
        <v>2575</v>
      </c>
      <c r="B452" s="151" t="s">
        <v>2997</v>
      </c>
      <c r="C452" s="151" t="s">
        <v>3502</v>
      </c>
      <c r="D452" s="151">
        <f t="shared" si="21"/>
        <v>0</v>
      </c>
      <c r="E452" s="151" t="str">
        <f t="shared" si="22"/>
        <v>GC-04314</v>
      </c>
      <c r="F452" s="151">
        <f>+IF(AND(C452*1&gt;=200,E452="GC-04314"),IF(D452=0,MAX(F$2:F451)+1,0),0)</f>
        <v>347</v>
      </c>
      <c r="H452" s="151" t="s">
        <v>6327</v>
      </c>
      <c r="I452" s="151" t="s">
        <v>6962</v>
      </c>
      <c r="J452" s="151" t="s">
        <v>6962</v>
      </c>
      <c r="K452" s="151">
        <f t="shared" si="23"/>
        <v>0</v>
      </c>
      <c r="L452" s="151" t="s">
        <v>9020</v>
      </c>
    </row>
    <row r="453" spans="1:12" x14ac:dyDescent="0.25">
      <c r="A453" s="151" t="s">
        <v>2576</v>
      </c>
      <c r="B453" s="151" t="s">
        <v>2997</v>
      </c>
      <c r="C453" s="151" t="s">
        <v>3503</v>
      </c>
      <c r="D453" s="151">
        <f t="shared" si="21"/>
        <v>0</v>
      </c>
      <c r="E453" s="151" t="str">
        <f t="shared" si="22"/>
        <v>GC-04314</v>
      </c>
      <c r="F453" s="151">
        <f>+IF(AND(C453*1&gt;=200,E453="GC-04314"),IF(D453=0,MAX(F$2:F452)+1,0),0)</f>
        <v>348</v>
      </c>
      <c r="H453" s="151" t="s">
        <v>6328</v>
      </c>
      <c r="I453" s="151" t="s">
        <v>6962</v>
      </c>
      <c r="J453" s="151" t="s">
        <v>6962</v>
      </c>
      <c r="K453" s="151">
        <f t="shared" si="23"/>
        <v>0</v>
      </c>
      <c r="L453" s="151" t="s">
        <v>9020</v>
      </c>
    </row>
    <row r="454" spans="1:12" x14ac:dyDescent="0.25">
      <c r="A454" s="151" t="s">
        <v>2577</v>
      </c>
      <c r="B454" s="151" t="s">
        <v>2997</v>
      </c>
      <c r="C454" s="151" t="s">
        <v>3504</v>
      </c>
      <c r="D454" s="151">
        <f t="shared" si="21"/>
        <v>0</v>
      </c>
      <c r="E454" s="151" t="str">
        <f t="shared" si="22"/>
        <v>GC-04314</v>
      </c>
      <c r="F454" s="151">
        <f>+IF(AND(C454*1&gt;=200,E454="GC-04314"),IF(D454=0,MAX(F$2:F453)+1,0),0)</f>
        <v>349</v>
      </c>
      <c r="H454" s="151" t="s">
        <v>6329</v>
      </c>
      <c r="I454" s="151" t="s">
        <v>6962</v>
      </c>
      <c r="J454" s="151" t="s">
        <v>6962</v>
      </c>
      <c r="K454" s="151">
        <f t="shared" si="23"/>
        <v>0</v>
      </c>
      <c r="L454" s="151" t="s">
        <v>9020</v>
      </c>
    </row>
    <row r="455" spans="1:12" x14ac:dyDescent="0.25">
      <c r="A455" s="151" t="s">
        <v>2578</v>
      </c>
      <c r="B455" s="151" t="s">
        <v>2997</v>
      </c>
      <c r="C455" s="151" t="s">
        <v>3505</v>
      </c>
      <c r="D455" s="151">
        <f t="shared" si="21"/>
        <v>0</v>
      </c>
      <c r="E455" s="151" t="str">
        <f t="shared" si="22"/>
        <v>GC-04314</v>
      </c>
      <c r="F455" s="151">
        <f>+IF(AND(C455*1&gt;=200,E455="GC-04314"),IF(D455=0,MAX(F$2:F454)+1,0),0)</f>
        <v>350</v>
      </c>
      <c r="H455" s="151" t="s">
        <v>6330</v>
      </c>
      <c r="I455" s="151" t="s">
        <v>6962</v>
      </c>
      <c r="J455" s="151" t="s">
        <v>6962</v>
      </c>
      <c r="K455" s="151">
        <f t="shared" si="23"/>
        <v>0</v>
      </c>
      <c r="L455" s="151" t="s">
        <v>9020</v>
      </c>
    </row>
    <row r="456" spans="1:12" x14ac:dyDescent="0.25">
      <c r="A456" s="151" t="s">
        <v>2579</v>
      </c>
      <c r="B456" s="151" t="s">
        <v>2997</v>
      </c>
      <c r="C456" s="151" t="s">
        <v>3506</v>
      </c>
      <c r="D456" s="151">
        <f t="shared" si="21"/>
        <v>0</v>
      </c>
      <c r="E456" s="151" t="str">
        <f t="shared" si="22"/>
        <v>GC-04314</v>
      </c>
      <c r="F456" s="151">
        <f>+IF(AND(C456*1&gt;=200,E456="GC-04314"),IF(D456=0,MAX(F$2:F455)+1,0),0)</f>
        <v>351</v>
      </c>
      <c r="H456" s="151" t="s">
        <v>6331</v>
      </c>
      <c r="I456" s="151" t="s">
        <v>6962</v>
      </c>
      <c r="J456" s="151" t="s">
        <v>6962</v>
      </c>
      <c r="K456" s="151">
        <f t="shared" si="23"/>
        <v>0</v>
      </c>
      <c r="L456" s="151" t="s">
        <v>9020</v>
      </c>
    </row>
    <row r="457" spans="1:12" x14ac:dyDescent="0.25">
      <c r="A457" s="151" t="s">
        <v>2580</v>
      </c>
      <c r="B457" s="151" t="s">
        <v>2997</v>
      </c>
      <c r="C457" s="151" t="s">
        <v>3507</v>
      </c>
      <c r="D457" s="151">
        <f t="shared" si="21"/>
        <v>0</v>
      </c>
      <c r="E457" s="151" t="str">
        <f t="shared" si="22"/>
        <v>GC-04314</v>
      </c>
      <c r="F457" s="151">
        <f>+IF(AND(C457*1&gt;=200,E457="GC-04314"),IF(D457=0,MAX(F$2:F456)+1,0),0)</f>
        <v>352</v>
      </c>
      <c r="H457" s="151" t="s">
        <v>6332</v>
      </c>
      <c r="I457" s="151" t="s">
        <v>6962</v>
      </c>
      <c r="J457" s="151" t="s">
        <v>6962</v>
      </c>
      <c r="K457" s="151">
        <f t="shared" si="23"/>
        <v>0</v>
      </c>
      <c r="L457" s="151" t="s">
        <v>9020</v>
      </c>
    </row>
    <row r="458" spans="1:12" x14ac:dyDescent="0.25">
      <c r="A458" s="151" t="s">
        <v>2581</v>
      </c>
      <c r="B458" s="151" t="s">
        <v>2997</v>
      </c>
      <c r="C458" s="151" t="s">
        <v>3508</v>
      </c>
      <c r="D458" s="151">
        <f t="shared" si="21"/>
        <v>0</v>
      </c>
      <c r="E458" s="151" t="str">
        <f t="shared" si="22"/>
        <v>GC-04314</v>
      </c>
      <c r="F458" s="151">
        <f>+IF(AND(C458*1&gt;=200,E458="GC-04314"),IF(D458=0,MAX(F$2:F457)+1,0),0)</f>
        <v>353</v>
      </c>
      <c r="H458" s="151" t="s">
        <v>6333</v>
      </c>
      <c r="I458" s="151" t="s">
        <v>6962</v>
      </c>
      <c r="J458" s="151" t="s">
        <v>6962</v>
      </c>
      <c r="K458" s="151">
        <f t="shared" si="23"/>
        <v>0</v>
      </c>
      <c r="L458" s="151" t="s">
        <v>9020</v>
      </c>
    </row>
    <row r="459" spans="1:12" x14ac:dyDescent="0.25">
      <c r="A459" s="151" t="s">
        <v>2582</v>
      </c>
      <c r="B459" s="151" t="s">
        <v>2997</v>
      </c>
      <c r="C459" s="151" t="s">
        <v>3509</v>
      </c>
      <c r="D459" s="151">
        <f t="shared" si="21"/>
        <v>0</v>
      </c>
      <c r="E459" s="151" t="str">
        <f t="shared" si="22"/>
        <v>GC-04314</v>
      </c>
      <c r="F459" s="151">
        <f>+IF(AND(C459*1&gt;=200,E459="GC-04314"),IF(D459=0,MAX(F$2:F458)+1,0),0)</f>
        <v>354</v>
      </c>
      <c r="H459" s="151" t="s">
        <v>6334</v>
      </c>
      <c r="I459" s="151" t="s">
        <v>6962</v>
      </c>
      <c r="J459" s="151" t="s">
        <v>6962</v>
      </c>
      <c r="K459" s="151">
        <f t="shared" si="23"/>
        <v>0</v>
      </c>
      <c r="L459" s="151" t="s">
        <v>9020</v>
      </c>
    </row>
    <row r="460" spans="1:12" x14ac:dyDescent="0.25">
      <c r="A460" s="151" t="s">
        <v>2583</v>
      </c>
      <c r="B460" s="151" t="s">
        <v>2997</v>
      </c>
      <c r="C460" s="151" t="s">
        <v>3510</v>
      </c>
      <c r="D460" s="151">
        <f t="shared" si="21"/>
        <v>0</v>
      </c>
      <c r="E460" s="151" t="str">
        <f t="shared" si="22"/>
        <v>GC-04314</v>
      </c>
      <c r="F460" s="151">
        <f>+IF(AND(C460*1&gt;=200,E460="GC-04314"),IF(D460=0,MAX(F$2:F459)+1,0),0)</f>
        <v>355</v>
      </c>
      <c r="H460" s="151" t="s">
        <v>6335</v>
      </c>
      <c r="I460" s="151" t="s">
        <v>6962</v>
      </c>
      <c r="J460" s="151" t="s">
        <v>6962</v>
      </c>
      <c r="K460" s="151">
        <f t="shared" si="23"/>
        <v>0</v>
      </c>
      <c r="L460" s="151" t="s">
        <v>9020</v>
      </c>
    </row>
    <row r="461" spans="1:12" x14ac:dyDescent="0.25">
      <c r="A461" s="151" t="s">
        <v>2584</v>
      </c>
      <c r="B461" s="151" t="s">
        <v>2997</v>
      </c>
      <c r="C461" s="151" t="s">
        <v>3511</v>
      </c>
      <c r="D461" s="151">
        <f t="shared" si="21"/>
        <v>0</v>
      </c>
      <c r="E461" s="151" t="str">
        <f t="shared" si="22"/>
        <v>GC-04314</v>
      </c>
      <c r="F461" s="151">
        <f>+IF(AND(C461*1&gt;=200,E461="GC-04314"),IF(D461=0,MAX(F$2:F460)+1,0),0)</f>
        <v>356</v>
      </c>
      <c r="H461" s="151" t="s">
        <v>6336</v>
      </c>
      <c r="I461" s="151" t="s">
        <v>6962</v>
      </c>
      <c r="J461" s="151" t="s">
        <v>6962</v>
      </c>
      <c r="K461" s="151">
        <f t="shared" si="23"/>
        <v>0</v>
      </c>
      <c r="L461" s="151" t="s">
        <v>9020</v>
      </c>
    </row>
    <row r="462" spans="1:12" x14ac:dyDescent="0.25">
      <c r="A462" s="151" t="s">
        <v>2585</v>
      </c>
      <c r="B462" s="151" t="s">
        <v>2997</v>
      </c>
      <c r="C462" s="151" t="s">
        <v>3512</v>
      </c>
      <c r="D462" s="151">
        <f t="shared" si="21"/>
        <v>0</v>
      </c>
      <c r="E462" s="151" t="str">
        <f t="shared" si="22"/>
        <v>GC-04314</v>
      </c>
      <c r="F462" s="151">
        <f>+IF(AND(C462*1&gt;=200,E462="GC-04314"),IF(D462=0,MAX(F$2:F461)+1,0),0)</f>
        <v>357</v>
      </c>
      <c r="H462" s="151" t="s">
        <v>6337</v>
      </c>
      <c r="I462" s="151" t="s">
        <v>6962</v>
      </c>
      <c r="J462" s="151" t="s">
        <v>6962</v>
      </c>
      <c r="K462" s="151">
        <f t="shared" si="23"/>
        <v>0</v>
      </c>
      <c r="L462" s="151" t="s">
        <v>9020</v>
      </c>
    </row>
    <row r="463" spans="1:12" x14ac:dyDescent="0.25">
      <c r="A463" s="151" t="s">
        <v>2586</v>
      </c>
      <c r="B463" s="151" t="s">
        <v>2997</v>
      </c>
      <c r="C463" s="151" t="s">
        <v>3513</v>
      </c>
      <c r="D463" s="151">
        <f t="shared" si="21"/>
        <v>0</v>
      </c>
      <c r="E463" s="151" t="str">
        <f t="shared" si="22"/>
        <v>GC-04314</v>
      </c>
      <c r="F463" s="151">
        <f>+IF(AND(C463*1&gt;=200,E463="GC-04314"),IF(D463=0,MAX(F$2:F462)+1,0),0)</f>
        <v>358</v>
      </c>
      <c r="H463" s="151" t="s">
        <v>6338</v>
      </c>
      <c r="I463" s="151" t="s">
        <v>6962</v>
      </c>
      <c r="J463" s="151" t="s">
        <v>6962</v>
      </c>
      <c r="K463" s="151">
        <f t="shared" si="23"/>
        <v>0</v>
      </c>
      <c r="L463" s="151" t="s">
        <v>9020</v>
      </c>
    </row>
    <row r="464" spans="1:12" x14ac:dyDescent="0.25">
      <c r="A464" s="151" t="s">
        <v>2587</v>
      </c>
      <c r="B464" s="151" t="s">
        <v>2997</v>
      </c>
      <c r="C464" s="151" t="s">
        <v>3514</v>
      </c>
      <c r="D464" s="151">
        <f t="shared" si="21"/>
        <v>0</v>
      </c>
      <c r="E464" s="151" t="str">
        <f t="shared" si="22"/>
        <v>GC-04314</v>
      </c>
      <c r="F464" s="151">
        <f>+IF(AND(C464*1&gt;=200,E464="GC-04314"),IF(D464=0,MAX(F$2:F463)+1,0),0)</f>
        <v>359</v>
      </c>
      <c r="H464" s="151" t="s">
        <v>6339</v>
      </c>
      <c r="I464" s="151" t="s">
        <v>6962</v>
      </c>
      <c r="J464" s="151" t="s">
        <v>6962</v>
      </c>
      <c r="K464" s="151">
        <f t="shared" si="23"/>
        <v>0</v>
      </c>
      <c r="L464" s="151" t="s">
        <v>9020</v>
      </c>
    </row>
    <row r="465" spans="1:12" x14ac:dyDescent="0.25">
      <c r="A465" s="151" t="s">
        <v>2588</v>
      </c>
      <c r="B465" s="151" t="s">
        <v>2997</v>
      </c>
      <c r="C465" s="151" t="s">
        <v>3515</v>
      </c>
      <c r="D465" s="151">
        <f t="shared" si="21"/>
        <v>0</v>
      </c>
      <c r="E465" s="151" t="str">
        <f t="shared" si="22"/>
        <v>GC-04314</v>
      </c>
      <c r="F465" s="151">
        <f>+IF(AND(C465*1&gt;=200,E465="GC-04314"),IF(D465=0,MAX(F$2:F464)+1,0),0)</f>
        <v>360</v>
      </c>
      <c r="H465" s="151" t="s">
        <v>6340</v>
      </c>
      <c r="I465" s="151" t="s">
        <v>6962</v>
      </c>
      <c r="J465" s="151" t="s">
        <v>6962</v>
      </c>
      <c r="K465" s="151">
        <f t="shared" si="23"/>
        <v>0</v>
      </c>
      <c r="L465" s="151" t="s">
        <v>9020</v>
      </c>
    </row>
    <row r="466" spans="1:12" x14ac:dyDescent="0.25">
      <c r="A466" s="151" t="s">
        <v>2589</v>
      </c>
      <c r="B466" s="151" t="s">
        <v>2997</v>
      </c>
      <c r="C466" s="151" t="s">
        <v>3516</v>
      </c>
      <c r="D466" s="151">
        <f t="shared" si="21"/>
        <v>0</v>
      </c>
      <c r="E466" s="151" t="str">
        <f t="shared" si="22"/>
        <v>GC-04314</v>
      </c>
      <c r="F466" s="151">
        <f>+IF(AND(C466*1&gt;=200,E466="GC-04314"),IF(D466=0,MAX(F$2:F465)+1,0),0)</f>
        <v>361</v>
      </c>
      <c r="H466" s="151" t="s">
        <v>6341</v>
      </c>
      <c r="I466" s="151" t="s">
        <v>6962</v>
      </c>
      <c r="J466" s="151" t="s">
        <v>6962</v>
      </c>
      <c r="K466" s="151">
        <f t="shared" si="23"/>
        <v>0</v>
      </c>
      <c r="L466" s="151" t="s">
        <v>9020</v>
      </c>
    </row>
    <row r="467" spans="1:12" x14ac:dyDescent="0.25">
      <c r="A467" s="151" t="s">
        <v>2590</v>
      </c>
      <c r="B467" s="151" t="s">
        <v>2997</v>
      </c>
      <c r="C467" s="151" t="s">
        <v>3517</v>
      </c>
      <c r="D467" s="151">
        <f t="shared" si="21"/>
        <v>0</v>
      </c>
      <c r="E467" s="151" t="str">
        <f t="shared" si="22"/>
        <v>GC-04314</v>
      </c>
      <c r="F467" s="151">
        <f>+IF(AND(C467*1&gt;=200,E467="GC-04314"),IF(D467=0,MAX(F$2:F466)+1,0),0)</f>
        <v>362</v>
      </c>
      <c r="H467" s="151" t="s">
        <v>6342</v>
      </c>
      <c r="I467" s="151" t="s">
        <v>6962</v>
      </c>
      <c r="J467" s="151" t="s">
        <v>6962</v>
      </c>
      <c r="K467" s="151">
        <f t="shared" si="23"/>
        <v>0</v>
      </c>
      <c r="L467" s="151" t="s">
        <v>9020</v>
      </c>
    </row>
    <row r="468" spans="1:12" x14ac:dyDescent="0.25">
      <c r="A468" s="151" t="s">
        <v>2591</v>
      </c>
      <c r="B468" s="151" t="s">
        <v>2997</v>
      </c>
      <c r="C468" s="151" t="s">
        <v>3518</v>
      </c>
      <c r="D468" s="151">
        <f t="shared" si="21"/>
        <v>0</v>
      </c>
      <c r="E468" s="151" t="str">
        <f t="shared" si="22"/>
        <v>GC-04314</v>
      </c>
      <c r="F468" s="151">
        <f>+IF(AND(C468*1&gt;=200,E468="GC-04314"),IF(D468=0,MAX(F$2:F467)+1,0),0)</f>
        <v>363</v>
      </c>
      <c r="H468" s="151" t="s">
        <v>6343</v>
      </c>
      <c r="I468" s="151" t="s">
        <v>6962</v>
      </c>
      <c r="J468" s="151" t="s">
        <v>6962</v>
      </c>
      <c r="K468" s="151">
        <f t="shared" si="23"/>
        <v>0</v>
      </c>
      <c r="L468" s="151" t="s">
        <v>9020</v>
      </c>
    </row>
    <row r="469" spans="1:12" x14ac:dyDescent="0.25">
      <c r="A469" s="151" t="s">
        <v>2592</v>
      </c>
      <c r="B469" s="151" t="s">
        <v>2997</v>
      </c>
      <c r="C469" s="151" t="s">
        <v>3519</v>
      </c>
      <c r="D469" s="151">
        <f t="shared" si="21"/>
        <v>0</v>
      </c>
      <c r="E469" s="151" t="str">
        <f t="shared" si="22"/>
        <v>GC-04314</v>
      </c>
      <c r="F469" s="151">
        <f>+IF(AND(C469*1&gt;=200,E469="GC-04314"),IF(D469=0,MAX(F$2:F468)+1,0),0)</f>
        <v>364</v>
      </c>
      <c r="H469" s="151" t="s">
        <v>6344</v>
      </c>
      <c r="I469" s="151" t="s">
        <v>6962</v>
      </c>
      <c r="J469" s="151" t="s">
        <v>6962</v>
      </c>
      <c r="K469" s="151">
        <f t="shared" si="23"/>
        <v>0</v>
      </c>
      <c r="L469" s="151" t="s">
        <v>9020</v>
      </c>
    </row>
    <row r="470" spans="1:12" x14ac:dyDescent="0.25">
      <c r="A470" s="151" t="s">
        <v>2593</v>
      </c>
      <c r="B470" s="151" t="s">
        <v>2997</v>
      </c>
      <c r="C470" s="151" t="s">
        <v>3520</v>
      </c>
      <c r="D470" s="151">
        <f t="shared" si="21"/>
        <v>0</v>
      </c>
      <c r="E470" s="151" t="str">
        <f t="shared" si="22"/>
        <v>GC-04314</v>
      </c>
      <c r="F470" s="151">
        <f>+IF(AND(C470*1&gt;=200,E470="GC-04314"),IF(D470=0,MAX(F$2:F469)+1,0),0)</f>
        <v>365</v>
      </c>
      <c r="H470" s="151" t="s">
        <v>6345</v>
      </c>
      <c r="I470" s="151" t="s">
        <v>6962</v>
      </c>
      <c r="J470" s="151" t="s">
        <v>6962</v>
      </c>
      <c r="K470" s="151">
        <f t="shared" si="23"/>
        <v>0</v>
      </c>
      <c r="L470" s="151" t="s">
        <v>9020</v>
      </c>
    </row>
    <row r="471" spans="1:12" x14ac:dyDescent="0.25">
      <c r="A471" s="151" t="s">
        <v>2594</v>
      </c>
      <c r="B471" s="151" t="s">
        <v>2997</v>
      </c>
      <c r="C471" s="151" t="s">
        <v>3521</v>
      </c>
      <c r="D471" s="151">
        <f t="shared" si="21"/>
        <v>0</v>
      </c>
      <c r="E471" s="151" t="str">
        <f t="shared" si="22"/>
        <v>GC-04314</v>
      </c>
      <c r="F471" s="151">
        <f>+IF(AND(C471*1&gt;=200,E471="GC-04314"),IF(D471=0,MAX(F$2:F470)+1,0),0)</f>
        <v>366</v>
      </c>
      <c r="H471" s="151" t="s">
        <v>6346</v>
      </c>
      <c r="I471" s="151" t="s">
        <v>6962</v>
      </c>
      <c r="J471" s="151" t="s">
        <v>6962</v>
      </c>
      <c r="K471" s="151">
        <f t="shared" si="23"/>
        <v>0</v>
      </c>
      <c r="L471" s="151" t="s">
        <v>9020</v>
      </c>
    </row>
    <row r="472" spans="1:12" x14ac:dyDescent="0.25">
      <c r="A472" s="151" t="s">
        <v>2595</v>
      </c>
      <c r="B472" s="151" t="s">
        <v>2997</v>
      </c>
      <c r="C472" s="151" t="s">
        <v>3522</v>
      </c>
      <c r="D472" s="151">
        <f t="shared" si="21"/>
        <v>0</v>
      </c>
      <c r="E472" s="151" t="str">
        <f t="shared" si="22"/>
        <v>GC-04314</v>
      </c>
      <c r="F472" s="151">
        <f>+IF(AND(C472*1&gt;=200,E472="GC-04314"),IF(D472=0,MAX(F$2:F471)+1,0),0)</f>
        <v>367</v>
      </c>
      <c r="H472" s="151" t="s">
        <v>6347</v>
      </c>
      <c r="I472" s="151" t="s">
        <v>6962</v>
      </c>
      <c r="J472" s="151" t="s">
        <v>6962</v>
      </c>
      <c r="K472" s="151">
        <f t="shared" si="23"/>
        <v>0</v>
      </c>
      <c r="L472" s="151" t="s">
        <v>9020</v>
      </c>
    </row>
    <row r="473" spans="1:12" x14ac:dyDescent="0.25">
      <c r="A473" s="151" t="s">
        <v>2596</v>
      </c>
      <c r="B473" s="151" t="s">
        <v>2997</v>
      </c>
      <c r="C473" s="151" t="s">
        <v>3523</v>
      </c>
      <c r="D473" s="151">
        <f t="shared" si="21"/>
        <v>0</v>
      </c>
      <c r="E473" s="151" t="str">
        <f t="shared" si="22"/>
        <v>GC-04314</v>
      </c>
      <c r="F473" s="151">
        <f>+IF(AND(C473*1&gt;=200,E473="GC-04314"),IF(D473=0,MAX(F$2:F472)+1,0),0)</f>
        <v>368</v>
      </c>
      <c r="H473" s="151" t="s">
        <v>6348</v>
      </c>
      <c r="I473" s="151" t="s">
        <v>6962</v>
      </c>
      <c r="J473" s="151" t="s">
        <v>6962</v>
      </c>
      <c r="K473" s="151">
        <f t="shared" si="23"/>
        <v>0</v>
      </c>
      <c r="L473" s="151" t="s">
        <v>9020</v>
      </c>
    </row>
    <row r="474" spans="1:12" x14ac:dyDescent="0.25">
      <c r="A474" s="151" t="s">
        <v>2597</v>
      </c>
      <c r="B474" s="151" t="s">
        <v>2997</v>
      </c>
      <c r="C474" s="151" t="s">
        <v>3524</v>
      </c>
      <c r="D474" s="151">
        <f t="shared" si="21"/>
        <v>0</v>
      </c>
      <c r="E474" s="151" t="str">
        <f t="shared" si="22"/>
        <v>GC-04314</v>
      </c>
      <c r="F474" s="151">
        <f>+IF(AND(C474*1&gt;=200,E474="GC-04314"),IF(D474=0,MAX(F$2:F473)+1,0),0)</f>
        <v>369</v>
      </c>
      <c r="H474" s="151" t="s">
        <v>6349</v>
      </c>
      <c r="I474" s="151" t="s">
        <v>6962</v>
      </c>
      <c r="J474" s="151" t="s">
        <v>6962</v>
      </c>
      <c r="K474" s="151">
        <f t="shared" si="23"/>
        <v>0</v>
      </c>
      <c r="L474" s="151" t="s">
        <v>9020</v>
      </c>
    </row>
    <row r="475" spans="1:12" x14ac:dyDescent="0.25">
      <c r="A475" s="151" t="s">
        <v>2598</v>
      </c>
      <c r="B475" s="151" t="s">
        <v>2997</v>
      </c>
      <c r="C475" s="151" t="s">
        <v>3525</v>
      </c>
      <c r="D475" s="151">
        <f t="shared" si="21"/>
        <v>0</v>
      </c>
      <c r="E475" s="151" t="str">
        <f t="shared" si="22"/>
        <v>GC-04314</v>
      </c>
      <c r="F475" s="151">
        <f>+IF(AND(C475*1&gt;=200,E475="GC-04314"),IF(D475=0,MAX(F$2:F474)+1,0),0)</f>
        <v>370</v>
      </c>
      <c r="H475" s="151" t="s">
        <v>6350</v>
      </c>
      <c r="I475" s="151" t="s">
        <v>6962</v>
      </c>
      <c r="J475" s="151" t="s">
        <v>6962</v>
      </c>
      <c r="K475" s="151">
        <f t="shared" si="23"/>
        <v>0</v>
      </c>
      <c r="L475" s="151" t="s">
        <v>9020</v>
      </c>
    </row>
    <row r="476" spans="1:12" x14ac:dyDescent="0.25">
      <c r="A476" s="151" t="s">
        <v>2599</v>
      </c>
      <c r="B476" s="151" t="s">
        <v>2997</v>
      </c>
      <c r="C476" s="151" t="s">
        <v>3526</v>
      </c>
      <c r="D476" s="151">
        <f t="shared" si="21"/>
        <v>0</v>
      </c>
      <c r="E476" s="151" t="str">
        <f t="shared" si="22"/>
        <v>GC-04314</v>
      </c>
      <c r="F476" s="151">
        <f>+IF(AND(C476*1&gt;=200,E476="GC-04314"),IF(D476=0,MAX(F$2:F475)+1,0),0)</f>
        <v>371</v>
      </c>
      <c r="H476" s="151" t="s">
        <v>6351</v>
      </c>
      <c r="I476" s="151" t="s">
        <v>6962</v>
      </c>
      <c r="J476" s="151" t="s">
        <v>6962</v>
      </c>
      <c r="K476" s="151">
        <f t="shared" si="23"/>
        <v>0</v>
      </c>
      <c r="L476" s="151" t="s">
        <v>9020</v>
      </c>
    </row>
    <row r="477" spans="1:12" x14ac:dyDescent="0.25">
      <c r="A477" s="151" t="s">
        <v>2600</v>
      </c>
      <c r="B477" s="151" t="s">
        <v>2997</v>
      </c>
      <c r="C477" s="151" t="s">
        <v>3527</v>
      </c>
      <c r="D477" s="151">
        <f t="shared" si="21"/>
        <v>0</v>
      </c>
      <c r="E477" s="151" t="str">
        <f t="shared" si="22"/>
        <v>GC-04314</v>
      </c>
      <c r="F477" s="151">
        <f>+IF(AND(C477*1&gt;=200,E477="GC-04314"),IF(D477=0,MAX(F$2:F476)+1,0),0)</f>
        <v>372</v>
      </c>
      <c r="H477" s="151" t="s">
        <v>6352</v>
      </c>
      <c r="I477" s="151" t="s">
        <v>6962</v>
      </c>
      <c r="J477" s="151" t="s">
        <v>6962</v>
      </c>
      <c r="K477" s="151">
        <f t="shared" si="23"/>
        <v>0</v>
      </c>
      <c r="L477" s="151" t="s">
        <v>9020</v>
      </c>
    </row>
    <row r="478" spans="1:12" x14ac:dyDescent="0.25">
      <c r="A478" s="151" t="s">
        <v>2601</v>
      </c>
      <c r="B478" s="151" t="s">
        <v>2997</v>
      </c>
      <c r="C478" s="151" t="s">
        <v>3528</v>
      </c>
      <c r="D478" s="151">
        <f t="shared" si="21"/>
        <v>0</v>
      </c>
      <c r="E478" s="151" t="str">
        <f t="shared" si="22"/>
        <v>GC-04314</v>
      </c>
      <c r="F478" s="151">
        <f>+IF(AND(C478*1&gt;=200,E478="GC-04314"),IF(D478=0,MAX(F$2:F477)+1,0),0)</f>
        <v>373</v>
      </c>
      <c r="H478" s="151" t="s">
        <v>6353</v>
      </c>
      <c r="I478" s="151" t="s">
        <v>6962</v>
      </c>
      <c r="J478" s="151" t="s">
        <v>6962</v>
      </c>
      <c r="K478" s="151">
        <f t="shared" si="23"/>
        <v>0</v>
      </c>
      <c r="L478" s="151" t="s">
        <v>9020</v>
      </c>
    </row>
    <row r="479" spans="1:12" x14ac:dyDescent="0.25">
      <c r="A479" s="151" t="s">
        <v>2602</v>
      </c>
      <c r="B479" s="151" t="s">
        <v>2997</v>
      </c>
      <c r="C479" s="151" t="s">
        <v>3529</v>
      </c>
      <c r="D479" s="151">
        <f t="shared" si="21"/>
        <v>0</v>
      </c>
      <c r="E479" s="151" t="str">
        <f t="shared" si="22"/>
        <v>GC-04314</v>
      </c>
      <c r="F479" s="151">
        <f>+IF(AND(C479*1&gt;=200,E479="GC-04314"),IF(D479=0,MAX(F$2:F478)+1,0),0)</f>
        <v>374</v>
      </c>
      <c r="H479" s="151" t="s">
        <v>6354</v>
      </c>
      <c r="I479" s="151" t="s">
        <v>6962</v>
      </c>
      <c r="J479" s="151" t="s">
        <v>6962</v>
      </c>
      <c r="K479" s="151">
        <f t="shared" si="23"/>
        <v>0</v>
      </c>
      <c r="L479" s="151" t="s">
        <v>9020</v>
      </c>
    </row>
    <row r="480" spans="1:12" x14ac:dyDescent="0.25">
      <c r="A480" s="151" t="s">
        <v>2603</v>
      </c>
      <c r="B480" s="151" t="s">
        <v>2997</v>
      </c>
      <c r="C480" s="151" t="s">
        <v>3530</v>
      </c>
      <c r="D480" s="151">
        <f t="shared" si="21"/>
        <v>0</v>
      </c>
      <c r="E480" s="151" t="str">
        <f t="shared" si="22"/>
        <v>GC-04314</v>
      </c>
      <c r="F480" s="151">
        <f>+IF(AND(C480*1&gt;=200,E480="GC-04314"),IF(D480=0,MAX(F$2:F479)+1,0),0)</f>
        <v>375</v>
      </c>
      <c r="H480" s="151" t="s">
        <v>6355</v>
      </c>
      <c r="I480" s="151" t="s">
        <v>6962</v>
      </c>
      <c r="J480" s="151" t="s">
        <v>6962</v>
      </c>
      <c r="K480" s="151">
        <f t="shared" si="23"/>
        <v>0</v>
      </c>
      <c r="L480" s="151" t="s">
        <v>9020</v>
      </c>
    </row>
    <row r="481" spans="1:12" x14ac:dyDescent="0.25">
      <c r="A481" s="151" t="s">
        <v>2604</v>
      </c>
      <c r="B481" s="151" t="s">
        <v>2997</v>
      </c>
      <c r="C481" s="151" t="s">
        <v>3531</v>
      </c>
      <c r="D481" s="151">
        <f t="shared" si="21"/>
        <v>0</v>
      </c>
      <c r="E481" s="151" t="str">
        <f t="shared" si="22"/>
        <v>GC-04314</v>
      </c>
      <c r="F481" s="151">
        <f>+IF(AND(C481*1&gt;=200,E481="GC-04314"),IF(D481=0,MAX(F$2:F480)+1,0),0)</f>
        <v>376</v>
      </c>
      <c r="H481" s="151" t="s">
        <v>6356</v>
      </c>
      <c r="I481" s="151" t="s">
        <v>6962</v>
      </c>
      <c r="J481" s="151" t="s">
        <v>6962</v>
      </c>
      <c r="K481" s="151">
        <f t="shared" si="23"/>
        <v>0</v>
      </c>
      <c r="L481" s="151" t="s">
        <v>9020</v>
      </c>
    </row>
    <row r="482" spans="1:12" x14ac:dyDescent="0.25">
      <c r="A482" s="151" t="s">
        <v>2605</v>
      </c>
      <c r="B482" s="151" t="s">
        <v>2997</v>
      </c>
      <c r="C482" s="151" t="s">
        <v>3532</v>
      </c>
      <c r="D482" s="151">
        <f t="shared" si="21"/>
        <v>0</v>
      </c>
      <c r="E482" s="151" t="str">
        <f t="shared" si="22"/>
        <v>GC-04314</v>
      </c>
      <c r="F482" s="151">
        <f>+IF(AND(C482*1&gt;=200,E482="GC-04314"),IF(D482=0,MAX(F$2:F481)+1,0),0)</f>
        <v>377</v>
      </c>
      <c r="H482" s="151" t="s">
        <v>6357</v>
      </c>
      <c r="I482" s="151" t="s">
        <v>6962</v>
      </c>
      <c r="J482" s="151" t="s">
        <v>6962</v>
      </c>
      <c r="K482" s="151">
        <f t="shared" si="23"/>
        <v>0</v>
      </c>
      <c r="L482" s="151" t="s">
        <v>9020</v>
      </c>
    </row>
    <row r="483" spans="1:12" x14ac:dyDescent="0.25">
      <c r="A483" s="151" t="s">
        <v>2606</v>
      </c>
      <c r="B483" s="151" t="s">
        <v>2997</v>
      </c>
      <c r="C483" s="151" t="s">
        <v>3533</v>
      </c>
      <c r="D483" s="151">
        <f t="shared" si="21"/>
        <v>0</v>
      </c>
      <c r="E483" s="151" t="str">
        <f t="shared" si="22"/>
        <v>GC-04314</v>
      </c>
      <c r="F483" s="151">
        <f>+IF(AND(C483*1&gt;=200,E483="GC-04314"),IF(D483=0,MAX(F$2:F482)+1,0),0)</f>
        <v>378</v>
      </c>
      <c r="H483" s="151" t="s">
        <v>6358</v>
      </c>
      <c r="I483" s="151" t="s">
        <v>6962</v>
      </c>
      <c r="J483" s="151" t="s">
        <v>6962</v>
      </c>
      <c r="K483" s="151">
        <f t="shared" si="23"/>
        <v>0</v>
      </c>
      <c r="L483" s="151" t="s">
        <v>9020</v>
      </c>
    </row>
    <row r="484" spans="1:12" x14ac:dyDescent="0.25">
      <c r="A484" s="151" t="s">
        <v>2607</v>
      </c>
      <c r="B484" s="151" t="s">
        <v>2997</v>
      </c>
      <c r="C484" s="151" t="s">
        <v>3534</v>
      </c>
      <c r="D484" s="151">
        <f t="shared" si="21"/>
        <v>0</v>
      </c>
      <c r="E484" s="151" t="str">
        <f t="shared" si="22"/>
        <v>GC-04314</v>
      </c>
      <c r="F484" s="151">
        <f>+IF(AND(C484*1&gt;=200,E484="GC-04314"),IF(D484=0,MAX(F$2:F483)+1,0),0)</f>
        <v>379</v>
      </c>
      <c r="H484" s="151" t="s">
        <v>6359</v>
      </c>
      <c r="I484" s="151" t="s">
        <v>6962</v>
      </c>
      <c r="J484" s="151" t="s">
        <v>6962</v>
      </c>
      <c r="K484" s="151">
        <f t="shared" si="23"/>
        <v>0</v>
      </c>
      <c r="L484" s="151" t="s">
        <v>9020</v>
      </c>
    </row>
    <row r="485" spans="1:12" x14ac:dyDescent="0.25">
      <c r="A485" s="151" t="s">
        <v>2608</v>
      </c>
      <c r="B485" s="151" t="s">
        <v>2997</v>
      </c>
      <c r="C485" s="151" t="s">
        <v>3535</v>
      </c>
      <c r="D485" s="151">
        <f t="shared" si="21"/>
        <v>0</v>
      </c>
      <c r="E485" s="151" t="str">
        <f t="shared" si="22"/>
        <v>GC-04314</v>
      </c>
      <c r="F485" s="151">
        <f>+IF(AND(C485*1&gt;=200,E485="GC-04314"),IF(D485=0,MAX(F$2:F484)+1,0),0)</f>
        <v>380</v>
      </c>
      <c r="H485" s="151" t="s">
        <v>6360</v>
      </c>
      <c r="I485" s="151" t="s">
        <v>6962</v>
      </c>
      <c r="J485" s="151" t="s">
        <v>6962</v>
      </c>
      <c r="K485" s="151">
        <f t="shared" si="23"/>
        <v>0</v>
      </c>
      <c r="L485" s="151" t="s">
        <v>9020</v>
      </c>
    </row>
    <row r="486" spans="1:12" x14ac:dyDescent="0.25">
      <c r="A486" s="151" t="s">
        <v>2609</v>
      </c>
      <c r="B486" s="151" t="s">
        <v>2997</v>
      </c>
      <c r="C486" s="151" t="s">
        <v>3536</v>
      </c>
      <c r="D486" s="151">
        <f t="shared" si="21"/>
        <v>0</v>
      </c>
      <c r="E486" s="151" t="str">
        <f t="shared" si="22"/>
        <v>GC-04314</v>
      </c>
      <c r="F486" s="151">
        <f>+IF(AND(C486*1&gt;=200,E486="GC-04314"),IF(D486=0,MAX(F$2:F485)+1,0),0)</f>
        <v>381</v>
      </c>
      <c r="H486" s="151" t="s">
        <v>6361</v>
      </c>
      <c r="I486" s="151" t="s">
        <v>6962</v>
      </c>
      <c r="J486" s="151" t="s">
        <v>6962</v>
      </c>
      <c r="K486" s="151">
        <f t="shared" si="23"/>
        <v>0</v>
      </c>
      <c r="L486" s="151" t="s">
        <v>9020</v>
      </c>
    </row>
    <row r="487" spans="1:12" x14ac:dyDescent="0.25">
      <c r="A487" s="151" t="s">
        <v>2610</v>
      </c>
      <c r="B487" s="151" t="s">
        <v>2997</v>
      </c>
      <c r="C487" s="151" t="s">
        <v>3537</v>
      </c>
      <c r="D487" s="151">
        <f t="shared" si="21"/>
        <v>0</v>
      </c>
      <c r="E487" s="151" t="str">
        <f t="shared" si="22"/>
        <v>GC-04314</v>
      </c>
      <c r="F487" s="151">
        <f>+IF(AND(C487*1&gt;=200,E487="GC-04314"),IF(D487=0,MAX(F$2:F486)+1,0),0)</f>
        <v>382</v>
      </c>
      <c r="H487" s="151" t="s">
        <v>6362</v>
      </c>
      <c r="I487" s="151" t="s">
        <v>6962</v>
      </c>
      <c r="J487" s="151" t="s">
        <v>6962</v>
      </c>
      <c r="K487" s="151">
        <f t="shared" si="23"/>
        <v>0</v>
      </c>
      <c r="L487" s="151" t="s">
        <v>9020</v>
      </c>
    </row>
    <row r="488" spans="1:12" x14ac:dyDescent="0.25">
      <c r="A488" s="151" t="s">
        <v>2611</v>
      </c>
      <c r="B488" s="151" t="s">
        <v>2997</v>
      </c>
      <c r="C488" s="151" t="s">
        <v>3538</v>
      </c>
      <c r="D488" s="151">
        <f t="shared" si="21"/>
        <v>0</v>
      </c>
      <c r="E488" s="151" t="str">
        <f t="shared" si="22"/>
        <v>GC-04314</v>
      </c>
      <c r="F488" s="151">
        <f>+IF(AND(C488*1&gt;=200,E488="GC-04314"),IF(D488=0,MAX(F$2:F487)+1,0),0)</f>
        <v>383</v>
      </c>
      <c r="H488" s="151" t="s">
        <v>6363</v>
      </c>
      <c r="I488" s="151" t="s">
        <v>6962</v>
      </c>
      <c r="J488" s="151" t="s">
        <v>6962</v>
      </c>
      <c r="K488" s="151">
        <f t="shared" si="23"/>
        <v>0</v>
      </c>
      <c r="L488" s="151" t="s">
        <v>9020</v>
      </c>
    </row>
    <row r="489" spans="1:12" x14ac:dyDescent="0.25">
      <c r="A489" s="151" t="s">
        <v>2612</v>
      </c>
      <c r="B489" s="151" t="s">
        <v>2997</v>
      </c>
      <c r="C489" s="151" t="s">
        <v>3539</v>
      </c>
      <c r="D489" s="151">
        <f t="shared" si="21"/>
        <v>0</v>
      </c>
      <c r="E489" s="151" t="str">
        <f t="shared" si="22"/>
        <v>GC-04314</v>
      </c>
      <c r="F489" s="151">
        <f>+IF(AND(C489*1&gt;=200,E489="GC-04314"),IF(D489=0,MAX(F$2:F488)+1,0),0)</f>
        <v>384</v>
      </c>
      <c r="H489" s="151" t="s">
        <v>6364</v>
      </c>
      <c r="I489" s="151" t="s">
        <v>6962</v>
      </c>
      <c r="J489" s="151" t="s">
        <v>6962</v>
      </c>
      <c r="K489" s="151">
        <f t="shared" si="23"/>
        <v>0</v>
      </c>
      <c r="L489" s="151" t="s">
        <v>9020</v>
      </c>
    </row>
    <row r="490" spans="1:12" x14ac:dyDescent="0.25">
      <c r="A490" s="151" t="s">
        <v>2613</v>
      </c>
      <c r="B490" s="151" t="s">
        <v>2997</v>
      </c>
      <c r="C490" s="151" t="s">
        <v>3540</v>
      </c>
      <c r="D490" s="151">
        <f t="shared" si="21"/>
        <v>0</v>
      </c>
      <c r="E490" s="151" t="str">
        <f t="shared" si="22"/>
        <v>GC-04314</v>
      </c>
      <c r="F490" s="151">
        <f>+IF(AND(C490*1&gt;=200,E490="GC-04314"),IF(D490=0,MAX(F$2:F489)+1,0),0)</f>
        <v>385</v>
      </c>
      <c r="H490" s="151" t="s">
        <v>6365</v>
      </c>
      <c r="I490" s="151" t="s">
        <v>6962</v>
      </c>
      <c r="J490" s="151" t="s">
        <v>6962</v>
      </c>
      <c r="K490" s="151">
        <f t="shared" si="23"/>
        <v>0</v>
      </c>
      <c r="L490" s="151" t="s">
        <v>9020</v>
      </c>
    </row>
    <row r="491" spans="1:12" x14ac:dyDescent="0.25">
      <c r="A491" s="151" t="s">
        <v>2614</v>
      </c>
      <c r="B491" s="151" t="s">
        <v>2997</v>
      </c>
      <c r="C491" s="151" t="s">
        <v>3541</v>
      </c>
      <c r="D491" s="151">
        <f t="shared" si="21"/>
        <v>0</v>
      </c>
      <c r="E491" s="151" t="str">
        <f t="shared" si="22"/>
        <v>GC-04314</v>
      </c>
      <c r="F491" s="151">
        <f>+IF(AND(C491*1&gt;=200,E491="GC-04314"),IF(D491=0,MAX(F$2:F490)+1,0),0)</f>
        <v>386</v>
      </c>
      <c r="H491" s="151" t="s">
        <v>6366</v>
      </c>
      <c r="I491" s="151" t="s">
        <v>6962</v>
      </c>
      <c r="J491" s="151" t="s">
        <v>6962</v>
      </c>
      <c r="K491" s="151">
        <f t="shared" si="23"/>
        <v>0</v>
      </c>
      <c r="L491" s="151" t="s">
        <v>9020</v>
      </c>
    </row>
    <row r="492" spans="1:12" x14ac:dyDescent="0.25">
      <c r="A492" s="151" t="s">
        <v>2615</v>
      </c>
      <c r="B492" s="151" t="s">
        <v>2997</v>
      </c>
      <c r="C492" s="151" t="s">
        <v>3542</v>
      </c>
      <c r="D492" s="151">
        <f t="shared" si="21"/>
        <v>0</v>
      </c>
      <c r="E492" s="151" t="str">
        <f t="shared" si="22"/>
        <v>GC-04314</v>
      </c>
      <c r="F492" s="151">
        <f>+IF(AND(C492*1&gt;=200,E492="GC-04314"),IF(D492=0,MAX(F$2:F491)+1,0),0)</f>
        <v>387</v>
      </c>
      <c r="H492" s="151" t="s">
        <v>6367</v>
      </c>
      <c r="I492" s="151" t="s">
        <v>6962</v>
      </c>
      <c r="J492" s="151" t="s">
        <v>6962</v>
      </c>
      <c r="K492" s="151">
        <f t="shared" si="23"/>
        <v>0</v>
      </c>
      <c r="L492" s="151" t="s">
        <v>9020</v>
      </c>
    </row>
    <row r="493" spans="1:12" x14ac:dyDescent="0.25">
      <c r="A493" s="151" t="s">
        <v>2616</v>
      </c>
      <c r="B493" s="151" t="s">
        <v>2997</v>
      </c>
      <c r="C493" s="151" t="s">
        <v>3543</v>
      </c>
      <c r="D493" s="151">
        <f t="shared" si="21"/>
        <v>0</v>
      </c>
      <c r="E493" s="151" t="str">
        <f t="shared" si="22"/>
        <v>GC-04314</v>
      </c>
      <c r="F493" s="151">
        <f>+IF(AND(C493*1&gt;=200,E493="GC-04314"),IF(D493=0,MAX(F$2:F492)+1,0),0)</f>
        <v>388</v>
      </c>
      <c r="H493" s="151" t="s">
        <v>6368</v>
      </c>
      <c r="I493" s="151" t="s">
        <v>6962</v>
      </c>
      <c r="J493" s="151" t="s">
        <v>6962</v>
      </c>
      <c r="K493" s="151">
        <f t="shared" si="23"/>
        <v>0</v>
      </c>
      <c r="L493" s="151" t="s">
        <v>9020</v>
      </c>
    </row>
    <row r="494" spans="1:12" x14ac:dyDescent="0.25">
      <c r="A494" s="151" t="s">
        <v>2617</v>
      </c>
      <c r="B494" s="151" t="s">
        <v>2997</v>
      </c>
      <c r="C494" s="151" t="s">
        <v>3544</v>
      </c>
      <c r="D494" s="151">
        <f t="shared" si="21"/>
        <v>0</v>
      </c>
      <c r="E494" s="151" t="str">
        <f t="shared" si="22"/>
        <v>GC-04314</v>
      </c>
      <c r="F494" s="151">
        <f>+IF(AND(C494*1&gt;=200,E494="GC-04314"),IF(D494=0,MAX(F$2:F493)+1,0),0)</f>
        <v>389</v>
      </c>
      <c r="H494" s="151" t="s">
        <v>6369</v>
      </c>
      <c r="I494" s="151" t="s">
        <v>6962</v>
      </c>
      <c r="J494" s="151" t="s">
        <v>6962</v>
      </c>
      <c r="K494" s="151">
        <f t="shared" si="23"/>
        <v>0</v>
      </c>
      <c r="L494" s="151" t="s">
        <v>9020</v>
      </c>
    </row>
    <row r="495" spans="1:12" x14ac:dyDescent="0.25">
      <c r="A495" s="151" t="s">
        <v>2618</v>
      </c>
      <c r="B495" s="151" t="s">
        <v>2997</v>
      </c>
      <c r="C495" s="151" t="s">
        <v>3545</v>
      </c>
      <c r="D495" s="151">
        <f t="shared" si="21"/>
        <v>0</v>
      </c>
      <c r="E495" s="151" t="str">
        <f t="shared" si="22"/>
        <v>GC-04314</v>
      </c>
      <c r="F495" s="151">
        <f>+IF(AND(C495*1&gt;=200,E495="GC-04314"),IF(D495=0,MAX(F$2:F494)+1,0),0)</f>
        <v>390</v>
      </c>
      <c r="H495" s="151" t="s">
        <v>6370</v>
      </c>
      <c r="I495" s="151" t="s">
        <v>6962</v>
      </c>
      <c r="J495" s="151" t="s">
        <v>6962</v>
      </c>
      <c r="K495" s="151">
        <f t="shared" si="23"/>
        <v>0</v>
      </c>
      <c r="L495" s="151" t="s">
        <v>9020</v>
      </c>
    </row>
    <row r="496" spans="1:12" x14ac:dyDescent="0.25">
      <c r="A496" s="151" t="s">
        <v>2619</v>
      </c>
      <c r="B496" s="151" t="s">
        <v>2997</v>
      </c>
      <c r="C496" s="151" t="s">
        <v>3546</v>
      </c>
      <c r="D496" s="151">
        <f t="shared" si="21"/>
        <v>0</v>
      </c>
      <c r="E496" s="151" t="str">
        <f t="shared" si="22"/>
        <v>GC-04314</v>
      </c>
      <c r="F496" s="151">
        <f>+IF(AND(C496*1&gt;=200,E496="GC-04314"),IF(D496=0,MAX(F$2:F495)+1,0),0)</f>
        <v>391</v>
      </c>
      <c r="H496" s="151" t="s">
        <v>6371</v>
      </c>
      <c r="I496" s="151" t="s">
        <v>6962</v>
      </c>
      <c r="J496" s="151" t="s">
        <v>6962</v>
      </c>
      <c r="K496" s="151">
        <f t="shared" si="23"/>
        <v>0</v>
      </c>
      <c r="L496" s="151" t="s">
        <v>9020</v>
      </c>
    </row>
    <row r="497" spans="1:12" x14ac:dyDescent="0.25">
      <c r="A497" s="151" t="s">
        <v>2620</v>
      </c>
      <c r="B497" s="151" t="s">
        <v>2997</v>
      </c>
      <c r="C497" s="151" t="s">
        <v>3547</v>
      </c>
      <c r="D497" s="151">
        <f t="shared" si="21"/>
        <v>0</v>
      </c>
      <c r="E497" s="151" t="str">
        <f t="shared" si="22"/>
        <v>GC-04314</v>
      </c>
      <c r="F497" s="151">
        <f>+IF(AND(C497*1&gt;=200,E497="GC-04314"),IF(D497=0,MAX(F$2:F496)+1,0),0)</f>
        <v>392</v>
      </c>
      <c r="H497" s="151" t="s">
        <v>6372</v>
      </c>
      <c r="I497" s="151" t="s">
        <v>6962</v>
      </c>
      <c r="J497" s="151" t="s">
        <v>6962</v>
      </c>
      <c r="K497" s="151">
        <f t="shared" si="23"/>
        <v>0</v>
      </c>
      <c r="L497" s="151" t="s">
        <v>9020</v>
      </c>
    </row>
    <row r="498" spans="1:12" x14ac:dyDescent="0.25">
      <c r="A498" s="151" t="s">
        <v>2621</v>
      </c>
      <c r="B498" s="151" t="s">
        <v>2997</v>
      </c>
      <c r="C498" s="151" t="s">
        <v>3548</v>
      </c>
      <c r="D498" s="151">
        <f t="shared" si="21"/>
        <v>0</v>
      </c>
      <c r="E498" s="151" t="str">
        <f t="shared" si="22"/>
        <v>GC-04314</v>
      </c>
      <c r="F498" s="151">
        <f>+IF(AND(C498*1&gt;=200,E498="GC-04314"),IF(D498=0,MAX(F$2:F497)+1,0),0)</f>
        <v>393</v>
      </c>
      <c r="H498" s="151" t="s">
        <v>6373</v>
      </c>
      <c r="I498" s="151" t="s">
        <v>6962</v>
      </c>
      <c r="J498" s="151" t="s">
        <v>6962</v>
      </c>
      <c r="K498" s="151">
        <f t="shared" si="23"/>
        <v>0</v>
      </c>
      <c r="L498" s="151" t="s">
        <v>9020</v>
      </c>
    </row>
    <row r="499" spans="1:12" x14ac:dyDescent="0.25">
      <c r="A499" s="151" t="s">
        <v>2622</v>
      </c>
      <c r="B499" s="151" t="s">
        <v>2997</v>
      </c>
      <c r="C499" s="151" t="s">
        <v>3549</v>
      </c>
      <c r="D499" s="151">
        <f t="shared" si="21"/>
        <v>0</v>
      </c>
      <c r="E499" s="151" t="str">
        <f t="shared" si="22"/>
        <v>GC-04314</v>
      </c>
      <c r="F499" s="151">
        <f>+IF(AND(C499*1&gt;=200,E499="GC-04314"),IF(D499=0,MAX(F$2:F498)+1,0),0)</f>
        <v>394</v>
      </c>
      <c r="H499" s="151" t="s">
        <v>6374</v>
      </c>
      <c r="I499" s="151" t="s">
        <v>6962</v>
      </c>
      <c r="J499" s="151" t="s">
        <v>6962</v>
      </c>
      <c r="K499" s="151">
        <f t="shared" si="23"/>
        <v>0</v>
      </c>
      <c r="L499" s="151" t="s">
        <v>9020</v>
      </c>
    </row>
    <row r="500" spans="1:12" x14ac:dyDescent="0.25">
      <c r="A500" s="151" t="s">
        <v>2623</v>
      </c>
      <c r="B500" s="151" t="s">
        <v>2997</v>
      </c>
      <c r="C500" s="151" t="s">
        <v>3550</v>
      </c>
      <c r="D500" s="151">
        <f t="shared" si="21"/>
        <v>0</v>
      </c>
      <c r="E500" s="151" t="str">
        <f t="shared" si="22"/>
        <v>GC-04314</v>
      </c>
      <c r="F500" s="151">
        <f>+IF(AND(C500*1&gt;=200,E500="GC-04314"),IF(D500=0,MAX(F$2:F499)+1,0),0)</f>
        <v>395</v>
      </c>
      <c r="H500" s="151" t="s">
        <v>6375</v>
      </c>
      <c r="I500" s="151" t="s">
        <v>6962</v>
      </c>
      <c r="J500" s="151" t="s">
        <v>6962</v>
      </c>
      <c r="K500" s="151">
        <f t="shared" si="23"/>
        <v>0</v>
      </c>
      <c r="L500" s="151" t="s">
        <v>9020</v>
      </c>
    </row>
    <row r="501" spans="1:12" x14ac:dyDescent="0.25">
      <c r="A501" s="151" t="s">
        <v>2624</v>
      </c>
      <c r="B501" s="151" t="s">
        <v>2997</v>
      </c>
      <c r="C501" s="151" t="s">
        <v>3551</v>
      </c>
      <c r="D501" s="151">
        <f t="shared" si="21"/>
        <v>0</v>
      </c>
      <c r="E501" s="151" t="str">
        <f t="shared" si="22"/>
        <v>GC-04314</v>
      </c>
      <c r="F501" s="151">
        <f>+IF(AND(C501*1&gt;=200,E501="GC-04314"),IF(D501=0,MAX(F$2:F500)+1,0),0)</f>
        <v>396</v>
      </c>
      <c r="H501" s="151" t="s">
        <v>6376</v>
      </c>
      <c r="I501" s="151" t="s">
        <v>6962</v>
      </c>
      <c r="J501" s="151" t="s">
        <v>6962</v>
      </c>
      <c r="K501" s="151">
        <f t="shared" si="23"/>
        <v>0</v>
      </c>
      <c r="L501" s="151" t="s">
        <v>9020</v>
      </c>
    </row>
    <row r="502" spans="1:12" x14ac:dyDescent="0.25">
      <c r="A502" s="151" t="s">
        <v>2625</v>
      </c>
      <c r="B502" s="151" t="s">
        <v>2997</v>
      </c>
      <c r="C502" s="151" t="s">
        <v>3552</v>
      </c>
      <c r="D502" s="151">
        <f t="shared" si="21"/>
        <v>0</v>
      </c>
      <c r="E502" s="151" t="str">
        <f t="shared" si="22"/>
        <v>GC-04314</v>
      </c>
      <c r="F502" s="151">
        <f>+IF(AND(C502*1&gt;=200,E502="GC-04314"),IF(D502=0,MAX(F$2:F501)+1,0),0)</f>
        <v>397</v>
      </c>
      <c r="H502" s="151" t="s">
        <v>6377</v>
      </c>
      <c r="I502" s="151" t="s">
        <v>6962</v>
      </c>
      <c r="J502" s="151" t="s">
        <v>6962</v>
      </c>
      <c r="K502" s="151">
        <f t="shared" si="23"/>
        <v>0</v>
      </c>
      <c r="L502" s="151" t="s">
        <v>9020</v>
      </c>
    </row>
    <row r="503" spans="1:12" x14ac:dyDescent="0.25">
      <c r="A503" s="151" t="s">
        <v>2626</v>
      </c>
      <c r="B503" s="151" t="s">
        <v>2997</v>
      </c>
      <c r="C503" s="151" t="s">
        <v>3553</v>
      </c>
      <c r="D503" s="151">
        <f t="shared" si="21"/>
        <v>0</v>
      </c>
      <c r="E503" s="151" t="str">
        <f t="shared" si="22"/>
        <v>GC-04314</v>
      </c>
      <c r="F503" s="151">
        <f>+IF(AND(C503*1&gt;=200,E503="GC-04314"),IF(D503=0,MAX(F$2:F502)+1,0),0)</f>
        <v>398</v>
      </c>
      <c r="H503" s="151" t="s">
        <v>6378</v>
      </c>
      <c r="I503" s="151" t="s">
        <v>6962</v>
      </c>
      <c r="J503" s="151" t="s">
        <v>6962</v>
      </c>
      <c r="K503" s="151">
        <f t="shared" si="23"/>
        <v>0</v>
      </c>
      <c r="L503" s="151" t="s">
        <v>9020</v>
      </c>
    </row>
    <row r="504" spans="1:12" x14ac:dyDescent="0.25">
      <c r="A504" s="151" t="s">
        <v>2627</v>
      </c>
      <c r="B504" s="151" t="s">
        <v>2997</v>
      </c>
      <c r="C504" s="151" t="s">
        <v>3554</v>
      </c>
      <c r="D504" s="151">
        <f t="shared" si="21"/>
        <v>0</v>
      </c>
      <c r="E504" s="151" t="str">
        <f t="shared" si="22"/>
        <v>GC-04314</v>
      </c>
      <c r="F504" s="151">
        <f>+IF(AND(C504*1&gt;=200,E504="GC-04314"),IF(D504=0,MAX(F$2:F503)+1,0),0)</f>
        <v>399</v>
      </c>
      <c r="H504" s="151" t="s">
        <v>6379</v>
      </c>
      <c r="I504" s="151" t="s">
        <v>6962</v>
      </c>
      <c r="J504" s="151" t="s">
        <v>6962</v>
      </c>
      <c r="K504" s="151">
        <f t="shared" si="23"/>
        <v>0</v>
      </c>
      <c r="L504" s="151" t="s">
        <v>9020</v>
      </c>
    </row>
    <row r="505" spans="1:12" x14ac:dyDescent="0.25">
      <c r="A505" s="151" t="s">
        <v>2628</v>
      </c>
      <c r="B505" s="151" t="s">
        <v>2997</v>
      </c>
      <c r="C505" s="151" t="s">
        <v>3555</v>
      </c>
      <c r="D505" s="151">
        <f t="shared" si="21"/>
        <v>0</v>
      </c>
      <c r="E505" s="151" t="str">
        <f t="shared" si="22"/>
        <v>GC-04314</v>
      </c>
      <c r="F505" s="151">
        <f>+IF(AND(C505*1&gt;=200,E505="GC-04314"),IF(D505=0,MAX(F$2:F504)+1,0),0)</f>
        <v>400</v>
      </c>
      <c r="H505" s="151" t="s">
        <v>6380</v>
      </c>
      <c r="I505" s="151" t="s">
        <v>6962</v>
      </c>
      <c r="J505" s="151" t="s">
        <v>6962</v>
      </c>
      <c r="K505" s="151">
        <f t="shared" si="23"/>
        <v>0</v>
      </c>
      <c r="L505" s="151" t="s">
        <v>9020</v>
      </c>
    </row>
    <row r="506" spans="1:12" x14ac:dyDescent="0.25">
      <c r="A506" s="151" t="s">
        <v>2629</v>
      </c>
      <c r="B506" s="151" t="s">
        <v>2997</v>
      </c>
      <c r="C506" s="151" t="s">
        <v>3556</v>
      </c>
      <c r="D506" s="151">
        <f t="shared" si="21"/>
        <v>0</v>
      </c>
      <c r="E506" s="151" t="str">
        <f t="shared" si="22"/>
        <v>GC-04314</v>
      </c>
      <c r="F506" s="151">
        <f>+IF(AND(C506*1&gt;=200,E506="GC-04314"),IF(D506=0,MAX(F$2:F505)+1,0),0)</f>
        <v>401</v>
      </c>
      <c r="H506" s="151" t="s">
        <v>6381</v>
      </c>
      <c r="I506" s="151" t="s">
        <v>6962</v>
      </c>
      <c r="J506" s="151" t="s">
        <v>6962</v>
      </c>
      <c r="K506" s="151">
        <f t="shared" si="23"/>
        <v>0</v>
      </c>
      <c r="L506" s="151" t="s">
        <v>9020</v>
      </c>
    </row>
    <row r="507" spans="1:12" x14ac:dyDescent="0.25">
      <c r="A507" s="151" t="s">
        <v>2630</v>
      </c>
      <c r="B507" s="151" t="s">
        <v>2997</v>
      </c>
      <c r="C507" s="151" t="s">
        <v>3557</v>
      </c>
      <c r="D507" s="151">
        <f t="shared" si="21"/>
        <v>0</v>
      </c>
      <c r="E507" s="151" t="str">
        <f t="shared" si="22"/>
        <v>GC-04314</v>
      </c>
      <c r="F507" s="151">
        <f>+IF(AND(C507*1&gt;=200,E507="GC-04314"),IF(D507=0,MAX(F$2:F506)+1,0),0)</f>
        <v>402</v>
      </c>
      <c r="H507" s="151" t="s">
        <v>6382</v>
      </c>
      <c r="I507" s="151" t="s">
        <v>6962</v>
      </c>
      <c r="J507" s="151" t="s">
        <v>6962</v>
      </c>
      <c r="K507" s="151">
        <f t="shared" si="23"/>
        <v>0</v>
      </c>
      <c r="L507" s="151" t="s">
        <v>9020</v>
      </c>
    </row>
    <row r="508" spans="1:12" x14ac:dyDescent="0.25">
      <c r="A508" s="151" t="s">
        <v>2631</v>
      </c>
      <c r="B508" s="151" t="s">
        <v>2997</v>
      </c>
      <c r="C508" s="151" t="s">
        <v>3558</v>
      </c>
      <c r="D508" s="151">
        <f t="shared" si="21"/>
        <v>0</v>
      </c>
      <c r="E508" s="151" t="str">
        <f t="shared" si="22"/>
        <v>GC-04314</v>
      </c>
      <c r="F508" s="151">
        <f>+IF(AND(C508*1&gt;=200,E508="GC-04314"),IF(D508=0,MAX(F$2:F507)+1,0),0)</f>
        <v>403</v>
      </c>
      <c r="H508" s="151" t="s">
        <v>6383</v>
      </c>
      <c r="I508" s="151" t="s">
        <v>6962</v>
      </c>
      <c r="J508" s="151" t="s">
        <v>6962</v>
      </c>
      <c r="K508" s="151">
        <f t="shared" si="23"/>
        <v>0</v>
      </c>
      <c r="L508" s="151" t="s">
        <v>9020</v>
      </c>
    </row>
    <row r="509" spans="1:12" x14ac:dyDescent="0.25">
      <c r="A509" s="151" t="s">
        <v>2632</v>
      </c>
      <c r="B509" s="151" t="s">
        <v>2997</v>
      </c>
      <c r="C509" s="151" t="s">
        <v>3559</v>
      </c>
      <c r="D509" s="151">
        <f t="shared" si="21"/>
        <v>0</v>
      </c>
      <c r="E509" s="151" t="str">
        <f t="shared" si="22"/>
        <v>GC-04314</v>
      </c>
      <c r="F509" s="151">
        <f>+IF(AND(C509*1&gt;=200,E509="GC-04314"),IF(D509=0,MAX(F$2:F508)+1,0),0)</f>
        <v>404</v>
      </c>
      <c r="H509" s="151" t="s">
        <v>6384</v>
      </c>
      <c r="I509" s="151" t="s">
        <v>6962</v>
      </c>
      <c r="J509" s="151" t="s">
        <v>6962</v>
      </c>
      <c r="K509" s="151">
        <f t="shared" si="23"/>
        <v>0</v>
      </c>
      <c r="L509" s="151" t="s">
        <v>9020</v>
      </c>
    </row>
    <row r="510" spans="1:12" x14ac:dyDescent="0.25">
      <c r="A510" s="151" t="s">
        <v>2633</v>
      </c>
      <c r="B510" s="151" t="s">
        <v>2997</v>
      </c>
      <c r="C510" s="151" t="s">
        <v>3560</v>
      </c>
      <c r="D510" s="151">
        <f t="shared" si="21"/>
        <v>0</v>
      </c>
      <c r="E510" s="151" t="str">
        <f t="shared" si="22"/>
        <v>GC-04314</v>
      </c>
      <c r="F510" s="151">
        <f>+IF(AND(C510*1&gt;=200,E510="GC-04314"),IF(D510=0,MAX(F$2:F509)+1,0),0)</f>
        <v>405</v>
      </c>
      <c r="H510" s="151" t="s">
        <v>6385</v>
      </c>
      <c r="I510" s="151" t="s">
        <v>6962</v>
      </c>
      <c r="J510" s="151" t="s">
        <v>6962</v>
      </c>
      <c r="K510" s="151">
        <f t="shared" si="23"/>
        <v>0</v>
      </c>
      <c r="L510" s="151" t="s">
        <v>9020</v>
      </c>
    </row>
    <row r="511" spans="1:12" x14ac:dyDescent="0.25">
      <c r="A511" s="151" t="s">
        <v>2634</v>
      </c>
      <c r="B511" s="151" t="s">
        <v>2997</v>
      </c>
      <c r="C511" s="151" t="s">
        <v>3561</v>
      </c>
      <c r="D511" s="151">
        <f t="shared" si="21"/>
        <v>0</v>
      </c>
      <c r="E511" s="151" t="str">
        <f t="shared" si="22"/>
        <v>GC-04314</v>
      </c>
      <c r="F511" s="151">
        <f>+IF(AND(C511*1&gt;=200,E511="GC-04314"),IF(D511=0,MAX(F$2:F510)+1,0),0)</f>
        <v>406</v>
      </c>
      <c r="H511" s="151" t="s">
        <v>6386</v>
      </c>
      <c r="I511" s="151" t="s">
        <v>6962</v>
      </c>
      <c r="J511" s="151" t="s">
        <v>6962</v>
      </c>
      <c r="K511" s="151">
        <f t="shared" si="23"/>
        <v>0</v>
      </c>
      <c r="L511" s="151" t="s">
        <v>9020</v>
      </c>
    </row>
    <row r="512" spans="1:12" x14ac:dyDescent="0.25">
      <c r="A512" s="151" t="s">
        <v>2635</v>
      </c>
      <c r="B512" s="151" t="s">
        <v>2997</v>
      </c>
      <c r="C512" s="151" t="s">
        <v>3562</v>
      </c>
      <c r="D512" s="151">
        <f t="shared" si="21"/>
        <v>0</v>
      </c>
      <c r="E512" s="151" t="str">
        <f t="shared" si="22"/>
        <v>GC-04314</v>
      </c>
      <c r="F512" s="151">
        <f>+IF(AND(C512*1&gt;=200,E512="GC-04314"),IF(D512=0,MAX(F$2:F511)+1,0),0)</f>
        <v>407</v>
      </c>
      <c r="H512" s="151" t="s">
        <v>6387</v>
      </c>
      <c r="I512" s="151" t="s">
        <v>6962</v>
      </c>
      <c r="J512" s="151" t="s">
        <v>6962</v>
      </c>
      <c r="K512" s="151">
        <f t="shared" si="23"/>
        <v>0</v>
      </c>
      <c r="L512" s="151" t="s">
        <v>9020</v>
      </c>
    </row>
    <row r="513" spans="1:12" x14ac:dyDescent="0.25">
      <c r="A513" s="151" t="s">
        <v>2636</v>
      </c>
      <c r="B513" s="151" t="s">
        <v>2997</v>
      </c>
      <c r="C513" s="151" t="s">
        <v>3563</v>
      </c>
      <c r="D513" s="151">
        <f t="shared" si="21"/>
        <v>0</v>
      </c>
      <c r="E513" s="151" t="str">
        <f t="shared" si="22"/>
        <v>GC-04314</v>
      </c>
      <c r="F513" s="151">
        <f>+IF(AND(C513*1&gt;=200,E513="GC-04314"),IF(D513=0,MAX(F$2:F512)+1,0),0)</f>
        <v>408</v>
      </c>
      <c r="H513" s="151" t="s">
        <v>6388</v>
      </c>
      <c r="I513" s="151" t="s">
        <v>6962</v>
      </c>
      <c r="J513" s="151" t="s">
        <v>6962</v>
      </c>
      <c r="K513" s="151">
        <f t="shared" si="23"/>
        <v>0</v>
      </c>
      <c r="L513" s="151" t="s">
        <v>9020</v>
      </c>
    </row>
    <row r="514" spans="1:12" x14ac:dyDescent="0.25">
      <c r="A514" s="151" t="s">
        <v>2637</v>
      </c>
      <c r="B514" s="151" t="s">
        <v>2997</v>
      </c>
      <c r="C514" s="151" t="s">
        <v>3564</v>
      </c>
      <c r="D514" s="151">
        <f t="shared" ref="D514:D577" si="24">+SUMIFS(K:K,H:H,A514)</f>
        <v>0</v>
      </c>
      <c r="E514" s="151" t="str">
        <f t="shared" ref="E514:E577" si="25">+IF(D514=0,VLOOKUP(A514,$H:$L,5,FALSE),"")</f>
        <v>GC-04314</v>
      </c>
      <c r="F514" s="151">
        <f>+IF(AND(C514*1&gt;=200,E514="GC-04314"),IF(D514=0,MAX(F$2:F513)+1,0),0)</f>
        <v>409</v>
      </c>
      <c r="H514" s="151" t="s">
        <v>6389</v>
      </c>
      <c r="I514" s="151" t="s">
        <v>6962</v>
      </c>
      <c r="J514" s="151" t="s">
        <v>6962</v>
      </c>
      <c r="K514" s="151">
        <f t="shared" si="23"/>
        <v>0</v>
      </c>
      <c r="L514" s="151" t="s">
        <v>9020</v>
      </c>
    </row>
    <row r="515" spans="1:12" x14ac:dyDescent="0.25">
      <c r="A515" s="151" t="s">
        <v>2638</v>
      </c>
      <c r="B515" s="151" t="s">
        <v>2997</v>
      </c>
      <c r="C515" s="151" t="s">
        <v>3565</v>
      </c>
      <c r="D515" s="151">
        <f t="shared" si="24"/>
        <v>0</v>
      </c>
      <c r="E515" s="151" t="str">
        <f t="shared" si="25"/>
        <v>GC-04314</v>
      </c>
      <c r="F515" s="151">
        <f>+IF(AND(C515*1&gt;=200,E515="GC-04314"),IF(D515=0,MAX(F$2:F514)+1,0),0)</f>
        <v>410</v>
      </c>
      <c r="H515" s="151" t="s">
        <v>6390</v>
      </c>
      <c r="I515" s="151" t="s">
        <v>6962</v>
      </c>
      <c r="J515" s="151" t="s">
        <v>6962</v>
      </c>
      <c r="K515" s="151">
        <f t="shared" ref="K515:K578" si="26">+IFERROR(J515*1,0)</f>
        <v>0</v>
      </c>
      <c r="L515" s="151" t="s">
        <v>9020</v>
      </c>
    </row>
    <row r="516" spans="1:12" x14ac:dyDescent="0.25">
      <c r="A516" s="151" t="s">
        <v>2639</v>
      </c>
      <c r="B516" s="151" t="s">
        <v>2997</v>
      </c>
      <c r="C516" s="151" t="s">
        <v>3566</v>
      </c>
      <c r="D516" s="151">
        <f t="shared" si="24"/>
        <v>0</v>
      </c>
      <c r="E516" s="151" t="str">
        <f t="shared" si="25"/>
        <v>GC-04314</v>
      </c>
      <c r="F516" s="151">
        <f>+IF(AND(C516*1&gt;=200,E516="GC-04314"),IF(D516=0,MAX(F$2:F515)+1,0),0)</f>
        <v>411</v>
      </c>
      <c r="H516" s="151" t="s">
        <v>6391</v>
      </c>
      <c r="I516" s="151" t="s">
        <v>6962</v>
      </c>
      <c r="J516" s="151" t="s">
        <v>6962</v>
      </c>
      <c r="K516" s="151">
        <f t="shared" si="26"/>
        <v>0</v>
      </c>
      <c r="L516" s="151" t="s">
        <v>9020</v>
      </c>
    </row>
    <row r="517" spans="1:12" x14ac:dyDescent="0.25">
      <c r="A517" s="151" t="s">
        <v>2640</v>
      </c>
      <c r="B517" s="151" t="s">
        <v>2997</v>
      </c>
      <c r="C517" s="151" t="s">
        <v>3567</v>
      </c>
      <c r="D517" s="151">
        <f t="shared" si="24"/>
        <v>0</v>
      </c>
      <c r="E517" s="151" t="str">
        <f t="shared" si="25"/>
        <v>GC-04314</v>
      </c>
      <c r="F517" s="151">
        <f>+IF(AND(C517*1&gt;=200,E517="GC-04314"),IF(D517=0,MAX(F$2:F516)+1,0),0)</f>
        <v>412</v>
      </c>
      <c r="H517" s="151" t="s">
        <v>6392</v>
      </c>
      <c r="I517" s="151" t="s">
        <v>6962</v>
      </c>
      <c r="J517" s="151" t="s">
        <v>6962</v>
      </c>
      <c r="K517" s="151">
        <f t="shared" si="26"/>
        <v>0</v>
      </c>
      <c r="L517" s="151" t="s">
        <v>9020</v>
      </c>
    </row>
    <row r="518" spans="1:12" x14ac:dyDescent="0.25">
      <c r="A518" s="151" t="s">
        <v>2641</v>
      </c>
      <c r="B518" s="151" t="s">
        <v>2997</v>
      </c>
      <c r="C518" s="151" t="s">
        <v>3568</v>
      </c>
      <c r="D518" s="151">
        <f t="shared" si="24"/>
        <v>0</v>
      </c>
      <c r="E518" s="151" t="str">
        <f t="shared" si="25"/>
        <v>GC-04314</v>
      </c>
      <c r="F518" s="151">
        <f>+IF(AND(C518*1&gt;=200,E518="GC-04314"),IF(D518=0,MAX(F$2:F517)+1,0),0)</f>
        <v>413</v>
      </c>
      <c r="H518" s="151" t="s">
        <v>6393</v>
      </c>
      <c r="I518" s="151" t="s">
        <v>6962</v>
      </c>
      <c r="J518" s="151" t="s">
        <v>6962</v>
      </c>
      <c r="K518" s="151">
        <f t="shared" si="26"/>
        <v>0</v>
      </c>
      <c r="L518" s="151" t="s">
        <v>9020</v>
      </c>
    </row>
    <row r="519" spans="1:12" x14ac:dyDescent="0.25">
      <c r="A519" s="151" t="s">
        <v>2642</v>
      </c>
      <c r="B519" s="151" t="s">
        <v>2997</v>
      </c>
      <c r="C519" s="151" t="s">
        <v>3569</v>
      </c>
      <c r="D519" s="151">
        <f t="shared" si="24"/>
        <v>0</v>
      </c>
      <c r="E519" s="151" t="str">
        <f t="shared" si="25"/>
        <v>GC-04314</v>
      </c>
      <c r="F519" s="151">
        <f>+IF(AND(C519*1&gt;=200,E519="GC-04314"),IF(D519=0,MAX(F$2:F518)+1,0),0)</f>
        <v>414</v>
      </c>
      <c r="H519" s="151" t="s">
        <v>6394</v>
      </c>
      <c r="I519" s="151" t="s">
        <v>6962</v>
      </c>
      <c r="J519" s="151" t="s">
        <v>6962</v>
      </c>
      <c r="K519" s="151">
        <f t="shared" si="26"/>
        <v>0</v>
      </c>
      <c r="L519" s="151" t="s">
        <v>9020</v>
      </c>
    </row>
    <row r="520" spans="1:12" x14ac:dyDescent="0.25">
      <c r="A520" s="151" t="s">
        <v>2643</v>
      </c>
      <c r="B520" s="151" t="s">
        <v>2997</v>
      </c>
      <c r="C520" s="151" t="s">
        <v>3570</v>
      </c>
      <c r="D520" s="151">
        <f t="shared" si="24"/>
        <v>0</v>
      </c>
      <c r="E520" s="151" t="str">
        <f t="shared" si="25"/>
        <v>GC-04314</v>
      </c>
      <c r="F520" s="151">
        <f>+IF(AND(C520*1&gt;=200,E520="GC-04314"),IF(D520=0,MAX(F$2:F519)+1,0),0)</f>
        <v>415</v>
      </c>
      <c r="H520" s="151" t="s">
        <v>6395</v>
      </c>
      <c r="I520" s="151" t="s">
        <v>6962</v>
      </c>
      <c r="J520" s="151" t="s">
        <v>6962</v>
      </c>
      <c r="K520" s="151">
        <f t="shared" si="26"/>
        <v>0</v>
      </c>
      <c r="L520" s="151" t="s">
        <v>9020</v>
      </c>
    </row>
    <row r="521" spans="1:12" x14ac:dyDescent="0.25">
      <c r="A521" s="151" t="s">
        <v>2644</v>
      </c>
      <c r="B521" s="151" t="s">
        <v>2997</v>
      </c>
      <c r="C521" s="151" t="s">
        <v>3571</v>
      </c>
      <c r="D521" s="151">
        <f t="shared" si="24"/>
        <v>0</v>
      </c>
      <c r="E521" s="151" t="str">
        <f t="shared" si="25"/>
        <v>GC-04314</v>
      </c>
      <c r="F521" s="151">
        <f>+IF(AND(C521*1&gt;=200,E521="GC-04314"),IF(D521=0,MAX(F$2:F520)+1,0),0)</f>
        <v>416</v>
      </c>
      <c r="H521" s="151" t="s">
        <v>6396</v>
      </c>
      <c r="I521" s="151" t="s">
        <v>6962</v>
      </c>
      <c r="J521" s="151" t="s">
        <v>6962</v>
      </c>
      <c r="K521" s="151">
        <f t="shared" si="26"/>
        <v>0</v>
      </c>
      <c r="L521" s="151" t="s">
        <v>9020</v>
      </c>
    </row>
    <row r="522" spans="1:12" x14ac:dyDescent="0.25">
      <c r="A522" s="151" t="s">
        <v>2645</v>
      </c>
      <c r="B522" s="151" t="s">
        <v>2997</v>
      </c>
      <c r="C522" s="151" t="s">
        <v>3572</v>
      </c>
      <c r="D522" s="151">
        <f t="shared" si="24"/>
        <v>0</v>
      </c>
      <c r="E522" s="151" t="str">
        <f t="shared" si="25"/>
        <v>GC-04314</v>
      </c>
      <c r="F522" s="151">
        <f>+IF(AND(C522*1&gt;=200,E522="GC-04314"),IF(D522=0,MAX(F$2:F521)+1,0),0)</f>
        <v>417</v>
      </c>
      <c r="H522" s="151" t="s">
        <v>6397</v>
      </c>
      <c r="I522" s="151" t="s">
        <v>6962</v>
      </c>
      <c r="J522" s="151" t="s">
        <v>6962</v>
      </c>
      <c r="K522" s="151">
        <f t="shared" si="26"/>
        <v>0</v>
      </c>
      <c r="L522" s="151" t="s">
        <v>9020</v>
      </c>
    </row>
    <row r="523" spans="1:12" x14ac:dyDescent="0.25">
      <c r="A523" s="151" t="s">
        <v>2646</v>
      </c>
      <c r="B523" s="151" t="s">
        <v>2997</v>
      </c>
      <c r="C523" s="151" t="s">
        <v>3573</v>
      </c>
      <c r="D523" s="151">
        <f t="shared" si="24"/>
        <v>0</v>
      </c>
      <c r="E523" s="151" t="str">
        <f t="shared" si="25"/>
        <v>GC-04314</v>
      </c>
      <c r="F523" s="151">
        <f>+IF(AND(C523*1&gt;=200,E523="GC-04314"),IF(D523=0,MAX(F$2:F522)+1,0),0)</f>
        <v>418</v>
      </c>
      <c r="H523" s="151" t="s">
        <v>6398</v>
      </c>
      <c r="I523" s="151" t="s">
        <v>6962</v>
      </c>
      <c r="J523" s="151" t="s">
        <v>6962</v>
      </c>
      <c r="K523" s="151">
        <f t="shared" si="26"/>
        <v>0</v>
      </c>
      <c r="L523" s="151" t="s">
        <v>9020</v>
      </c>
    </row>
    <row r="524" spans="1:12" x14ac:dyDescent="0.25">
      <c r="A524" s="151" t="s">
        <v>2647</v>
      </c>
      <c r="B524" s="151" t="s">
        <v>2997</v>
      </c>
      <c r="C524" s="151" t="s">
        <v>3574</v>
      </c>
      <c r="D524" s="151">
        <f t="shared" si="24"/>
        <v>0</v>
      </c>
      <c r="E524" s="151" t="str">
        <f t="shared" si="25"/>
        <v>GC-04314</v>
      </c>
      <c r="F524" s="151">
        <f>+IF(AND(C524*1&gt;=200,E524="GC-04314"),IF(D524=0,MAX(F$2:F523)+1,0),0)</f>
        <v>419</v>
      </c>
      <c r="H524" s="151" t="s">
        <v>6399</v>
      </c>
      <c r="I524" s="151" t="s">
        <v>6962</v>
      </c>
      <c r="J524" s="151" t="s">
        <v>6962</v>
      </c>
      <c r="K524" s="151">
        <f t="shared" si="26"/>
        <v>0</v>
      </c>
      <c r="L524" s="151" t="s">
        <v>9020</v>
      </c>
    </row>
    <row r="525" spans="1:12" x14ac:dyDescent="0.25">
      <c r="A525" s="151" t="s">
        <v>2648</v>
      </c>
      <c r="B525" s="151" t="s">
        <v>2997</v>
      </c>
      <c r="C525" s="151" t="s">
        <v>3575</v>
      </c>
      <c r="D525" s="151">
        <f t="shared" si="24"/>
        <v>0</v>
      </c>
      <c r="E525" s="151" t="str">
        <f t="shared" si="25"/>
        <v>GC-04314</v>
      </c>
      <c r="F525" s="151">
        <f>+IF(AND(C525*1&gt;=200,E525="GC-04314"),IF(D525=0,MAX(F$2:F524)+1,0),0)</f>
        <v>420</v>
      </c>
      <c r="H525" s="151" t="s">
        <v>6400</v>
      </c>
      <c r="I525" s="151" t="s">
        <v>6962</v>
      </c>
      <c r="J525" s="151" t="s">
        <v>6962</v>
      </c>
      <c r="K525" s="151">
        <f t="shared" si="26"/>
        <v>0</v>
      </c>
      <c r="L525" s="151" t="s">
        <v>9020</v>
      </c>
    </row>
    <row r="526" spans="1:12" x14ac:dyDescent="0.25">
      <c r="A526" s="151" t="s">
        <v>2649</v>
      </c>
      <c r="B526" s="151" t="s">
        <v>2997</v>
      </c>
      <c r="C526" s="151" t="s">
        <v>3576</v>
      </c>
      <c r="D526" s="151">
        <f t="shared" si="24"/>
        <v>0</v>
      </c>
      <c r="E526" s="151" t="str">
        <f t="shared" si="25"/>
        <v>GC-04314</v>
      </c>
      <c r="F526" s="151">
        <f>+IF(AND(C526*1&gt;=200,E526="GC-04314"),IF(D526=0,MAX(F$2:F525)+1,0),0)</f>
        <v>421</v>
      </c>
      <c r="H526" s="151" t="s">
        <v>6401</v>
      </c>
      <c r="I526" s="151" t="s">
        <v>6962</v>
      </c>
      <c r="J526" s="151" t="s">
        <v>6962</v>
      </c>
      <c r="K526" s="151">
        <f t="shared" si="26"/>
        <v>0</v>
      </c>
      <c r="L526" s="151" t="s">
        <v>9020</v>
      </c>
    </row>
    <row r="527" spans="1:12" x14ac:dyDescent="0.25">
      <c r="A527" s="151" t="s">
        <v>2650</v>
      </c>
      <c r="B527" s="151" t="s">
        <v>2997</v>
      </c>
      <c r="C527" s="151" t="s">
        <v>3577</v>
      </c>
      <c r="D527" s="151">
        <f t="shared" si="24"/>
        <v>0</v>
      </c>
      <c r="E527" s="151" t="str">
        <f t="shared" si="25"/>
        <v>GC-04314</v>
      </c>
      <c r="F527" s="151">
        <f>+IF(AND(C527*1&gt;=200,E527="GC-04314"),IF(D527=0,MAX(F$2:F526)+1,0),0)</f>
        <v>422</v>
      </c>
      <c r="H527" s="151" t="s">
        <v>6402</v>
      </c>
      <c r="I527" s="151" t="s">
        <v>6962</v>
      </c>
      <c r="J527" s="151" t="s">
        <v>6962</v>
      </c>
      <c r="K527" s="151">
        <f t="shared" si="26"/>
        <v>0</v>
      </c>
      <c r="L527" s="151" t="s">
        <v>9020</v>
      </c>
    </row>
    <row r="528" spans="1:12" x14ac:dyDescent="0.25">
      <c r="A528" s="151" t="s">
        <v>2651</v>
      </c>
      <c r="B528" s="151" t="s">
        <v>2997</v>
      </c>
      <c r="C528" s="151" t="s">
        <v>3578</v>
      </c>
      <c r="D528" s="151">
        <f t="shared" si="24"/>
        <v>0</v>
      </c>
      <c r="E528" s="151" t="str">
        <f t="shared" si="25"/>
        <v>GC-04314</v>
      </c>
      <c r="F528" s="151">
        <f>+IF(AND(C528*1&gt;=200,E528="GC-04314"),IF(D528=0,MAX(F$2:F527)+1,0),0)</f>
        <v>423</v>
      </c>
      <c r="H528" s="151" t="s">
        <v>6403</v>
      </c>
      <c r="I528" s="151" t="s">
        <v>6962</v>
      </c>
      <c r="J528" s="151" t="s">
        <v>6962</v>
      </c>
      <c r="K528" s="151">
        <f t="shared" si="26"/>
        <v>0</v>
      </c>
      <c r="L528" s="151" t="s">
        <v>9020</v>
      </c>
    </row>
    <row r="529" spans="1:12" x14ac:dyDescent="0.25">
      <c r="A529" s="151" t="s">
        <v>2652</v>
      </c>
      <c r="B529" s="151" t="s">
        <v>2997</v>
      </c>
      <c r="C529" s="151" t="s">
        <v>3579</v>
      </c>
      <c r="D529" s="151">
        <f t="shared" si="24"/>
        <v>0</v>
      </c>
      <c r="E529" s="151" t="str">
        <f t="shared" si="25"/>
        <v>GC-04314</v>
      </c>
      <c r="F529" s="151">
        <f>+IF(AND(C529*1&gt;=200,E529="GC-04314"),IF(D529=0,MAX(F$2:F528)+1,0),0)</f>
        <v>424</v>
      </c>
      <c r="H529" s="151" t="s">
        <v>6404</v>
      </c>
      <c r="I529" s="151" t="s">
        <v>6962</v>
      </c>
      <c r="J529" s="151" t="s">
        <v>6962</v>
      </c>
      <c r="K529" s="151">
        <f t="shared" si="26"/>
        <v>0</v>
      </c>
      <c r="L529" s="151" t="s">
        <v>9020</v>
      </c>
    </row>
    <row r="530" spans="1:12" x14ac:dyDescent="0.25">
      <c r="A530" s="151" t="s">
        <v>2653</v>
      </c>
      <c r="B530" s="151" t="s">
        <v>2997</v>
      </c>
      <c r="C530" s="151" t="s">
        <v>3580</v>
      </c>
      <c r="D530" s="151">
        <f t="shared" si="24"/>
        <v>0</v>
      </c>
      <c r="E530" s="151" t="str">
        <f t="shared" si="25"/>
        <v>GC-04314</v>
      </c>
      <c r="F530" s="151">
        <f>+IF(AND(C530*1&gt;=200,E530="GC-04314"),IF(D530=0,MAX(F$2:F529)+1,0),0)</f>
        <v>425</v>
      </c>
      <c r="H530" s="151" t="s">
        <v>6405</v>
      </c>
      <c r="I530" s="151" t="s">
        <v>6962</v>
      </c>
      <c r="J530" s="151" t="s">
        <v>6962</v>
      </c>
      <c r="K530" s="151">
        <f t="shared" si="26"/>
        <v>0</v>
      </c>
      <c r="L530" s="151" t="s">
        <v>9020</v>
      </c>
    </row>
    <row r="531" spans="1:12" x14ac:dyDescent="0.25">
      <c r="A531" s="151" t="s">
        <v>2654</v>
      </c>
      <c r="B531" s="151" t="s">
        <v>2997</v>
      </c>
      <c r="C531" s="151" t="s">
        <v>3581</v>
      </c>
      <c r="D531" s="151">
        <f t="shared" si="24"/>
        <v>0</v>
      </c>
      <c r="E531" s="151" t="str">
        <f t="shared" si="25"/>
        <v>GC-04314</v>
      </c>
      <c r="F531" s="151">
        <f>+IF(AND(C531*1&gt;=200,E531="GC-04314"),IF(D531=0,MAX(F$2:F530)+1,0),0)</f>
        <v>426</v>
      </c>
      <c r="H531" s="151" t="s">
        <v>6406</v>
      </c>
      <c r="I531" s="151" t="s">
        <v>6962</v>
      </c>
      <c r="J531" s="151" t="s">
        <v>6962</v>
      </c>
      <c r="K531" s="151">
        <f t="shared" si="26"/>
        <v>0</v>
      </c>
      <c r="L531" s="151" t="s">
        <v>9020</v>
      </c>
    </row>
    <row r="532" spans="1:12" x14ac:dyDescent="0.25">
      <c r="A532" s="151" t="s">
        <v>2655</v>
      </c>
      <c r="B532" s="151" t="s">
        <v>2997</v>
      </c>
      <c r="C532" s="151" t="s">
        <v>3582</v>
      </c>
      <c r="D532" s="151">
        <f t="shared" si="24"/>
        <v>0</v>
      </c>
      <c r="E532" s="151" t="str">
        <f t="shared" si="25"/>
        <v>GC-04314</v>
      </c>
      <c r="F532" s="151">
        <f>+IF(AND(C532*1&gt;=200,E532="GC-04314"),IF(D532=0,MAX(F$2:F531)+1,0),0)</f>
        <v>427</v>
      </c>
      <c r="H532" s="151" t="s">
        <v>6407</v>
      </c>
      <c r="I532" s="151" t="s">
        <v>6962</v>
      </c>
      <c r="J532" s="151" t="s">
        <v>6962</v>
      </c>
      <c r="K532" s="151">
        <f t="shared" si="26"/>
        <v>0</v>
      </c>
      <c r="L532" s="151" t="s">
        <v>9020</v>
      </c>
    </row>
    <row r="533" spans="1:12" x14ac:dyDescent="0.25">
      <c r="A533" s="151" t="s">
        <v>2656</v>
      </c>
      <c r="B533" s="151" t="s">
        <v>2997</v>
      </c>
      <c r="C533" s="151" t="s">
        <v>3583</v>
      </c>
      <c r="D533" s="151">
        <f t="shared" si="24"/>
        <v>0</v>
      </c>
      <c r="E533" s="151" t="str">
        <f t="shared" si="25"/>
        <v>GC-04314</v>
      </c>
      <c r="F533" s="151">
        <f>+IF(AND(C533*1&gt;=200,E533="GC-04314"),IF(D533=0,MAX(F$2:F532)+1,0),0)</f>
        <v>428</v>
      </c>
      <c r="H533" s="151" t="s">
        <v>6408</v>
      </c>
      <c r="I533" s="151" t="s">
        <v>6962</v>
      </c>
      <c r="J533" s="151" t="s">
        <v>6962</v>
      </c>
      <c r="K533" s="151">
        <f t="shared" si="26"/>
        <v>0</v>
      </c>
      <c r="L533" s="151" t="s">
        <v>9020</v>
      </c>
    </row>
    <row r="534" spans="1:12" x14ac:dyDescent="0.25">
      <c r="A534" s="151" t="s">
        <v>2657</v>
      </c>
      <c r="B534" s="151" t="s">
        <v>2997</v>
      </c>
      <c r="C534" s="151" t="s">
        <v>3584</v>
      </c>
      <c r="D534" s="151">
        <f t="shared" si="24"/>
        <v>0</v>
      </c>
      <c r="E534" s="151" t="str">
        <f t="shared" si="25"/>
        <v>GC-04314</v>
      </c>
      <c r="F534" s="151">
        <f>+IF(AND(C534*1&gt;=200,E534="GC-04314"),IF(D534=0,MAX(F$2:F533)+1,0),0)</f>
        <v>429</v>
      </c>
      <c r="H534" s="151" t="s">
        <v>6409</v>
      </c>
      <c r="I534" s="151" t="s">
        <v>6962</v>
      </c>
      <c r="J534" s="151" t="s">
        <v>6962</v>
      </c>
      <c r="K534" s="151">
        <f t="shared" si="26"/>
        <v>0</v>
      </c>
      <c r="L534" s="151" t="s">
        <v>9020</v>
      </c>
    </row>
    <row r="535" spans="1:12" x14ac:dyDescent="0.25">
      <c r="A535" s="151" t="s">
        <v>2658</v>
      </c>
      <c r="B535" s="151" t="s">
        <v>2997</v>
      </c>
      <c r="C535" s="151" t="s">
        <v>3585</v>
      </c>
      <c r="D535" s="151">
        <f t="shared" si="24"/>
        <v>0</v>
      </c>
      <c r="E535" s="151" t="str">
        <f t="shared" si="25"/>
        <v>GC-04314</v>
      </c>
      <c r="F535" s="151">
        <f>+IF(AND(C535*1&gt;=200,E535="GC-04314"),IF(D535=0,MAX(F$2:F534)+1,0),0)</f>
        <v>430</v>
      </c>
      <c r="H535" s="151" t="s">
        <v>6410</v>
      </c>
      <c r="I535" s="151" t="s">
        <v>6962</v>
      </c>
      <c r="J535" s="151" t="s">
        <v>6962</v>
      </c>
      <c r="K535" s="151">
        <f t="shared" si="26"/>
        <v>0</v>
      </c>
      <c r="L535" s="151" t="s">
        <v>9020</v>
      </c>
    </row>
    <row r="536" spans="1:12" x14ac:dyDescent="0.25">
      <c r="A536" s="151" t="s">
        <v>2659</v>
      </c>
      <c r="B536" s="151" t="s">
        <v>2997</v>
      </c>
      <c r="C536" s="151" t="s">
        <v>3586</v>
      </c>
      <c r="D536" s="151">
        <f t="shared" si="24"/>
        <v>0</v>
      </c>
      <c r="E536" s="151" t="str">
        <f t="shared" si="25"/>
        <v>GC-04314</v>
      </c>
      <c r="F536" s="151">
        <f>+IF(AND(C536*1&gt;=200,E536="GC-04314"),IF(D536=0,MAX(F$2:F535)+1,0),0)</f>
        <v>431</v>
      </c>
      <c r="H536" s="151" t="s">
        <v>6411</v>
      </c>
      <c r="I536" s="151" t="s">
        <v>6962</v>
      </c>
      <c r="J536" s="151" t="s">
        <v>6962</v>
      </c>
      <c r="K536" s="151">
        <f t="shared" si="26"/>
        <v>0</v>
      </c>
      <c r="L536" s="151" t="s">
        <v>9020</v>
      </c>
    </row>
    <row r="537" spans="1:12" x14ac:dyDescent="0.25">
      <c r="A537" s="151" t="s">
        <v>2660</v>
      </c>
      <c r="B537" s="151" t="s">
        <v>2997</v>
      </c>
      <c r="C537" s="151" t="s">
        <v>3587</v>
      </c>
      <c r="D537" s="151">
        <f t="shared" si="24"/>
        <v>0</v>
      </c>
      <c r="E537" s="151" t="str">
        <f t="shared" si="25"/>
        <v>GC-04314</v>
      </c>
      <c r="F537" s="151">
        <f>+IF(AND(C537*1&gt;=200,E537="GC-04314"),IF(D537=0,MAX(F$2:F536)+1,0),0)</f>
        <v>432</v>
      </c>
      <c r="H537" s="151" t="s">
        <v>6412</v>
      </c>
      <c r="I537" s="151" t="s">
        <v>6962</v>
      </c>
      <c r="J537" s="151" t="s">
        <v>6962</v>
      </c>
      <c r="K537" s="151">
        <f t="shared" si="26"/>
        <v>0</v>
      </c>
      <c r="L537" s="151" t="s">
        <v>9020</v>
      </c>
    </row>
    <row r="538" spans="1:12" x14ac:dyDescent="0.25">
      <c r="A538" s="151" t="s">
        <v>2661</v>
      </c>
      <c r="B538" s="151" t="s">
        <v>2997</v>
      </c>
      <c r="C538" s="151" t="s">
        <v>3588</v>
      </c>
      <c r="D538" s="151">
        <f t="shared" si="24"/>
        <v>0</v>
      </c>
      <c r="E538" s="151" t="str">
        <f t="shared" si="25"/>
        <v>GC-04314</v>
      </c>
      <c r="F538" s="151">
        <f>+IF(AND(C538*1&gt;=200,E538="GC-04314"),IF(D538=0,MAX(F$2:F537)+1,0),0)</f>
        <v>433</v>
      </c>
      <c r="H538" s="151" t="s">
        <v>6413</v>
      </c>
      <c r="I538" s="151" t="s">
        <v>6962</v>
      </c>
      <c r="J538" s="151" t="s">
        <v>6962</v>
      </c>
      <c r="K538" s="151">
        <f t="shared" si="26"/>
        <v>0</v>
      </c>
      <c r="L538" s="151" t="s">
        <v>9020</v>
      </c>
    </row>
    <row r="539" spans="1:12" x14ac:dyDescent="0.25">
      <c r="A539" s="151" t="s">
        <v>2662</v>
      </c>
      <c r="B539" s="151" t="s">
        <v>2997</v>
      </c>
      <c r="C539" s="151" t="s">
        <v>3589</v>
      </c>
      <c r="D539" s="151">
        <f t="shared" si="24"/>
        <v>0</v>
      </c>
      <c r="E539" s="151" t="str">
        <f t="shared" si="25"/>
        <v>GC-04314</v>
      </c>
      <c r="F539" s="151">
        <f>+IF(AND(C539*1&gt;=200,E539="GC-04314"),IF(D539=0,MAX(F$2:F538)+1,0),0)</f>
        <v>434</v>
      </c>
      <c r="H539" s="151" t="s">
        <v>6414</v>
      </c>
      <c r="I539" s="151" t="s">
        <v>6962</v>
      </c>
      <c r="J539" s="151" t="s">
        <v>6962</v>
      </c>
      <c r="K539" s="151">
        <f t="shared" si="26"/>
        <v>0</v>
      </c>
      <c r="L539" s="151" t="s">
        <v>9020</v>
      </c>
    </row>
    <row r="540" spans="1:12" x14ac:dyDescent="0.25">
      <c r="A540" s="151" t="s">
        <v>2663</v>
      </c>
      <c r="B540" s="151" t="s">
        <v>2997</v>
      </c>
      <c r="C540" s="151" t="s">
        <v>3590</v>
      </c>
      <c r="D540" s="151">
        <f t="shared" si="24"/>
        <v>0</v>
      </c>
      <c r="E540" s="151" t="str">
        <f t="shared" si="25"/>
        <v>GC-04314</v>
      </c>
      <c r="F540" s="151">
        <f>+IF(AND(C540*1&gt;=200,E540="GC-04314"),IF(D540=0,MAX(F$2:F539)+1,0),0)</f>
        <v>435</v>
      </c>
      <c r="H540" s="151" t="s">
        <v>6415</v>
      </c>
      <c r="I540" s="151" t="s">
        <v>6962</v>
      </c>
      <c r="J540" s="151" t="s">
        <v>6962</v>
      </c>
      <c r="K540" s="151">
        <f t="shared" si="26"/>
        <v>0</v>
      </c>
      <c r="L540" s="151" t="s">
        <v>9020</v>
      </c>
    </row>
    <row r="541" spans="1:12" x14ac:dyDescent="0.25">
      <c r="A541" s="151" t="s">
        <v>2664</v>
      </c>
      <c r="B541" s="151" t="s">
        <v>2997</v>
      </c>
      <c r="C541" s="151" t="s">
        <v>3591</v>
      </c>
      <c r="D541" s="151">
        <f t="shared" si="24"/>
        <v>0</v>
      </c>
      <c r="E541" s="151" t="str">
        <f t="shared" si="25"/>
        <v>GC-04314</v>
      </c>
      <c r="F541" s="151">
        <f>+IF(AND(C541*1&gt;=200,E541="GC-04314"),IF(D541=0,MAX(F$2:F540)+1,0),0)</f>
        <v>436</v>
      </c>
      <c r="H541" s="151" t="s">
        <v>6416</v>
      </c>
      <c r="I541" s="151" t="s">
        <v>6962</v>
      </c>
      <c r="J541" s="151" t="s">
        <v>6962</v>
      </c>
      <c r="K541" s="151">
        <f t="shared" si="26"/>
        <v>0</v>
      </c>
      <c r="L541" s="151" t="s">
        <v>9020</v>
      </c>
    </row>
    <row r="542" spans="1:12" x14ac:dyDescent="0.25">
      <c r="A542" s="151" t="s">
        <v>2665</v>
      </c>
      <c r="B542" s="151" t="s">
        <v>2997</v>
      </c>
      <c r="C542" s="151" t="s">
        <v>3592</v>
      </c>
      <c r="D542" s="151">
        <f t="shared" si="24"/>
        <v>0</v>
      </c>
      <c r="E542" s="151" t="str">
        <f t="shared" si="25"/>
        <v>GC-04314</v>
      </c>
      <c r="F542" s="151">
        <f>+IF(AND(C542*1&gt;=200,E542="GC-04314"),IF(D542=0,MAX(F$2:F541)+1,0),0)</f>
        <v>437</v>
      </c>
      <c r="H542" s="151" t="s">
        <v>6417</v>
      </c>
      <c r="I542" s="151" t="s">
        <v>6962</v>
      </c>
      <c r="J542" s="151" t="s">
        <v>6962</v>
      </c>
      <c r="K542" s="151">
        <f t="shared" si="26"/>
        <v>0</v>
      </c>
      <c r="L542" s="151" t="s">
        <v>9020</v>
      </c>
    </row>
    <row r="543" spans="1:12" x14ac:dyDescent="0.25">
      <c r="A543" s="151" t="s">
        <v>2666</v>
      </c>
      <c r="B543" s="151" t="s">
        <v>2997</v>
      </c>
      <c r="C543" s="151" t="s">
        <v>3593</v>
      </c>
      <c r="D543" s="151">
        <f t="shared" si="24"/>
        <v>0</v>
      </c>
      <c r="E543" s="151" t="str">
        <f t="shared" si="25"/>
        <v>GC-04314</v>
      </c>
      <c r="F543" s="151">
        <f>+IF(AND(C543*1&gt;=200,E543="GC-04314"),IF(D543=0,MAX(F$2:F542)+1,0),0)</f>
        <v>438</v>
      </c>
      <c r="H543" s="151" t="s">
        <v>6418</v>
      </c>
      <c r="I543" s="151" t="s">
        <v>6962</v>
      </c>
      <c r="J543" s="151" t="s">
        <v>6962</v>
      </c>
      <c r="K543" s="151">
        <f t="shared" si="26"/>
        <v>0</v>
      </c>
      <c r="L543" s="151" t="s">
        <v>9020</v>
      </c>
    </row>
    <row r="544" spans="1:12" x14ac:dyDescent="0.25">
      <c r="A544" s="151" t="s">
        <v>2667</v>
      </c>
      <c r="B544" s="151" t="s">
        <v>2997</v>
      </c>
      <c r="C544" s="151" t="s">
        <v>3594</v>
      </c>
      <c r="D544" s="151">
        <f t="shared" si="24"/>
        <v>0</v>
      </c>
      <c r="E544" s="151" t="str">
        <f t="shared" si="25"/>
        <v>GC-04314</v>
      </c>
      <c r="F544" s="151">
        <f>+IF(AND(C544*1&gt;=200,E544="GC-04314"),IF(D544=0,MAX(F$2:F543)+1,0),0)</f>
        <v>439</v>
      </c>
      <c r="H544" s="151" t="s">
        <v>6419</v>
      </c>
      <c r="I544" s="151" t="s">
        <v>6962</v>
      </c>
      <c r="J544" s="151" t="s">
        <v>6962</v>
      </c>
      <c r="K544" s="151">
        <f t="shared" si="26"/>
        <v>0</v>
      </c>
      <c r="L544" s="151" t="s">
        <v>9020</v>
      </c>
    </row>
    <row r="545" spans="1:12" x14ac:dyDescent="0.25">
      <c r="A545" s="151" t="s">
        <v>2668</v>
      </c>
      <c r="B545" s="151" t="s">
        <v>2997</v>
      </c>
      <c r="C545" s="151" t="s">
        <v>3595</v>
      </c>
      <c r="D545" s="151">
        <f t="shared" si="24"/>
        <v>0</v>
      </c>
      <c r="E545" s="151" t="str">
        <f t="shared" si="25"/>
        <v>GC-04314</v>
      </c>
      <c r="F545" s="151">
        <f>+IF(AND(C545*1&gt;=200,E545="GC-04314"),IF(D545=0,MAX(F$2:F544)+1,0),0)</f>
        <v>440</v>
      </c>
      <c r="H545" s="151" t="s">
        <v>6420</v>
      </c>
      <c r="I545" s="151" t="s">
        <v>6962</v>
      </c>
      <c r="J545" s="151" t="s">
        <v>6962</v>
      </c>
      <c r="K545" s="151">
        <f t="shared" si="26"/>
        <v>0</v>
      </c>
      <c r="L545" s="151" t="s">
        <v>9020</v>
      </c>
    </row>
    <row r="546" spans="1:12" x14ac:dyDescent="0.25">
      <c r="A546" s="151" t="s">
        <v>2669</v>
      </c>
      <c r="B546" s="151" t="s">
        <v>2997</v>
      </c>
      <c r="C546" s="151" t="s">
        <v>3596</v>
      </c>
      <c r="D546" s="151">
        <f t="shared" si="24"/>
        <v>0</v>
      </c>
      <c r="E546" s="151" t="str">
        <f t="shared" si="25"/>
        <v>GC-04314</v>
      </c>
      <c r="F546" s="151">
        <f>+IF(AND(C546*1&gt;=200,E546="GC-04314"),IF(D546=0,MAX(F$2:F545)+1,0),0)</f>
        <v>441</v>
      </c>
      <c r="H546" s="151" t="s">
        <v>6421</v>
      </c>
      <c r="I546" s="151" t="s">
        <v>6962</v>
      </c>
      <c r="J546" s="151" t="s">
        <v>6962</v>
      </c>
      <c r="K546" s="151">
        <f t="shared" si="26"/>
        <v>0</v>
      </c>
      <c r="L546" s="151" t="s">
        <v>9020</v>
      </c>
    </row>
    <row r="547" spans="1:12" x14ac:dyDescent="0.25">
      <c r="A547" s="151" t="s">
        <v>2670</v>
      </c>
      <c r="B547" s="151" t="s">
        <v>2997</v>
      </c>
      <c r="C547" s="151" t="s">
        <v>3597</v>
      </c>
      <c r="D547" s="151">
        <f t="shared" si="24"/>
        <v>0</v>
      </c>
      <c r="E547" s="151" t="str">
        <f t="shared" si="25"/>
        <v>GC-04314</v>
      </c>
      <c r="F547" s="151">
        <f>+IF(AND(C547*1&gt;=200,E547="GC-04314"),IF(D547=0,MAX(F$2:F546)+1,0),0)</f>
        <v>442</v>
      </c>
      <c r="H547" s="151" t="s">
        <v>6422</v>
      </c>
      <c r="I547" s="151" t="s">
        <v>6962</v>
      </c>
      <c r="J547" s="151" t="s">
        <v>6962</v>
      </c>
      <c r="K547" s="151">
        <f t="shared" si="26"/>
        <v>0</v>
      </c>
      <c r="L547" s="151" t="s">
        <v>9020</v>
      </c>
    </row>
    <row r="548" spans="1:12" x14ac:dyDescent="0.25">
      <c r="A548" s="151" t="s">
        <v>2671</v>
      </c>
      <c r="B548" s="151" t="s">
        <v>2997</v>
      </c>
      <c r="C548" s="151" t="s">
        <v>3598</v>
      </c>
      <c r="D548" s="151">
        <f t="shared" si="24"/>
        <v>0</v>
      </c>
      <c r="E548" s="151" t="str">
        <f t="shared" si="25"/>
        <v>GC-04314</v>
      </c>
      <c r="F548" s="151">
        <f>+IF(AND(C548*1&gt;=200,E548="GC-04314"),IF(D548=0,MAX(F$2:F547)+1,0),0)</f>
        <v>443</v>
      </c>
      <c r="H548" s="151" t="s">
        <v>6423</v>
      </c>
      <c r="I548" s="151" t="s">
        <v>6962</v>
      </c>
      <c r="J548" s="151" t="s">
        <v>6962</v>
      </c>
      <c r="K548" s="151">
        <f t="shared" si="26"/>
        <v>0</v>
      </c>
      <c r="L548" s="151" t="s">
        <v>9020</v>
      </c>
    </row>
    <row r="549" spans="1:12" x14ac:dyDescent="0.25">
      <c r="A549" s="151" t="s">
        <v>2672</v>
      </c>
      <c r="B549" s="151" t="s">
        <v>2997</v>
      </c>
      <c r="C549" s="151" t="s">
        <v>3599</v>
      </c>
      <c r="D549" s="151">
        <f t="shared" si="24"/>
        <v>0</v>
      </c>
      <c r="E549" s="151" t="str">
        <f t="shared" si="25"/>
        <v>GC-04314</v>
      </c>
      <c r="F549" s="151">
        <f>+IF(AND(C549*1&gt;=200,E549="GC-04314"),IF(D549=0,MAX(F$2:F548)+1,0),0)</f>
        <v>444</v>
      </c>
      <c r="H549" s="151" t="s">
        <v>6424</v>
      </c>
      <c r="I549" s="151" t="s">
        <v>6962</v>
      </c>
      <c r="J549" s="151" t="s">
        <v>6962</v>
      </c>
      <c r="K549" s="151">
        <f t="shared" si="26"/>
        <v>0</v>
      </c>
      <c r="L549" s="151" t="s">
        <v>9020</v>
      </c>
    </row>
    <row r="550" spans="1:12" x14ac:dyDescent="0.25">
      <c r="A550" s="151" t="s">
        <v>2673</v>
      </c>
      <c r="B550" s="151" t="s">
        <v>2997</v>
      </c>
      <c r="C550" s="151" t="s">
        <v>3600</v>
      </c>
      <c r="D550" s="151">
        <f t="shared" si="24"/>
        <v>0</v>
      </c>
      <c r="E550" s="151" t="str">
        <f t="shared" si="25"/>
        <v>GC-04314</v>
      </c>
      <c r="F550" s="151">
        <f>+IF(AND(C550*1&gt;=200,E550="GC-04314"),IF(D550=0,MAX(F$2:F549)+1,0),0)</f>
        <v>445</v>
      </c>
      <c r="H550" s="151" t="s">
        <v>6425</v>
      </c>
      <c r="I550" s="151" t="s">
        <v>6962</v>
      </c>
      <c r="J550" s="151" t="s">
        <v>6962</v>
      </c>
      <c r="K550" s="151">
        <f t="shared" si="26"/>
        <v>0</v>
      </c>
      <c r="L550" s="151" t="s">
        <v>9020</v>
      </c>
    </row>
    <row r="551" spans="1:12" x14ac:dyDescent="0.25">
      <c r="A551" s="151" t="s">
        <v>2674</v>
      </c>
      <c r="B551" s="151" t="s">
        <v>2997</v>
      </c>
      <c r="C551" s="151" t="s">
        <v>3601</v>
      </c>
      <c r="D551" s="151">
        <f t="shared" si="24"/>
        <v>0</v>
      </c>
      <c r="E551" s="151" t="str">
        <f t="shared" si="25"/>
        <v>GC-04314</v>
      </c>
      <c r="F551" s="151">
        <f>+IF(AND(C551*1&gt;=200,E551="GC-04314"),IF(D551=0,MAX(F$2:F550)+1,0),0)</f>
        <v>446</v>
      </c>
      <c r="H551" s="151" t="s">
        <v>6426</v>
      </c>
      <c r="I551" s="151" t="s">
        <v>6962</v>
      </c>
      <c r="J551" s="151" t="s">
        <v>6962</v>
      </c>
      <c r="K551" s="151">
        <f t="shared" si="26"/>
        <v>0</v>
      </c>
      <c r="L551" s="151" t="s">
        <v>9020</v>
      </c>
    </row>
    <row r="552" spans="1:12" x14ac:dyDescent="0.25">
      <c r="A552" s="151" t="s">
        <v>2675</v>
      </c>
      <c r="B552" s="151" t="s">
        <v>2997</v>
      </c>
      <c r="C552" s="151" t="s">
        <v>3602</v>
      </c>
      <c r="D552" s="151">
        <f t="shared" si="24"/>
        <v>0</v>
      </c>
      <c r="E552" s="151" t="str">
        <f t="shared" si="25"/>
        <v>GC-04314</v>
      </c>
      <c r="F552" s="151">
        <f>+IF(AND(C552*1&gt;=200,E552="GC-04314"),IF(D552=0,MAX(F$2:F551)+1,0),0)</f>
        <v>447</v>
      </c>
      <c r="H552" s="151" t="s">
        <v>6427</v>
      </c>
      <c r="I552" s="151" t="s">
        <v>6962</v>
      </c>
      <c r="J552" s="151" t="s">
        <v>6962</v>
      </c>
      <c r="K552" s="151">
        <f t="shared" si="26"/>
        <v>0</v>
      </c>
      <c r="L552" s="151" t="s">
        <v>9020</v>
      </c>
    </row>
    <row r="553" spans="1:12" x14ac:dyDescent="0.25">
      <c r="A553" s="151" t="s">
        <v>2676</v>
      </c>
      <c r="B553" s="151" t="s">
        <v>2997</v>
      </c>
      <c r="C553" s="151" t="s">
        <v>3603</v>
      </c>
      <c r="D553" s="151">
        <f t="shared" si="24"/>
        <v>0</v>
      </c>
      <c r="E553" s="151" t="str">
        <f t="shared" si="25"/>
        <v>GC-04314</v>
      </c>
      <c r="F553" s="151">
        <f>+IF(AND(C553*1&gt;=200,E553="GC-04314"),IF(D553=0,MAX(F$2:F552)+1,0),0)</f>
        <v>448</v>
      </c>
      <c r="H553" s="151" t="s">
        <v>6428</v>
      </c>
      <c r="I553" s="151" t="s">
        <v>6962</v>
      </c>
      <c r="J553" s="151" t="s">
        <v>6962</v>
      </c>
      <c r="K553" s="151">
        <f t="shared" si="26"/>
        <v>0</v>
      </c>
      <c r="L553" s="151" t="s">
        <v>9020</v>
      </c>
    </row>
    <row r="554" spans="1:12" x14ac:dyDescent="0.25">
      <c r="A554" s="151" t="s">
        <v>2677</v>
      </c>
      <c r="B554" s="151" t="s">
        <v>2997</v>
      </c>
      <c r="C554" s="151" t="s">
        <v>3604</v>
      </c>
      <c r="D554" s="151">
        <f t="shared" si="24"/>
        <v>0</v>
      </c>
      <c r="E554" s="151" t="str">
        <f t="shared" si="25"/>
        <v>GC-04314</v>
      </c>
      <c r="F554" s="151">
        <f>+IF(AND(C554*1&gt;=200,E554="GC-04314"),IF(D554=0,MAX(F$2:F553)+1,0),0)</f>
        <v>449</v>
      </c>
      <c r="H554" s="151" t="s">
        <v>6429</v>
      </c>
      <c r="I554" s="151" t="s">
        <v>6962</v>
      </c>
      <c r="J554" s="151" t="s">
        <v>6962</v>
      </c>
      <c r="K554" s="151">
        <f t="shared" si="26"/>
        <v>0</v>
      </c>
      <c r="L554" s="151" t="s">
        <v>9020</v>
      </c>
    </row>
    <row r="555" spans="1:12" x14ac:dyDescent="0.25">
      <c r="A555" s="151" t="s">
        <v>2678</v>
      </c>
      <c r="B555" s="151" t="s">
        <v>2997</v>
      </c>
      <c r="C555" s="151" t="s">
        <v>3605</v>
      </c>
      <c r="D555" s="151">
        <f t="shared" si="24"/>
        <v>0</v>
      </c>
      <c r="E555" s="151" t="str">
        <f t="shared" si="25"/>
        <v>GC-04314</v>
      </c>
      <c r="F555" s="151">
        <f>+IF(AND(C555*1&gt;=200,E555="GC-04314"),IF(D555=0,MAX(F$2:F554)+1,0),0)</f>
        <v>450</v>
      </c>
      <c r="H555" s="151" t="s">
        <v>6430</v>
      </c>
      <c r="I555" s="151" t="s">
        <v>6962</v>
      </c>
      <c r="J555" s="151" t="s">
        <v>6962</v>
      </c>
      <c r="K555" s="151">
        <f t="shared" si="26"/>
        <v>0</v>
      </c>
      <c r="L555" s="151" t="s">
        <v>9020</v>
      </c>
    </row>
    <row r="556" spans="1:12" x14ac:dyDescent="0.25">
      <c r="A556" s="151" t="s">
        <v>2679</v>
      </c>
      <c r="B556" s="151" t="s">
        <v>2997</v>
      </c>
      <c r="C556" s="151" t="s">
        <v>3606</v>
      </c>
      <c r="D556" s="151">
        <f t="shared" si="24"/>
        <v>0</v>
      </c>
      <c r="E556" s="151" t="str">
        <f t="shared" si="25"/>
        <v>GC-04314</v>
      </c>
      <c r="F556" s="151">
        <f>+IF(AND(C556*1&gt;=200,E556="GC-04314"),IF(D556=0,MAX(F$2:F555)+1,0),0)</f>
        <v>451</v>
      </c>
      <c r="H556" s="151" t="s">
        <v>6431</v>
      </c>
      <c r="I556" s="151" t="s">
        <v>6962</v>
      </c>
      <c r="J556" s="151" t="s">
        <v>6962</v>
      </c>
      <c r="K556" s="151">
        <f t="shared" si="26"/>
        <v>0</v>
      </c>
      <c r="L556" s="151" t="s">
        <v>9020</v>
      </c>
    </row>
    <row r="557" spans="1:12" x14ac:dyDescent="0.25">
      <c r="A557" s="151" t="s">
        <v>2680</v>
      </c>
      <c r="B557" s="151" t="s">
        <v>2997</v>
      </c>
      <c r="C557" s="151" t="s">
        <v>3607</v>
      </c>
      <c r="D557" s="151">
        <f t="shared" si="24"/>
        <v>0</v>
      </c>
      <c r="E557" s="151" t="str">
        <f t="shared" si="25"/>
        <v>GC-04314</v>
      </c>
      <c r="F557" s="151">
        <f>+IF(AND(C557*1&gt;=200,E557="GC-04314"),IF(D557=0,MAX(F$2:F556)+1,0),0)</f>
        <v>452</v>
      </c>
      <c r="H557" s="151" t="s">
        <v>6432</v>
      </c>
      <c r="I557" s="151" t="s">
        <v>6962</v>
      </c>
      <c r="J557" s="151" t="s">
        <v>6962</v>
      </c>
      <c r="K557" s="151">
        <f t="shared" si="26"/>
        <v>0</v>
      </c>
      <c r="L557" s="151" t="s">
        <v>9020</v>
      </c>
    </row>
    <row r="558" spans="1:12" x14ac:dyDescent="0.25">
      <c r="A558" s="151" t="s">
        <v>2681</v>
      </c>
      <c r="B558" s="151" t="s">
        <v>2997</v>
      </c>
      <c r="C558" s="151" t="s">
        <v>3608</v>
      </c>
      <c r="D558" s="151">
        <f t="shared" si="24"/>
        <v>0</v>
      </c>
      <c r="E558" s="151" t="str">
        <f t="shared" si="25"/>
        <v>GC-04314</v>
      </c>
      <c r="F558" s="151">
        <f>+IF(AND(C558*1&gt;=200,E558="GC-04314"),IF(D558=0,MAX(F$2:F557)+1,0),0)</f>
        <v>453</v>
      </c>
      <c r="H558" s="151" t="s">
        <v>6433</v>
      </c>
      <c r="I558" s="151" t="s">
        <v>6962</v>
      </c>
      <c r="J558" s="151" t="s">
        <v>6962</v>
      </c>
      <c r="K558" s="151">
        <f t="shared" si="26"/>
        <v>0</v>
      </c>
      <c r="L558" s="151" t="s">
        <v>9020</v>
      </c>
    </row>
    <row r="559" spans="1:12" x14ac:dyDescent="0.25">
      <c r="A559" s="151" t="s">
        <v>2682</v>
      </c>
      <c r="B559" s="151" t="s">
        <v>2997</v>
      </c>
      <c r="C559" s="151" t="s">
        <v>3609</v>
      </c>
      <c r="D559" s="151">
        <f t="shared" si="24"/>
        <v>0</v>
      </c>
      <c r="E559" s="151" t="str">
        <f t="shared" si="25"/>
        <v>GC-04314</v>
      </c>
      <c r="F559" s="151">
        <f>+IF(AND(C559*1&gt;=200,E559="GC-04314"),IF(D559=0,MAX(F$2:F558)+1,0),0)</f>
        <v>454</v>
      </c>
      <c r="H559" s="151" t="s">
        <v>6434</v>
      </c>
      <c r="I559" s="151" t="s">
        <v>6962</v>
      </c>
      <c r="J559" s="151" t="s">
        <v>6962</v>
      </c>
      <c r="K559" s="151">
        <f t="shared" si="26"/>
        <v>0</v>
      </c>
      <c r="L559" s="151" t="s">
        <v>9020</v>
      </c>
    </row>
    <row r="560" spans="1:12" x14ac:dyDescent="0.25">
      <c r="A560" s="151" t="s">
        <v>2683</v>
      </c>
      <c r="B560" s="151" t="s">
        <v>2997</v>
      </c>
      <c r="C560" s="151" t="s">
        <v>3610</v>
      </c>
      <c r="D560" s="151">
        <f t="shared" si="24"/>
        <v>0</v>
      </c>
      <c r="E560" s="151" t="str">
        <f t="shared" si="25"/>
        <v>GC-04314</v>
      </c>
      <c r="F560" s="151">
        <f>+IF(AND(C560*1&gt;=200,E560="GC-04314"),IF(D560=0,MAX(F$2:F559)+1,0),0)</f>
        <v>455</v>
      </c>
      <c r="H560" s="151" t="s">
        <v>6435</v>
      </c>
      <c r="I560" s="151" t="s">
        <v>6962</v>
      </c>
      <c r="J560" s="151" t="s">
        <v>6962</v>
      </c>
      <c r="K560" s="151">
        <f t="shared" si="26"/>
        <v>0</v>
      </c>
      <c r="L560" s="151" t="s">
        <v>9020</v>
      </c>
    </row>
    <row r="561" spans="1:12" x14ac:dyDescent="0.25">
      <c r="A561" s="151" t="s">
        <v>2684</v>
      </c>
      <c r="B561" s="151" t="s">
        <v>2997</v>
      </c>
      <c r="C561" s="151" t="s">
        <v>3611</v>
      </c>
      <c r="D561" s="151">
        <f t="shared" si="24"/>
        <v>0</v>
      </c>
      <c r="E561" s="151" t="str">
        <f t="shared" si="25"/>
        <v>GC-04314</v>
      </c>
      <c r="F561" s="151">
        <f>+IF(AND(C561*1&gt;=200,E561="GC-04314"),IF(D561=0,MAX(F$2:F560)+1,0),0)</f>
        <v>456</v>
      </c>
      <c r="H561" s="151" t="s">
        <v>6436</v>
      </c>
      <c r="I561" s="151" t="s">
        <v>6962</v>
      </c>
      <c r="J561" s="151" t="s">
        <v>6962</v>
      </c>
      <c r="K561" s="151">
        <f t="shared" si="26"/>
        <v>0</v>
      </c>
      <c r="L561" s="151" t="s">
        <v>9020</v>
      </c>
    </row>
    <row r="562" spans="1:12" x14ac:dyDescent="0.25">
      <c r="A562" s="151" t="s">
        <v>2685</v>
      </c>
      <c r="B562" s="151" t="s">
        <v>2997</v>
      </c>
      <c r="C562" s="151" t="s">
        <v>3612</v>
      </c>
      <c r="D562" s="151">
        <f t="shared" si="24"/>
        <v>0</v>
      </c>
      <c r="E562" s="151" t="str">
        <f t="shared" si="25"/>
        <v>GC-04314</v>
      </c>
      <c r="F562" s="151">
        <f>+IF(AND(C562*1&gt;=200,E562="GC-04314"),IF(D562=0,MAX(F$2:F561)+1,0),0)</f>
        <v>457</v>
      </c>
      <c r="H562" s="151" t="s">
        <v>6437</v>
      </c>
      <c r="I562" s="151" t="s">
        <v>6962</v>
      </c>
      <c r="J562" s="151" t="s">
        <v>6962</v>
      </c>
      <c r="K562" s="151">
        <f t="shared" si="26"/>
        <v>0</v>
      </c>
      <c r="L562" s="151" t="s">
        <v>9020</v>
      </c>
    </row>
    <row r="563" spans="1:12" x14ac:dyDescent="0.25">
      <c r="A563" s="151" t="s">
        <v>2686</v>
      </c>
      <c r="B563" s="151" t="s">
        <v>2997</v>
      </c>
      <c r="C563" s="151" t="s">
        <v>3613</v>
      </c>
      <c r="D563" s="151">
        <f t="shared" si="24"/>
        <v>0</v>
      </c>
      <c r="E563" s="151" t="str">
        <f t="shared" si="25"/>
        <v>GC-04314</v>
      </c>
      <c r="F563" s="151">
        <f>+IF(AND(C563*1&gt;=200,E563="GC-04314"),IF(D563=0,MAX(F$2:F562)+1,0),0)</f>
        <v>458</v>
      </c>
      <c r="H563" s="151" t="s">
        <v>6438</v>
      </c>
      <c r="I563" s="151" t="s">
        <v>6962</v>
      </c>
      <c r="J563" s="151" t="s">
        <v>6962</v>
      </c>
      <c r="K563" s="151">
        <f t="shared" si="26"/>
        <v>0</v>
      </c>
      <c r="L563" s="151" t="s">
        <v>9020</v>
      </c>
    </row>
    <row r="564" spans="1:12" x14ac:dyDescent="0.25">
      <c r="A564" s="151" t="s">
        <v>2687</v>
      </c>
      <c r="B564" s="151" t="s">
        <v>2997</v>
      </c>
      <c r="C564" s="151" t="s">
        <v>3614</v>
      </c>
      <c r="D564" s="151">
        <f t="shared" si="24"/>
        <v>0</v>
      </c>
      <c r="E564" s="151" t="str">
        <f t="shared" si="25"/>
        <v>GC-04314</v>
      </c>
      <c r="F564" s="151">
        <f>+IF(AND(C564*1&gt;=200,E564="GC-04314"),IF(D564=0,MAX(F$2:F563)+1,0),0)</f>
        <v>459</v>
      </c>
      <c r="H564" s="151" t="s">
        <v>6439</v>
      </c>
      <c r="I564" s="151" t="s">
        <v>6962</v>
      </c>
      <c r="J564" s="151" t="s">
        <v>6962</v>
      </c>
      <c r="K564" s="151">
        <f t="shared" si="26"/>
        <v>0</v>
      </c>
      <c r="L564" s="151" t="s">
        <v>9020</v>
      </c>
    </row>
    <row r="565" spans="1:12" x14ac:dyDescent="0.25">
      <c r="A565" s="151" t="s">
        <v>2688</v>
      </c>
      <c r="B565" s="151" t="s">
        <v>2997</v>
      </c>
      <c r="C565" s="151" t="s">
        <v>3615</v>
      </c>
      <c r="D565" s="151">
        <f t="shared" si="24"/>
        <v>0</v>
      </c>
      <c r="E565" s="151" t="str">
        <f t="shared" si="25"/>
        <v>GC-04314</v>
      </c>
      <c r="F565" s="151">
        <f>+IF(AND(C565*1&gt;=200,E565="GC-04314"),IF(D565=0,MAX(F$2:F564)+1,0),0)</f>
        <v>460</v>
      </c>
      <c r="H565" s="151" t="s">
        <v>6440</v>
      </c>
      <c r="I565" s="151" t="s">
        <v>6962</v>
      </c>
      <c r="J565" s="151" t="s">
        <v>6962</v>
      </c>
      <c r="K565" s="151">
        <f t="shared" si="26"/>
        <v>0</v>
      </c>
      <c r="L565" s="151" t="s">
        <v>9020</v>
      </c>
    </row>
    <row r="566" spans="1:12" x14ac:dyDescent="0.25">
      <c r="A566" s="151" t="s">
        <v>2689</v>
      </c>
      <c r="B566" s="151" t="s">
        <v>2997</v>
      </c>
      <c r="C566" s="151" t="s">
        <v>3616</v>
      </c>
      <c r="D566" s="151">
        <f t="shared" si="24"/>
        <v>0</v>
      </c>
      <c r="E566" s="151" t="str">
        <f t="shared" si="25"/>
        <v>GC-04314</v>
      </c>
      <c r="F566" s="151">
        <f>+IF(AND(C566*1&gt;=200,E566="GC-04314"),IF(D566=0,MAX(F$2:F565)+1,0),0)</f>
        <v>461</v>
      </c>
      <c r="H566" s="151" t="s">
        <v>6441</v>
      </c>
      <c r="I566" s="151" t="s">
        <v>6962</v>
      </c>
      <c r="J566" s="151" t="s">
        <v>6962</v>
      </c>
      <c r="K566" s="151">
        <f t="shared" si="26"/>
        <v>0</v>
      </c>
      <c r="L566" s="151" t="s">
        <v>9020</v>
      </c>
    </row>
    <row r="567" spans="1:12" x14ac:dyDescent="0.25">
      <c r="A567" s="151" t="s">
        <v>2690</v>
      </c>
      <c r="B567" s="151" t="s">
        <v>2997</v>
      </c>
      <c r="C567" s="151" t="s">
        <v>3617</v>
      </c>
      <c r="D567" s="151">
        <f t="shared" si="24"/>
        <v>0</v>
      </c>
      <c r="E567" s="151" t="str">
        <f t="shared" si="25"/>
        <v>GC-04314</v>
      </c>
      <c r="F567" s="151">
        <f>+IF(AND(C567*1&gt;=200,E567="GC-04314"),IF(D567=0,MAX(F$2:F566)+1,0),0)</f>
        <v>462</v>
      </c>
      <c r="H567" s="151" t="s">
        <v>6442</v>
      </c>
      <c r="I567" s="151" t="s">
        <v>6962</v>
      </c>
      <c r="J567" s="151" t="s">
        <v>6962</v>
      </c>
      <c r="K567" s="151">
        <f t="shared" si="26"/>
        <v>0</v>
      </c>
      <c r="L567" s="151" t="s">
        <v>9020</v>
      </c>
    </row>
    <row r="568" spans="1:12" x14ac:dyDescent="0.25">
      <c r="A568" s="151" t="s">
        <v>2691</v>
      </c>
      <c r="B568" s="151" t="s">
        <v>2997</v>
      </c>
      <c r="C568" s="151" t="s">
        <v>3618</v>
      </c>
      <c r="D568" s="151">
        <f t="shared" si="24"/>
        <v>0</v>
      </c>
      <c r="E568" s="151" t="str">
        <f t="shared" si="25"/>
        <v>GC-04314</v>
      </c>
      <c r="F568" s="151">
        <f>+IF(AND(C568*1&gt;=200,E568="GC-04314"),IF(D568=0,MAX(F$2:F567)+1,0),0)</f>
        <v>463</v>
      </c>
      <c r="H568" s="151" t="s">
        <v>6443</v>
      </c>
      <c r="I568" s="151" t="s">
        <v>6962</v>
      </c>
      <c r="J568" s="151" t="s">
        <v>6962</v>
      </c>
      <c r="K568" s="151">
        <f t="shared" si="26"/>
        <v>0</v>
      </c>
      <c r="L568" s="151" t="s">
        <v>9020</v>
      </c>
    </row>
    <row r="569" spans="1:12" x14ac:dyDescent="0.25">
      <c r="A569" s="151" t="s">
        <v>2692</v>
      </c>
      <c r="B569" s="151" t="s">
        <v>2997</v>
      </c>
      <c r="C569" s="151" t="s">
        <v>3619</v>
      </c>
      <c r="D569" s="151">
        <f t="shared" si="24"/>
        <v>0</v>
      </c>
      <c r="E569" s="151" t="str">
        <f t="shared" si="25"/>
        <v>GC-04314</v>
      </c>
      <c r="F569" s="151">
        <f>+IF(AND(C569*1&gt;=200,E569="GC-04314"),IF(D569=0,MAX(F$2:F568)+1,0),0)</f>
        <v>464</v>
      </c>
      <c r="H569" s="151" t="s">
        <v>6444</v>
      </c>
      <c r="I569" s="151" t="s">
        <v>6962</v>
      </c>
      <c r="J569" s="151" t="s">
        <v>6962</v>
      </c>
      <c r="K569" s="151">
        <f t="shared" si="26"/>
        <v>0</v>
      </c>
      <c r="L569" s="151" t="s">
        <v>9020</v>
      </c>
    </row>
    <row r="570" spans="1:12" x14ac:dyDescent="0.25">
      <c r="A570" s="151" t="s">
        <v>2693</v>
      </c>
      <c r="B570" s="151" t="s">
        <v>2997</v>
      </c>
      <c r="C570" s="151" t="s">
        <v>3620</v>
      </c>
      <c r="D570" s="151">
        <f t="shared" si="24"/>
        <v>0</v>
      </c>
      <c r="E570" s="151" t="str">
        <f t="shared" si="25"/>
        <v>GC-04314</v>
      </c>
      <c r="F570" s="151">
        <f>+IF(AND(C570*1&gt;=200,E570="GC-04314"),IF(D570=0,MAX(F$2:F569)+1,0),0)</f>
        <v>465</v>
      </c>
      <c r="H570" s="151" t="s">
        <v>6445</v>
      </c>
      <c r="I570" s="151" t="s">
        <v>6962</v>
      </c>
      <c r="J570" s="151" t="s">
        <v>6962</v>
      </c>
      <c r="K570" s="151">
        <f t="shared" si="26"/>
        <v>0</v>
      </c>
      <c r="L570" s="151" t="s">
        <v>9020</v>
      </c>
    </row>
    <row r="571" spans="1:12" x14ac:dyDescent="0.25">
      <c r="A571" s="151" t="s">
        <v>2694</v>
      </c>
      <c r="B571" s="151" t="s">
        <v>2997</v>
      </c>
      <c r="C571" s="151" t="s">
        <v>3621</v>
      </c>
      <c r="D571" s="151">
        <f t="shared" si="24"/>
        <v>650000000002218</v>
      </c>
      <c r="E571" s="151" t="str">
        <f t="shared" si="25"/>
        <v/>
      </c>
      <c r="F571" s="151">
        <f>+IF(AND(C571*1&gt;=200,E571="GC-04314"),IF(D571=0,MAX(F$2:F570)+1,0),0)</f>
        <v>0</v>
      </c>
      <c r="H571" s="151" t="s">
        <v>6446</v>
      </c>
      <c r="I571" s="151" t="s">
        <v>6962</v>
      </c>
      <c r="J571" s="151" t="s">
        <v>6962</v>
      </c>
      <c r="K571" s="151">
        <f t="shared" si="26"/>
        <v>0</v>
      </c>
      <c r="L571" s="151" t="s">
        <v>9020</v>
      </c>
    </row>
    <row r="572" spans="1:12" x14ac:dyDescent="0.25">
      <c r="A572" s="151" t="s">
        <v>2695</v>
      </c>
      <c r="B572" s="151" t="s">
        <v>2997</v>
      </c>
      <c r="C572" s="151" t="s">
        <v>3622</v>
      </c>
      <c r="D572" s="151">
        <f t="shared" si="24"/>
        <v>650000000002219</v>
      </c>
      <c r="E572" s="151" t="str">
        <f t="shared" si="25"/>
        <v/>
      </c>
      <c r="F572" s="151">
        <f>+IF(AND(C572*1&gt;=200,E572="GC-04314"),IF(D572=0,MAX(F$2:F571)+1,0),0)</f>
        <v>0</v>
      </c>
      <c r="H572" s="151" t="s">
        <v>6447</v>
      </c>
      <c r="I572" s="151" t="s">
        <v>6962</v>
      </c>
      <c r="J572" s="151" t="s">
        <v>6962</v>
      </c>
      <c r="K572" s="151">
        <f t="shared" si="26"/>
        <v>0</v>
      </c>
      <c r="L572" s="151" t="s">
        <v>9020</v>
      </c>
    </row>
    <row r="573" spans="1:12" x14ac:dyDescent="0.25">
      <c r="A573" s="151" t="s">
        <v>2696</v>
      </c>
      <c r="B573" s="151" t="s">
        <v>2997</v>
      </c>
      <c r="C573" s="151" t="s">
        <v>3623</v>
      </c>
      <c r="D573" s="151">
        <f t="shared" si="24"/>
        <v>650000000002220</v>
      </c>
      <c r="E573" s="151" t="str">
        <f t="shared" si="25"/>
        <v/>
      </c>
      <c r="F573" s="151">
        <f>+IF(AND(C573*1&gt;=200,E573="GC-04314"),IF(D573=0,MAX(F$2:F572)+1,0),0)</f>
        <v>0</v>
      </c>
      <c r="H573" s="151" t="s">
        <v>6448</v>
      </c>
      <c r="I573" s="151" t="s">
        <v>6962</v>
      </c>
      <c r="J573" s="151" t="s">
        <v>6962</v>
      </c>
      <c r="K573" s="151">
        <f t="shared" si="26"/>
        <v>0</v>
      </c>
      <c r="L573" s="151" t="s">
        <v>9020</v>
      </c>
    </row>
    <row r="574" spans="1:12" x14ac:dyDescent="0.25">
      <c r="A574" s="151" t="s">
        <v>2697</v>
      </c>
      <c r="B574" s="151" t="s">
        <v>2997</v>
      </c>
      <c r="C574" s="151" t="s">
        <v>3624</v>
      </c>
      <c r="D574" s="151">
        <f t="shared" si="24"/>
        <v>650000000002221</v>
      </c>
      <c r="E574" s="151" t="str">
        <f t="shared" si="25"/>
        <v/>
      </c>
      <c r="F574" s="151">
        <f>+IF(AND(C574*1&gt;=200,E574="GC-04314"),IF(D574=0,MAX(F$2:F573)+1,0),0)</f>
        <v>0</v>
      </c>
      <c r="H574" s="151" t="s">
        <v>6449</v>
      </c>
      <c r="I574" s="151" t="s">
        <v>6962</v>
      </c>
      <c r="J574" s="151" t="s">
        <v>6962</v>
      </c>
      <c r="K574" s="151">
        <f t="shared" si="26"/>
        <v>0</v>
      </c>
      <c r="L574" s="151" t="s">
        <v>9020</v>
      </c>
    </row>
    <row r="575" spans="1:12" x14ac:dyDescent="0.25">
      <c r="A575" s="151" t="s">
        <v>2698</v>
      </c>
      <c r="B575" s="151" t="s">
        <v>2997</v>
      </c>
      <c r="C575" s="151" t="s">
        <v>3625</v>
      </c>
      <c r="D575" s="151">
        <f t="shared" si="24"/>
        <v>0</v>
      </c>
      <c r="E575" s="151" t="str">
        <f t="shared" si="25"/>
        <v>GC-04314</v>
      </c>
      <c r="F575" s="151">
        <f>+IF(AND(C575*1&gt;=200,E575="GC-04314"),IF(D575=0,MAX(F$2:F574)+1,0),0)</f>
        <v>466</v>
      </c>
      <c r="H575" s="151" t="s">
        <v>6450</v>
      </c>
      <c r="I575" s="151" t="s">
        <v>6962</v>
      </c>
      <c r="J575" s="151" t="s">
        <v>6962</v>
      </c>
      <c r="K575" s="151">
        <f t="shared" si="26"/>
        <v>0</v>
      </c>
      <c r="L575" s="151" t="s">
        <v>9020</v>
      </c>
    </row>
    <row r="576" spans="1:12" x14ac:dyDescent="0.25">
      <c r="A576" s="151" t="s">
        <v>2699</v>
      </c>
      <c r="B576" s="151" t="s">
        <v>2997</v>
      </c>
      <c r="C576" s="151" t="s">
        <v>3626</v>
      </c>
      <c r="D576" s="151">
        <f t="shared" si="24"/>
        <v>0</v>
      </c>
      <c r="E576" s="151" t="str">
        <f t="shared" si="25"/>
        <v>GC-04314</v>
      </c>
      <c r="F576" s="151">
        <f>+IF(AND(C576*1&gt;=200,E576="GC-04314"),IF(D576=0,MAX(F$2:F575)+1,0),0)</f>
        <v>467</v>
      </c>
      <c r="H576" s="151" t="s">
        <v>6451</v>
      </c>
      <c r="I576" s="151" t="s">
        <v>6962</v>
      </c>
      <c r="J576" s="151" t="s">
        <v>6962</v>
      </c>
      <c r="K576" s="151">
        <f t="shared" si="26"/>
        <v>0</v>
      </c>
      <c r="L576" s="151" t="s">
        <v>9020</v>
      </c>
    </row>
    <row r="577" spans="1:12" x14ac:dyDescent="0.25">
      <c r="A577" s="151" t="s">
        <v>2700</v>
      </c>
      <c r="B577" s="151" t="s">
        <v>2997</v>
      </c>
      <c r="C577" s="151" t="s">
        <v>3627</v>
      </c>
      <c r="D577" s="151">
        <f t="shared" si="24"/>
        <v>0</v>
      </c>
      <c r="E577" s="151" t="str">
        <f t="shared" si="25"/>
        <v>GC-04314</v>
      </c>
      <c r="F577" s="151">
        <f>+IF(AND(C577*1&gt;=200,E577="GC-04314"),IF(D577=0,MAX(F$2:F576)+1,0),0)</f>
        <v>468</v>
      </c>
      <c r="H577" s="151" t="s">
        <v>6452</v>
      </c>
      <c r="I577" s="151" t="s">
        <v>6962</v>
      </c>
      <c r="J577" s="151" t="s">
        <v>6962</v>
      </c>
      <c r="K577" s="151">
        <f t="shared" si="26"/>
        <v>0</v>
      </c>
      <c r="L577" s="151" t="s">
        <v>9020</v>
      </c>
    </row>
    <row r="578" spans="1:12" x14ac:dyDescent="0.25">
      <c r="A578" s="151" t="s">
        <v>2701</v>
      </c>
      <c r="B578" s="151" t="s">
        <v>2997</v>
      </c>
      <c r="C578" s="151" t="s">
        <v>3628</v>
      </c>
      <c r="D578" s="151">
        <f t="shared" ref="D578:D641" si="27">+SUMIFS(K:K,H:H,A578)</f>
        <v>0</v>
      </c>
      <c r="E578" s="151" t="str">
        <f t="shared" ref="E578:E641" si="28">+IF(D578=0,VLOOKUP(A578,$H:$L,5,FALSE),"")</f>
        <v>GC-04314</v>
      </c>
      <c r="F578" s="151">
        <f>+IF(AND(C578*1&gt;=200,E578="GC-04314"),IF(D578=0,MAX(F$2:F577)+1,0),0)</f>
        <v>469</v>
      </c>
      <c r="H578" s="151" t="s">
        <v>6453</v>
      </c>
      <c r="I578" s="151" t="s">
        <v>6962</v>
      </c>
      <c r="J578" s="151" t="s">
        <v>6962</v>
      </c>
      <c r="K578" s="151">
        <f t="shared" si="26"/>
        <v>0</v>
      </c>
      <c r="L578" s="151" t="s">
        <v>9020</v>
      </c>
    </row>
    <row r="579" spans="1:12" x14ac:dyDescent="0.25">
      <c r="A579" s="151" t="s">
        <v>2702</v>
      </c>
      <c r="B579" s="151" t="s">
        <v>2997</v>
      </c>
      <c r="C579" s="151" t="s">
        <v>3629</v>
      </c>
      <c r="D579" s="151">
        <f t="shared" si="27"/>
        <v>0</v>
      </c>
      <c r="E579" s="151" t="str">
        <f t="shared" si="28"/>
        <v>GC-04314</v>
      </c>
      <c r="F579" s="151">
        <f>+IF(AND(C579*1&gt;=200,E579="GC-04314"),IF(D579=0,MAX(F$2:F578)+1,0),0)</f>
        <v>470</v>
      </c>
      <c r="H579" s="151" t="s">
        <v>6454</v>
      </c>
      <c r="I579" s="151" t="s">
        <v>6962</v>
      </c>
      <c r="J579" s="151" t="s">
        <v>6962</v>
      </c>
      <c r="K579" s="151">
        <f t="shared" ref="K579:K642" si="29">+IFERROR(J579*1,0)</f>
        <v>0</v>
      </c>
      <c r="L579" s="151" t="s">
        <v>9020</v>
      </c>
    </row>
    <row r="580" spans="1:12" x14ac:dyDescent="0.25">
      <c r="A580" s="151" t="s">
        <v>2703</v>
      </c>
      <c r="B580" s="151" t="s">
        <v>2997</v>
      </c>
      <c r="C580" s="151" t="s">
        <v>3630</v>
      </c>
      <c r="D580" s="151">
        <f t="shared" si="27"/>
        <v>0</v>
      </c>
      <c r="E580" s="151" t="str">
        <f t="shared" si="28"/>
        <v>GC-04314</v>
      </c>
      <c r="F580" s="151">
        <f>+IF(AND(C580*1&gt;=200,E580="GC-04314"),IF(D580=0,MAX(F$2:F579)+1,0),0)</f>
        <v>471</v>
      </c>
      <c r="H580" s="151" t="s">
        <v>6455</v>
      </c>
      <c r="I580" s="151" t="s">
        <v>6962</v>
      </c>
      <c r="J580" s="151" t="s">
        <v>6962</v>
      </c>
      <c r="K580" s="151">
        <f t="shared" si="29"/>
        <v>0</v>
      </c>
      <c r="L580" s="151" t="s">
        <v>9020</v>
      </c>
    </row>
    <row r="581" spans="1:12" x14ac:dyDescent="0.25">
      <c r="A581" s="151" t="s">
        <v>2704</v>
      </c>
      <c r="B581" s="151" t="s">
        <v>2997</v>
      </c>
      <c r="C581" s="151" t="s">
        <v>3631</v>
      </c>
      <c r="D581" s="151">
        <f t="shared" si="27"/>
        <v>650000000002220</v>
      </c>
      <c r="E581" s="151" t="str">
        <f t="shared" si="28"/>
        <v/>
      </c>
      <c r="F581" s="151">
        <f>+IF(AND(C581*1&gt;=200,E581="GC-04314"),IF(D581=0,MAX(F$2:F580)+1,0),0)</f>
        <v>0</v>
      </c>
      <c r="H581" s="151" t="s">
        <v>6456</v>
      </c>
      <c r="I581" s="151" t="s">
        <v>6962</v>
      </c>
      <c r="J581" s="151" t="s">
        <v>6962</v>
      </c>
      <c r="K581" s="151">
        <f t="shared" si="29"/>
        <v>0</v>
      </c>
      <c r="L581" s="151" t="s">
        <v>9020</v>
      </c>
    </row>
    <row r="582" spans="1:12" x14ac:dyDescent="0.25">
      <c r="A582" s="151" t="s">
        <v>2705</v>
      </c>
      <c r="B582" s="151" t="s">
        <v>2997</v>
      </c>
      <c r="C582" s="151" t="s">
        <v>3632</v>
      </c>
      <c r="D582" s="151">
        <f t="shared" si="27"/>
        <v>650000000002220</v>
      </c>
      <c r="E582" s="151" t="str">
        <f t="shared" si="28"/>
        <v/>
      </c>
      <c r="F582" s="151">
        <f>+IF(AND(C582*1&gt;=200,E582="GC-04314"),IF(D582=0,MAX(F$2:F581)+1,0),0)</f>
        <v>0</v>
      </c>
      <c r="H582" s="151" t="s">
        <v>6457</v>
      </c>
      <c r="I582" s="151" t="s">
        <v>6962</v>
      </c>
      <c r="J582" s="151" t="s">
        <v>6962</v>
      </c>
      <c r="K582" s="151">
        <f t="shared" si="29"/>
        <v>0</v>
      </c>
      <c r="L582" s="151" t="s">
        <v>9020</v>
      </c>
    </row>
    <row r="583" spans="1:12" x14ac:dyDescent="0.25">
      <c r="A583" s="151" t="s">
        <v>2706</v>
      </c>
      <c r="B583" s="151" t="s">
        <v>2997</v>
      </c>
      <c r="C583" s="151" t="s">
        <v>3633</v>
      </c>
      <c r="D583" s="151">
        <f t="shared" si="27"/>
        <v>0</v>
      </c>
      <c r="E583" s="151" t="str">
        <f t="shared" si="28"/>
        <v>GC-04316</v>
      </c>
      <c r="F583" s="151">
        <f>+IF(AND(C583*1&gt;=200,E583="GC-04314"),IF(D583=0,MAX(F$2:F582)+1,0),0)</f>
        <v>0</v>
      </c>
      <c r="H583" s="151" t="s">
        <v>6458</v>
      </c>
      <c r="I583" s="151" t="s">
        <v>6962</v>
      </c>
      <c r="J583" s="151" t="s">
        <v>6962</v>
      </c>
      <c r="K583" s="151">
        <f t="shared" si="29"/>
        <v>0</v>
      </c>
      <c r="L583" s="151" t="s">
        <v>9020</v>
      </c>
    </row>
    <row r="584" spans="1:12" x14ac:dyDescent="0.25">
      <c r="A584" s="151" t="s">
        <v>2707</v>
      </c>
      <c r="B584" s="151" t="s">
        <v>2997</v>
      </c>
      <c r="C584" s="151" t="s">
        <v>3634</v>
      </c>
      <c r="D584" s="151">
        <f t="shared" si="27"/>
        <v>650000000002241</v>
      </c>
      <c r="E584" s="151" t="str">
        <f t="shared" si="28"/>
        <v/>
      </c>
      <c r="F584" s="151">
        <f>+IF(AND(C584*1&gt;=200,E584="GC-04314"),IF(D584=0,MAX(F$2:F583)+1,0),0)</f>
        <v>0</v>
      </c>
      <c r="H584" s="151" t="s">
        <v>6459</v>
      </c>
      <c r="I584" s="151" t="s">
        <v>6962</v>
      </c>
      <c r="J584" s="151" t="s">
        <v>6962</v>
      </c>
      <c r="K584" s="151">
        <f t="shared" si="29"/>
        <v>0</v>
      </c>
      <c r="L584" s="151" t="s">
        <v>9020</v>
      </c>
    </row>
    <row r="585" spans="1:12" x14ac:dyDescent="0.25">
      <c r="A585" s="151" t="s">
        <v>2708</v>
      </c>
      <c r="B585" s="151" t="s">
        <v>2997</v>
      </c>
      <c r="C585" s="151" t="s">
        <v>3635</v>
      </c>
      <c r="D585" s="151">
        <f t="shared" si="27"/>
        <v>650000000002236</v>
      </c>
      <c r="E585" s="151" t="str">
        <f t="shared" si="28"/>
        <v/>
      </c>
      <c r="F585" s="151">
        <f>+IF(AND(C585*1&gt;=200,E585="GC-04314"),IF(D585=0,MAX(F$2:F584)+1,0),0)</f>
        <v>0</v>
      </c>
      <c r="H585" s="151" t="s">
        <v>6460</v>
      </c>
      <c r="I585" s="151" t="s">
        <v>6962</v>
      </c>
      <c r="J585" s="151" t="s">
        <v>6962</v>
      </c>
      <c r="K585" s="151">
        <f t="shared" si="29"/>
        <v>0</v>
      </c>
      <c r="L585" s="151" t="s">
        <v>9020</v>
      </c>
    </row>
    <row r="586" spans="1:12" x14ac:dyDescent="0.25">
      <c r="A586" s="151" t="s">
        <v>2709</v>
      </c>
      <c r="B586" s="151" t="s">
        <v>2997</v>
      </c>
      <c r="C586" s="151" t="s">
        <v>3636</v>
      </c>
      <c r="D586" s="151">
        <f t="shared" si="27"/>
        <v>650000000002237</v>
      </c>
      <c r="E586" s="151" t="str">
        <f t="shared" si="28"/>
        <v/>
      </c>
      <c r="F586" s="151">
        <f>+IF(AND(C586*1&gt;=200,E586="GC-04314"),IF(D586=0,MAX(F$2:F585)+1,0),0)</f>
        <v>0</v>
      </c>
      <c r="H586" s="151" t="s">
        <v>6461</v>
      </c>
      <c r="I586" s="151" t="s">
        <v>6962</v>
      </c>
      <c r="J586" s="151" t="s">
        <v>6962</v>
      </c>
      <c r="K586" s="151">
        <f t="shared" si="29"/>
        <v>0</v>
      </c>
      <c r="L586" s="151" t="s">
        <v>9020</v>
      </c>
    </row>
    <row r="587" spans="1:12" x14ac:dyDescent="0.25">
      <c r="A587" s="151" t="s">
        <v>2710</v>
      </c>
      <c r="B587" s="151" t="s">
        <v>2997</v>
      </c>
      <c r="C587" s="151" t="s">
        <v>3637</v>
      </c>
      <c r="D587" s="151">
        <f t="shared" si="27"/>
        <v>0</v>
      </c>
      <c r="E587" s="151" t="str">
        <f t="shared" si="28"/>
        <v>GC-04313</v>
      </c>
      <c r="F587" s="151">
        <f>+IF(AND(C587*1&gt;=200,E587="GC-04314"),IF(D587=0,MAX(F$2:F586)+1,0),0)</f>
        <v>0</v>
      </c>
      <c r="H587" s="151" t="s">
        <v>6462</v>
      </c>
      <c r="I587" s="151" t="s">
        <v>6962</v>
      </c>
      <c r="J587" s="151" t="s">
        <v>6962</v>
      </c>
      <c r="K587" s="151">
        <f t="shared" si="29"/>
        <v>0</v>
      </c>
      <c r="L587" s="151" t="s">
        <v>9020</v>
      </c>
    </row>
    <row r="588" spans="1:12" x14ac:dyDescent="0.25">
      <c r="A588" s="151" t="s">
        <v>2711</v>
      </c>
      <c r="B588" s="151" t="s">
        <v>2997</v>
      </c>
      <c r="C588" s="151" t="s">
        <v>3638</v>
      </c>
      <c r="D588" s="151">
        <f t="shared" si="27"/>
        <v>650000000002245</v>
      </c>
      <c r="E588" s="151" t="str">
        <f t="shared" si="28"/>
        <v/>
      </c>
      <c r="F588" s="151">
        <f>+IF(AND(C588*1&gt;=200,E588="GC-04314"),IF(D588=0,MAX(F$2:F587)+1,0),0)</f>
        <v>0</v>
      </c>
      <c r="H588" s="151" t="s">
        <v>6463</v>
      </c>
      <c r="I588" s="151" t="s">
        <v>6962</v>
      </c>
      <c r="J588" s="151" t="s">
        <v>6962</v>
      </c>
      <c r="K588" s="151">
        <f t="shared" si="29"/>
        <v>0</v>
      </c>
      <c r="L588" s="151" t="s">
        <v>9020</v>
      </c>
    </row>
    <row r="589" spans="1:12" x14ac:dyDescent="0.25">
      <c r="A589" s="151" t="s">
        <v>2712</v>
      </c>
      <c r="B589" s="151" t="s">
        <v>2997</v>
      </c>
      <c r="C589" s="151" t="s">
        <v>3639</v>
      </c>
      <c r="D589" s="151">
        <f t="shared" si="27"/>
        <v>650000000002246</v>
      </c>
      <c r="E589" s="151" t="str">
        <f t="shared" si="28"/>
        <v/>
      </c>
      <c r="F589" s="151">
        <f>+IF(AND(C589*1&gt;=200,E589="GC-04314"),IF(D589=0,MAX(F$2:F588)+1,0),0)</f>
        <v>0</v>
      </c>
      <c r="H589" s="151" t="s">
        <v>6464</v>
      </c>
      <c r="I589" s="151" t="s">
        <v>6962</v>
      </c>
      <c r="J589" s="151" t="s">
        <v>6962</v>
      </c>
      <c r="K589" s="151">
        <f t="shared" si="29"/>
        <v>0</v>
      </c>
      <c r="L589" s="151" t="s">
        <v>9020</v>
      </c>
    </row>
    <row r="590" spans="1:12" x14ac:dyDescent="0.25">
      <c r="A590" s="151" t="s">
        <v>2713</v>
      </c>
      <c r="B590" s="151" t="s">
        <v>2997</v>
      </c>
      <c r="C590" s="151" t="s">
        <v>3640</v>
      </c>
      <c r="D590" s="151">
        <f t="shared" si="27"/>
        <v>650000000002247</v>
      </c>
      <c r="E590" s="151" t="str">
        <f t="shared" si="28"/>
        <v/>
      </c>
      <c r="F590" s="151">
        <f>+IF(AND(C590*1&gt;=200,E590="GC-04314"),IF(D590=0,MAX(F$2:F589)+1,0),0)</f>
        <v>0</v>
      </c>
      <c r="H590" s="151" t="s">
        <v>6465</v>
      </c>
      <c r="I590" s="151" t="s">
        <v>6962</v>
      </c>
      <c r="J590" s="151" t="s">
        <v>6962</v>
      </c>
      <c r="K590" s="151">
        <f t="shared" si="29"/>
        <v>0</v>
      </c>
      <c r="L590" s="151" t="s">
        <v>9020</v>
      </c>
    </row>
    <row r="591" spans="1:12" x14ac:dyDescent="0.25">
      <c r="A591" s="151" t="s">
        <v>2714</v>
      </c>
      <c r="B591" s="151" t="s">
        <v>2997</v>
      </c>
      <c r="C591" s="151" t="s">
        <v>3641</v>
      </c>
      <c r="D591" s="151">
        <f t="shared" si="27"/>
        <v>650000000002228</v>
      </c>
      <c r="E591" s="151" t="str">
        <f t="shared" si="28"/>
        <v/>
      </c>
      <c r="F591" s="151">
        <f>+IF(AND(C591*1&gt;=200,E591="GC-04314"),IF(D591=0,MAX(F$2:F590)+1,0),0)</f>
        <v>0</v>
      </c>
      <c r="H591" s="151" t="s">
        <v>6466</v>
      </c>
      <c r="I591" s="151" t="s">
        <v>6962</v>
      </c>
      <c r="J591" s="151" t="s">
        <v>6962</v>
      </c>
      <c r="K591" s="151">
        <f t="shared" si="29"/>
        <v>0</v>
      </c>
      <c r="L591" s="151" t="s">
        <v>9020</v>
      </c>
    </row>
    <row r="592" spans="1:12" x14ac:dyDescent="0.25">
      <c r="A592" s="151" t="s">
        <v>2715</v>
      </c>
      <c r="B592" s="151" t="s">
        <v>2997</v>
      </c>
      <c r="C592" s="151" t="s">
        <v>3642</v>
      </c>
      <c r="D592" s="151">
        <f t="shared" si="27"/>
        <v>650000000002229</v>
      </c>
      <c r="E592" s="151" t="str">
        <f t="shared" si="28"/>
        <v/>
      </c>
      <c r="F592" s="151">
        <f>+IF(AND(C592*1&gt;=200,E592="GC-04314"),IF(D592=0,MAX(F$2:F591)+1,0),0)</f>
        <v>0</v>
      </c>
      <c r="H592" s="151" t="s">
        <v>6467</v>
      </c>
      <c r="I592" s="151" t="s">
        <v>6962</v>
      </c>
      <c r="J592" s="151" t="s">
        <v>6962</v>
      </c>
      <c r="K592" s="151">
        <f t="shared" si="29"/>
        <v>0</v>
      </c>
      <c r="L592" s="151" t="s">
        <v>9020</v>
      </c>
    </row>
    <row r="593" spans="1:12" x14ac:dyDescent="0.25">
      <c r="A593" s="151" t="s">
        <v>2716</v>
      </c>
      <c r="B593" s="151" t="s">
        <v>2997</v>
      </c>
      <c r="C593" s="151" t="s">
        <v>3643</v>
      </c>
      <c r="D593" s="151">
        <f t="shared" si="27"/>
        <v>650000000002230</v>
      </c>
      <c r="E593" s="151" t="str">
        <f t="shared" si="28"/>
        <v/>
      </c>
      <c r="F593" s="151">
        <f>+IF(AND(C593*1&gt;=200,E593="GC-04314"),IF(D593=0,MAX(F$2:F592)+1,0),0)</f>
        <v>0</v>
      </c>
      <c r="H593" s="151" t="s">
        <v>6468</v>
      </c>
      <c r="I593" s="151" t="s">
        <v>6962</v>
      </c>
      <c r="J593" s="151" t="s">
        <v>6962</v>
      </c>
      <c r="K593" s="151">
        <f t="shared" si="29"/>
        <v>0</v>
      </c>
      <c r="L593" s="151" t="s">
        <v>9020</v>
      </c>
    </row>
    <row r="594" spans="1:12" x14ac:dyDescent="0.25">
      <c r="A594" s="151" t="s">
        <v>2717</v>
      </c>
      <c r="B594" s="151" t="s">
        <v>2997</v>
      </c>
      <c r="C594" s="151" t="s">
        <v>3644</v>
      </c>
      <c r="D594" s="151">
        <f t="shared" si="27"/>
        <v>650000000002231</v>
      </c>
      <c r="E594" s="151" t="str">
        <f t="shared" si="28"/>
        <v/>
      </c>
      <c r="F594" s="151">
        <f>+IF(AND(C594*1&gt;=200,E594="GC-04314"),IF(D594=0,MAX(F$2:F593)+1,0),0)</f>
        <v>0</v>
      </c>
      <c r="H594" s="151" t="s">
        <v>6469</v>
      </c>
      <c r="I594" s="151" t="s">
        <v>6962</v>
      </c>
      <c r="J594" s="151" t="s">
        <v>6962</v>
      </c>
      <c r="K594" s="151">
        <f t="shared" si="29"/>
        <v>0</v>
      </c>
      <c r="L594" s="151" t="s">
        <v>9020</v>
      </c>
    </row>
    <row r="595" spans="1:12" x14ac:dyDescent="0.25">
      <c r="A595" s="151" t="s">
        <v>2718</v>
      </c>
      <c r="B595" s="151" t="s">
        <v>2997</v>
      </c>
      <c r="C595" s="151" t="s">
        <v>3645</v>
      </c>
      <c r="D595" s="151">
        <f t="shared" si="27"/>
        <v>650000000002232</v>
      </c>
      <c r="E595" s="151" t="str">
        <f t="shared" si="28"/>
        <v/>
      </c>
      <c r="F595" s="151">
        <f>+IF(AND(C595*1&gt;=200,E595="GC-04314"),IF(D595=0,MAX(F$2:F594)+1,0),0)</f>
        <v>0</v>
      </c>
      <c r="H595" s="151" t="s">
        <v>6470</v>
      </c>
      <c r="I595" s="151" t="s">
        <v>6962</v>
      </c>
      <c r="J595" s="151" t="s">
        <v>6962</v>
      </c>
      <c r="K595" s="151">
        <f t="shared" si="29"/>
        <v>0</v>
      </c>
      <c r="L595" s="151" t="s">
        <v>9020</v>
      </c>
    </row>
    <row r="596" spans="1:12" x14ac:dyDescent="0.25">
      <c r="A596" s="151" t="s">
        <v>2719</v>
      </c>
      <c r="B596" s="151" t="s">
        <v>2997</v>
      </c>
      <c r="C596" s="151" t="s">
        <v>3646</v>
      </c>
      <c r="D596" s="151">
        <f t="shared" si="27"/>
        <v>650000000002233</v>
      </c>
      <c r="E596" s="151" t="str">
        <f t="shared" si="28"/>
        <v/>
      </c>
      <c r="F596" s="151">
        <f>+IF(AND(C596*1&gt;=200,E596="GC-04314"),IF(D596=0,MAX(F$2:F595)+1,0),0)</f>
        <v>0</v>
      </c>
      <c r="H596" s="151" t="s">
        <v>6471</v>
      </c>
      <c r="I596" s="151" t="s">
        <v>6962</v>
      </c>
      <c r="J596" s="151" t="s">
        <v>6962</v>
      </c>
      <c r="K596" s="151">
        <f t="shared" si="29"/>
        <v>0</v>
      </c>
      <c r="L596" s="151" t="s">
        <v>9020</v>
      </c>
    </row>
    <row r="597" spans="1:12" x14ac:dyDescent="0.25">
      <c r="A597" s="151" t="s">
        <v>2720</v>
      </c>
      <c r="B597" s="151" t="s">
        <v>2997</v>
      </c>
      <c r="C597" s="151" t="s">
        <v>3647</v>
      </c>
      <c r="D597" s="151">
        <f t="shared" si="27"/>
        <v>0</v>
      </c>
      <c r="E597" s="151" t="str">
        <f t="shared" si="28"/>
        <v>GC-04314</v>
      </c>
      <c r="F597" s="151">
        <f>+IF(AND(C597*1&gt;=200,E597="GC-04314"),IF(D597=0,MAX(F$2:F596)+1,0),0)</f>
        <v>472</v>
      </c>
      <c r="H597" s="151" t="s">
        <v>6472</v>
      </c>
      <c r="I597" s="151" t="s">
        <v>6962</v>
      </c>
      <c r="J597" s="151" t="s">
        <v>6962</v>
      </c>
      <c r="K597" s="151">
        <f t="shared" si="29"/>
        <v>0</v>
      </c>
      <c r="L597" s="151" t="s">
        <v>9020</v>
      </c>
    </row>
    <row r="598" spans="1:12" x14ac:dyDescent="0.25">
      <c r="A598" s="151" t="s">
        <v>2721</v>
      </c>
      <c r="B598" s="151" t="s">
        <v>2997</v>
      </c>
      <c r="C598" s="151" t="s">
        <v>3648</v>
      </c>
      <c r="D598" s="151">
        <f t="shared" si="27"/>
        <v>0</v>
      </c>
      <c r="E598" s="151" t="str">
        <f t="shared" si="28"/>
        <v>GC-04313</v>
      </c>
      <c r="F598" s="151">
        <f>+IF(AND(C598*1&gt;=200,E598="GC-04314"),IF(D598=0,MAX(F$2:F597)+1,0),0)</f>
        <v>0</v>
      </c>
      <c r="H598" s="151" t="s">
        <v>6473</v>
      </c>
      <c r="I598" s="151" t="s">
        <v>6962</v>
      </c>
      <c r="J598" s="151" t="s">
        <v>6962</v>
      </c>
      <c r="K598" s="151">
        <f t="shared" si="29"/>
        <v>0</v>
      </c>
      <c r="L598" s="151" t="s">
        <v>9020</v>
      </c>
    </row>
    <row r="599" spans="1:12" x14ac:dyDescent="0.25">
      <c r="A599" s="151" t="s">
        <v>2722</v>
      </c>
      <c r="B599" s="151" t="s">
        <v>2997</v>
      </c>
      <c r="C599" s="151" t="s">
        <v>3649</v>
      </c>
      <c r="D599" s="151">
        <f t="shared" si="27"/>
        <v>0</v>
      </c>
      <c r="E599" s="151" t="str">
        <f t="shared" si="28"/>
        <v>GC-04314</v>
      </c>
      <c r="F599" s="151">
        <f>+IF(AND(C599*1&gt;=200,E599="GC-04314"),IF(D599=0,MAX(F$2:F598)+1,0),0)</f>
        <v>473</v>
      </c>
      <c r="H599" s="151" t="s">
        <v>6474</v>
      </c>
      <c r="I599" s="151" t="s">
        <v>6962</v>
      </c>
      <c r="J599" s="151" t="s">
        <v>6962</v>
      </c>
      <c r="K599" s="151">
        <f t="shared" si="29"/>
        <v>0</v>
      </c>
      <c r="L599" s="151" t="s">
        <v>9020</v>
      </c>
    </row>
    <row r="600" spans="1:12" x14ac:dyDescent="0.25">
      <c r="A600" s="151" t="s">
        <v>2723</v>
      </c>
      <c r="B600" s="151" t="s">
        <v>2997</v>
      </c>
      <c r="C600" s="151" t="s">
        <v>3650</v>
      </c>
      <c r="D600" s="151">
        <f t="shared" si="27"/>
        <v>0</v>
      </c>
      <c r="E600" s="151" t="str">
        <f t="shared" si="28"/>
        <v>GC-04314</v>
      </c>
      <c r="F600" s="151">
        <f>+IF(AND(C600*1&gt;=200,E600="GC-04314"),IF(D600=0,MAX(F$2:F599)+1,0),0)</f>
        <v>474</v>
      </c>
      <c r="H600" s="151" t="s">
        <v>6475</v>
      </c>
      <c r="I600" s="151" t="s">
        <v>6962</v>
      </c>
      <c r="J600" s="151" t="s">
        <v>6962</v>
      </c>
      <c r="K600" s="151">
        <f t="shared" si="29"/>
        <v>0</v>
      </c>
      <c r="L600" s="151" t="s">
        <v>9020</v>
      </c>
    </row>
    <row r="601" spans="1:12" x14ac:dyDescent="0.25">
      <c r="A601" s="151" t="s">
        <v>2724</v>
      </c>
      <c r="B601" s="151" t="s">
        <v>2997</v>
      </c>
      <c r="C601" s="151" t="s">
        <v>3651</v>
      </c>
      <c r="D601" s="151">
        <f t="shared" si="27"/>
        <v>0</v>
      </c>
      <c r="E601" s="151" t="str">
        <f t="shared" si="28"/>
        <v>GC-04314</v>
      </c>
      <c r="F601" s="151">
        <f>+IF(AND(C601*1&gt;=200,E601="GC-04314"),IF(D601=0,MAX(F$2:F600)+1,0),0)</f>
        <v>475</v>
      </c>
      <c r="H601" s="151" t="s">
        <v>6476</v>
      </c>
      <c r="I601" s="151" t="s">
        <v>6962</v>
      </c>
      <c r="J601" s="151" t="s">
        <v>6962</v>
      </c>
      <c r="K601" s="151">
        <f t="shared" si="29"/>
        <v>0</v>
      </c>
      <c r="L601" s="151" t="s">
        <v>9020</v>
      </c>
    </row>
    <row r="602" spans="1:12" x14ac:dyDescent="0.25">
      <c r="A602" s="151" t="s">
        <v>2725</v>
      </c>
      <c r="B602" s="151" t="s">
        <v>2997</v>
      </c>
      <c r="C602" s="151" t="s">
        <v>3652</v>
      </c>
      <c r="D602" s="151">
        <f t="shared" si="27"/>
        <v>0</v>
      </c>
      <c r="E602" s="151" t="str">
        <f t="shared" si="28"/>
        <v>GC-04314</v>
      </c>
      <c r="F602" s="151">
        <f>+IF(AND(C602*1&gt;=200,E602="GC-04314"),IF(D602=0,MAX(F$2:F601)+1,0),0)</f>
        <v>476</v>
      </c>
      <c r="H602" s="151" t="s">
        <v>6477</v>
      </c>
      <c r="I602" s="151" t="s">
        <v>6962</v>
      </c>
      <c r="J602" s="151" t="s">
        <v>6962</v>
      </c>
      <c r="K602" s="151">
        <f t="shared" si="29"/>
        <v>0</v>
      </c>
      <c r="L602" s="151" t="s">
        <v>9020</v>
      </c>
    </row>
    <row r="603" spans="1:12" x14ac:dyDescent="0.25">
      <c r="A603" s="151" t="s">
        <v>2726</v>
      </c>
      <c r="B603" s="151" t="s">
        <v>2997</v>
      </c>
      <c r="C603" s="151" t="s">
        <v>3653</v>
      </c>
      <c r="D603" s="151">
        <f t="shared" si="27"/>
        <v>0</v>
      </c>
      <c r="E603" s="151" t="str">
        <f t="shared" si="28"/>
        <v>GC-04314</v>
      </c>
      <c r="F603" s="151">
        <f>+IF(AND(C603*1&gt;=200,E603="GC-04314"),IF(D603=0,MAX(F$2:F602)+1,0),0)</f>
        <v>477</v>
      </c>
      <c r="H603" s="151" t="s">
        <v>6478</v>
      </c>
      <c r="I603" s="151" t="s">
        <v>6962</v>
      </c>
      <c r="J603" s="151" t="s">
        <v>6962</v>
      </c>
      <c r="K603" s="151">
        <f t="shared" si="29"/>
        <v>0</v>
      </c>
      <c r="L603" s="151" t="s">
        <v>9020</v>
      </c>
    </row>
    <row r="604" spans="1:12" x14ac:dyDescent="0.25">
      <c r="A604" s="151" t="s">
        <v>2727</v>
      </c>
      <c r="B604" s="151" t="s">
        <v>2997</v>
      </c>
      <c r="C604" s="151" t="s">
        <v>3654</v>
      </c>
      <c r="D604" s="151">
        <f t="shared" si="27"/>
        <v>0</v>
      </c>
      <c r="E604" s="151" t="str">
        <f t="shared" si="28"/>
        <v>GC-04314</v>
      </c>
      <c r="F604" s="151">
        <f>+IF(AND(C604*1&gt;=200,E604="GC-04314"),IF(D604=0,MAX(F$2:F603)+1,0),0)</f>
        <v>478</v>
      </c>
      <c r="H604" s="151" t="s">
        <v>6479</v>
      </c>
      <c r="I604" s="151" t="s">
        <v>6962</v>
      </c>
      <c r="J604" s="151" t="s">
        <v>6962</v>
      </c>
      <c r="K604" s="151">
        <f t="shared" si="29"/>
        <v>0</v>
      </c>
      <c r="L604" s="151" t="s">
        <v>9020</v>
      </c>
    </row>
    <row r="605" spans="1:12" x14ac:dyDescent="0.25">
      <c r="A605" s="151" t="s">
        <v>2728</v>
      </c>
      <c r="B605" s="151" t="s">
        <v>2997</v>
      </c>
      <c r="C605" s="151" t="s">
        <v>3655</v>
      </c>
      <c r="D605" s="151">
        <f t="shared" si="27"/>
        <v>0</v>
      </c>
      <c r="E605" s="151" t="str">
        <f t="shared" si="28"/>
        <v>GC-04314</v>
      </c>
      <c r="F605" s="151">
        <f>+IF(AND(C605*1&gt;=200,E605="GC-04314"),IF(D605=0,MAX(F$2:F604)+1,0),0)</f>
        <v>479</v>
      </c>
      <c r="H605" s="151" t="s">
        <v>6480</v>
      </c>
      <c r="I605" s="151" t="s">
        <v>6962</v>
      </c>
      <c r="J605" s="151" t="s">
        <v>6962</v>
      </c>
      <c r="K605" s="151">
        <f t="shared" si="29"/>
        <v>0</v>
      </c>
      <c r="L605" s="151" t="s">
        <v>9020</v>
      </c>
    </row>
    <row r="606" spans="1:12" x14ac:dyDescent="0.25">
      <c r="A606" s="151" t="s">
        <v>2729</v>
      </c>
      <c r="B606" s="151" t="s">
        <v>2997</v>
      </c>
      <c r="C606" s="151" t="s">
        <v>3656</v>
      </c>
      <c r="D606" s="151">
        <f t="shared" si="27"/>
        <v>650000000002256</v>
      </c>
      <c r="E606" s="151" t="str">
        <f t="shared" si="28"/>
        <v/>
      </c>
      <c r="F606" s="151">
        <f>+IF(AND(C606*1&gt;=200,E606="GC-04314"),IF(D606=0,MAX(F$2:F605)+1,0),0)</f>
        <v>0</v>
      </c>
      <c r="H606" s="151" t="s">
        <v>6481</v>
      </c>
      <c r="I606" s="151" t="s">
        <v>6962</v>
      </c>
      <c r="J606" s="151" t="s">
        <v>6962</v>
      </c>
      <c r="K606" s="151">
        <f t="shared" si="29"/>
        <v>0</v>
      </c>
      <c r="L606" s="151" t="s">
        <v>9020</v>
      </c>
    </row>
    <row r="607" spans="1:12" x14ac:dyDescent="0.25">
      <c r="A607" s="151" t="s">
        <v>2730</v>
      </c>
      <c r="B607" s="151" t="s">
        <v>2997</v>
      </c>
      <c r="C607" s="151" t="s">
        <v>3657</v>
      </c>
      <c r="D607" s="151">
        <f t="shared" si="27"/>
        <v>0</v>
      </c>
      <c r="E607" s="151" t="str">
        <f t="shared" si="28"/>
        <v>GC-04314</v>
      </c>
      <c r="F607" s="151">
        <f>+IF(AND(C607*1&gt;=200,E607="GC-04314"),IF(D607=0,MAX(F$2:F606)+1,0),0)</f>
        <v>480</v>
      </c>
      <c r="H607" s="151" t="s">
        <v>6482</v>
      </c>
      <c r="I607" s="151" t="s">
        <v>6962</v>
      </c>
      <c r="J607" s="151" t="s">
        <v>6962</v>
      </c>
      <c r="K607" s="151">
        <f t="shared" si="29"/>
        <v>0</v>
      </c>
      <c r="L607" s="151" t="s">
        <v>9020</v>
      </c>
    </row>
    <row r="608" spans="1:12" x14ac:dyDescent="0.25">
      <c r="A608" s="151" t="s">
        <v>2731</v>
      </c>
      <c r="B608" s="151" t="s">
        <v>2997</v>
      </c>
      <c r="C608" s="151" t="s">
        <v>3658</v>
      </c>
      <c r="D608" s="151">
        <f t="shared" si="27"/>
        <v>0</v>
      </c>
      <c r="E608" s="151" t="str">
        <f t="shared" si="28"/>
        <v>GC-04314</v>
      </c>
      <c r="F608" s="151">
        <f>+IF(AND(C608*1&gt;=200,E608="GC-04314"),IF(D608=0,MAX(F$2:F607)+1,0),0)</f>
        <v>481</v>
      </c>
      <c r="H608" s="151" t="s">
        <v>6483</v>
      </c>
      <c r="I608" s="151" t="s">
        <v>6962</v>
      </c>
      <c r="J608" s="151" t="s">
        <v>6962</v>
      </c>
      <c r="K608" s="151">
        <f t="shared" si="29"/>
        <v>0</v>
      </c>
      <c r="L608" s="151" t="s">
        <v>9020</v>
      </c>
    </row>
    <row r="609" spans="1:12" x14ac:dyDescent="0.25">
      <c r="A609" s="151" t="s">
        <v>2732</v>
      </c>
      <c r="B609" s="151" t="s">
        <v>2997</v>
      </c>
      <c r="C609" s="151" t="s">
        <v>3659</v>
      </c>
      <c r="D609" s="151">
        <f t="shared" si="27"/>
        <v>0</v>
      </c>
      <c r="E609" s="151" t="str">
        <f t="shared" si="28"/>
        <v>GC-04314</v>
      </c>
      <c r="F609" s="151">
        <f>+IF(AND(C609*1&gt;=200,E609="GC-04314"),IF(D609=0,MAX(F$2:F608)+1,0),0)</f>
        <v>482</v>
      </c>
      <c r="H609" s="151" t="s">
        <v>6484</v>
      </c>
      <c r="I609" s="151" t="s">
        <v>6962</v>
      </c>
      <c r="J609" s="151" t="s">
        <v>6962</v>
      </c>
      <c r="K609" s="151">
        <f t="shared" si="29"/>
        <v>0</v>
      </c>
      <c r="L609" s="151" t="s">
        <v>9020</v>
      </c>
    </row>
    <row r="610" spans="1:12" x14ac:dyDescent="0.25">
      <c r="A610" s="151" t="s">
        <v>2733</v>
      </c>
      <c r="B610" s="151" t="s">
        <v>2997</v>
      </c>
      <c r="C610" s="151" t="s">
        <v>3660</v>
      </c>
      <c r="D610" s="151">
        <f t="shared" si="27"/>
        <v>0</v>
      </c>
      <c r="E610" s="151" t="str">
        <f t="shared" si="28"/>
        <v>GC-04314</v>
      </c>
      <c r="F610" s="151">
        <f>+IF(AND(C610*1&gt;=200,E610="GC-04314"),IF(D610=0,MAX(F$2:F609)+1,0),0)</f>
        <v>483</v>
      </c>
      <c r="H610" s="151" t="s">
        <v>6485</v>
      </c>
      <c r="I610" s="151" t="s">
        <v>6962</v>
      </c>
      <c r="J610" s="151" t="s">
        <v>6962</v>
      </c>
      <c r="K610" s="151">
        <f t="shared" si="29"/>
        <v>0</v>
      </c>
      <c r="L610" s="151" t="s">
        <v>9020</v>
      </c>
    </row>
    <row r="611" spans="1:12" x14ac:dyDescent="0.25">
      <c r="A611" s="151" t="s">
        <v>2734</v>
      </c>
      <c r="B611" s="151" t="s">
        <v>2997</v>
      </c>
      <c r="C611" s="151" t="s">
        <v>3661</v>
      </c>
      <c r="D611" s="151">
        <f t="shared" si="27"/>
        <v>0</v>
      </c>
      <c r="E611" s="151" t="str">
        <f t="shared" si="28"/>
        <v>GC-04314</v>
      </c>
      <c r="F611" s="151">
        <f>+IF(AND(C611*1&gt;=200,E611="GC-04314"),IF(D611=0,MAX(F$2:F610)+1,0),0)</f>
        <v>484</v>
      </c>
      <c r="H611" s="151" t="s">
        <v>6486</v>
      </c>
      <c r="I611" s="151" t="s">
        <v>6962</v>
      </c>
      <c r="J611" s="151" t="s">
        <v>6962</v>
      </c>
      <c r="K611" s="151">
        <f t="shared" si="29"/>
        <v>0</v>
      </c>
      <c r="L611" s="151" t="s">
        <v>9020</v>
      </c>
    </row>
    <row r="612" spans="1:12" x14ac:dyDescent="0.25">
      <c r="A612" s="151" t="s">
        <v>2735</v>
      </c>
      <c r="B612" s="151" t="s">
        <v>2997</v>
      </c>
      <c r="C612" s="151" t="s">
        <v>3662</v>
      </c>
      <c r="D612" s="151">
        <f t="shared" si="27"/>
        <v>0</v>
      </c>
      <c r="E612" s="151" t="str">
        <f t="shared" si="28"/>
        <v>GC-04314</v>
      </c>
      <c r="F612" s="151">
        <f>+IF(AND(C612*1&gt;=200,E612="GC-04314"),IF(D612=0,MAX(F$2:F611)+1,0),0)</f>
        <v>485</v>
      </c>
      <c r="H612" s="151" t="s">
        <v>6487</v>
      </c>
      <c r="I612" s="151" t="s">
        <v>6962</v>
      </c>
      <c r="J612" s="151" t="s">
        <v>6962</v>
      </c>
      <c r="K612" s="151">
        <f t="shared" si="29"/>
        <v>0</v>
      </c>
      <c r="L612" s="151" t="s">
        <v>9020</v>
      </c>
    </row>
    <row r="613" spans="1:12" x14ac:dyDescent="0.25">
      <c r="A613" s="151" t="s">
        <v>2736</v>
      </c>
      <c r="B613" s="151" t="s">
        <v>2997</v>
      </c>
      <c r="C613" s="151" t="s">
        <v>3663</v>
      </c>
      <c r="D613" s="151">
        <f t="shared" si="27"/>
        <v>0</v>
      </c>
      <c r="E613" s="151" t="str">
        <f t="shared" si="28"/>
        <v>GC-04314</v>
      </c>
      <c r="F613" s="151">
        <f>+IF(AND(C613*1&gt;=200,E613="GC-04314"),IF(D613=0,MAX(F$2:F612)+1,0),0)</f>
        <v>486</v>
      </c>
      <c r="H613" s="151" t="s">
        <v>6488</v>
      </c>
      <c r="I613" s="151" t="s">
        <v>6962</v>
      </c>
      <c r="J613" s="151" t="s">
        <v>6962</v>
      </c>
      <c r="K613" s="151">
        <f t="shared" si="29"/>
        <v>0</v>
      </c>
      <c r="L613" s="151" t="s">
        <v>9020</v>
      </c>
    </row>
    <row r="614" spans="1:12" x14ac:dyDescent="0.25">
      <c r="A614" s="151" t="s">
        <v>2737</v>
      </c>
      <c r="B614" s="151" t="s">
        <v>2997</v>
      </c>
      <c r="C614" s="151" t="s">
        <v>3664</v>
      </c>
      <c r="D614" s="151">
        <f t="shared" si="27"/>
        <v>0</v>
      </c>
      <c r="E614" s="151" t="str">
        <f t="shared" si="28"/>
        <v>GC-04314</v>
      </c>
      <c r="F614" s="151">
        <f>+IF(AND(C614*1&gt;=200,E614="GC-04314"),IF(D614=0,MAX(F$2:F613)+1,0),0)</f>
        <v>487</v>
      </c>
      <c r="H614" s="151" t="s">
        <v>6489</v>
      </c>
      <c r="I614" s="151" t="s">
        <v>6962</v>
      </c>
      <c r="J614" s="151" t="s">
        <v>6962</v>
      </c>
      <c r="K614" s="151">
        <f t="shared" si="29"/>
        <v>0</v>
      </c>
      <c r="L614" s="151" t="s">
        <v>9020</v>
      </c>
    </row>
    <row r="615" spans="1:12" x14ac:dyDescent="0.25">
      <c r="A615" s="151" t="s">
        <v>2738</v>
      </c>
      <c r="B615" s="151" t="s">
        <v>2997</v>
      </c>
      <c r="C615" s="151" t="s">
        <v>3665</v>
      </c>
      <c r="D615" s="151">
        <f t="shared" si="27"/>
        <v>0</v>
      </c>
      <c r="E615" s="151" t="str">
        <f t="shared" si="28"/>
        <v>GC-04314</v>
      </c>
      <c r="F615" s="151">
        <f>+IF(AND(C615*1&gt;=200,E615="GC-04314"),IF(D615=0,MAX(F$2:F614)+1,0),0)</f>
        <v>488</v>
      </c>
      <c r="H615" s="151" t="s">
        <v>6490</v>
      </c>
      <c r="I615" s="151" t="s">
        <v>6962</v>
      </c>
      <c r="J615" s="151" t="s">
        <v>6962</v>
      </c>
      <c r="K615" s="151">
        <f t="shared" si="29"/>
        <v>0</v>
      </c>
      <c r="L615" s="151" t="s">
        <v>9020</v>
      </c>
    </row>
    <row r="616" spans="1:12" x14ac:dyDescent="0.25">
      <c r="A616" s="151" t="s">
        <v>2739</v>
      </c>
      <c r="B616" s="151" t="s">
        <v>2997</v>
      </c>
      <c r="C616" s="151" t="s">
        <v>3666</v>
      </c>
      <c r="D616" s="151">
        <f t="shared" si="27"/>
        <v>0</v>
      </c>
      <c r="E616" s="151" t="str">
        <f t="shared" si="28"/>
        <v>GC-04314</v>
      </c>
      <c r="F616" s="151">
        <f>+IF(AND(C616*1&gt;=200,E616="GC-04314"),IF(D616=0,MAX(F$2:F615)+1,0),0)</f>
        <v>489</v>
      </c>
      <c r="H616" s="151" t="s">
        <v>6491</v>
      </c>
      <c r="I616" s="151" t="s">
        <v>6962</v>
      </c>
      <c r="J616" s="151" t="s">
        <v>6962</v>
      </c>
      <c r="K616" s="151">
        <f t="shared" si="29"/>
        <v>0</v>
      </c>
      <c r="L616" s="151" t="s">
        <v>9020</v>
      </c>
    </row>
    <row r="617" spans="1:12" x14ac:dyDescent="0.25">
      <c r="A617" s="151" t="s">
        <v>2740</v>
      </c>
      <c r="B617" s="151" t="s">
        <v>2997</v>
      </c>
      <c r="C617" s="151" t="s">
        <v>3667</v>
      </c>
      <c r="D617" s="151">
        <f t="shared" si="27"/>
        <v>0</v>
      </c>
      <c r="E617" s="151" t="str">
        <f t="shared" si="28"/>
        <v>GC-04314</v>
      </c>
      <c r="F617" s="151">
        <f>+IF(AND(C617*1&gt;=200,E617="GC-04314"),IF(D617=0,MAX(F$2:F616)+1,0),0)</f>
        <v>490</v>
      </c>
      <c r="H617" s="151" t="s">
        <v>6492</v>
      </c>
      <c r="I617" s="151" t="s">
        <v>6962</v>
      </c>
      <c r="J617" s="151" t="s">
        <v>6962</v>
      </c>
      <c r="K617" s="151">
        <f t="shared" si="29"/>
        <v>0</v>
      </c>
      <c r="L617" s="151" t="s">
        <v>9020</v>
      </c>
    </row>
    <row r="618" spans="1:12" x14ac:dyDescent="0.25">
      <c r="A618" s="151" t="s">
        <v>2741</v>
      </c>
      <c r="B618" s="151" t="s">
        <v>2997</v>
      </c>
      <c r="C618" s="151" t="s">
        <v>3668</v>
      </c>
      <c r="D618" s="151">
        <f t="shared" si="27"/>
        <v>0</v>
      </c>
      <c r="E618" s="151" t="str">
        <f t="shared" si="28"/>
        <v>GC-04314</v>
      </c>
      <c r="F618" s="151">
        <f>+IF(AND(C618*1&gt;=200,E618="GC-04314"),IF(D618=0,MAX(F$2:F617)+1,0),0)</f>
        <v>491</v>
      </c>
      <c r="H618" s="151" t="s">
        <v>6493</v>
      </c>
      <c r="I618" s="151" t="s">
        <v>6962</v>
      </c>
      <c r="J618" s="151" t="s">
        <v>6962</v>
      </c>
      <c r="K618" s="151">
        <f t="shared" si="29"/>
        <v>0</v>
      </c>
      <c r="L618" s="151" t="s">
        <v>9020</v>
      </c>
    </row>
    <row r="619" spans="1:12" x14ac:dyDescent="0.25">
      <c r="A619" s="151" t="s">
        <v>2742</v>
      </c>
      <c r="B619" s="151" t="s">
        <v>2997</v>
      </c>
      <c r="C619" s="151" t="s">
        <v>3669</v>
      </c>
      <c r="D619" s="151">
        <f t="shared" si="27"/>
        <v>0</v>
      </c>
      <c r="E619" s="151" t="str">
        <f t="shared" si="28"/>
        <v>GC-04314</v>
      </c>
      <c r="F619" s="151">
        <f>+IF(AND(C619*1&gt;=200,E619="GC-04314"),IF(D619=0,MAX(F$2:F618)+1,0),0)</f>
        <v>492</v>
      </c>
      <c r="H619" s="151" t="s">
        <v>6494</v>
      </c>
      <c r="I619" s="151" t="s">
        <v>6962</v>
      </c>
      <c r="J619" s="151" t="s">
        <v>6962</v>
      </c>
      <c r="K619" s="151">
        <f t="shared" si="29"/>
        <v>0</v>
      </c>
      <c r="L619" s="151" t="s">
        <v>9020</v>
      </c>
    </row>
    <row r="620" spans="1:12" x14ac:dyDescent="0.25">
      <c r="A620" s="151" t="s">
        <v>2743</v>
      </c>
      <c r="B620" s="151" t="s">
        <v>2997</v>
      </c>
      <c r="C620" s="151" t="s">
        <v>3670</v>
      </c>
      <c r="D620" s="151">
        <f t="shared" si="27"/>
        <v>0</v>
      </c>
      <c r="E620" s="151" t="str">
        <f t="shared" si="28"/>
        <v>GC-04314</v>
      </c>
      <c r="F620" s="151">
        <f>+IF(AND(C620*1&gt;=200,E620="GC-04314"),IF(D620=0,MAX(F$2:F619)+1,0),0)</f>
        <v>493</v>
      </c>
      <c r="H620" s="151" t="s">
        <v>6495</v>
      </c>
      <c r="I620" s="151" t="s">
        <v>6962</v>
      </c>
      <c r="J620" s="151" t="s">
        <v>6962</v>
      </c>
      <c r="K620" s="151">
        <f t="shared" si="29"/>
        <v>0</v>
      </c>
      <c r="L620" s="151" t="s">
        <v>9020</v>
      </c>
    </row>
    <row r="621" spans="1:12" x14ac:dyDescent="0.25">
      <c r="A621" s="151" t="s">
        <v>2744</v>
      </c>
      <c r="B621" s="151" t="s">
        <v>2997</v>
      </c>
      <c r="C621" s="151" t="s">
        <v>3671</v>
      </c>
      <c r="D621" s="151">
        <f t="shared" si="27"/>
        <v>650000000002266</v>
      </c>
      <c r="E621" s="151" t="str">
        <f t="shared" si="28"/>
        <v/>
      </c>
      <c r="F621" s="151">
        <f>+IF(AND(C621*1&gt;=200,E621="GC-04314"),IF(D621=0,MAX(F$2:F620)+1,0),0)</f>
        <v>0</v>
      </c>
      <c r="H621" s="151" t="s">
        <v>6496</v>
      </c>
      <c r="I621" s="151" t="s">
        <v>6962</v>
      </c>
      <c r="J621" s="151" t="s">
        <v>6962</v>
      </c>
      <c r="K621" s="151">
        <f t="shared" si="29"/>
        <v>0</v>
      </c>
      <c r="L621" s="151" t="s">
        <v>9020</v>
      </c>
    </row>
    <row r="622" spans="1:12" x14ac:dyDescent="0.25">
      <c r="A622" s="151" t="s">
        <v>2745</v>
      </c>
      <c r="B622" s="151" t="s">
        <v>2997</v>
      </c>
      <c r="C622" s="151" t="s">
        <v>3672</v>
      </c>
      <c r="D622" s="151">
        <f t="shared" si="27"/>
        <v>0</v>
      </c>
      <c r="E622" s="151" t="str">
        <f t="shared" si="28"/>
        <v>GC-04314</v>
      </c>
      <c r="F622" s="151">
        <f>+IF(AND(C622*1&gt;=200,E622="GC-04314"),IF(D622=0,MAX(F$2:F621)+1,0),0)</f>
        <v>494</v>
      </c>
      <c r="H622" s="151" t="s">
        <v>6497</v>
      </c>
      <c r="I622" s="151" t="s">
        <v>6962</v>
      </c>
      <c r="J622" s="151" t="s">
        <v>6962</v>
      </c>
      <c r="K622" s="151">
        <f t="shared" si="29"/>
        <v>0</v>
      </c>
      <c r="L622" s="151" t="s">
        <v>9020</v>
      </c>
    </row>
    <row r="623" spans="1:12" x14ac:dyDescent="0.25">
      <c r="A623" s="151" t="s">
        <v>2746</v>
      </c>
      <c r="B623" s="151" t="s">
        <v>2997</v>
      </c>
      <c r="C623" s="151" t="s">
        <v>3673</v>
      </c>
      <c r="D623" s="151">
        <f t="shared" si="27"/>
        <v>0</v>
      </c>
      <c r="E623" s="151" t="str">
        <f t="shared" si="28"/>
        <v>GC-04314</v>
      </c>
      <c r="F623" s="151">
        <f>+IF(AND(C623*1&gt;=200,E623="GC-04314"),IF(D623=0,MAX(F$2:F622)+1,0),0)</f>
        <v>495</v>
      </c>
      <c r="H623" s="151" t="s">
        <v>6498</v>
      </c>
      <c r="I623" s="151" t="s">
        <v>6962</v>
      </c>
      <c r="J623" s="151" t="s">
        <v>6962</v>
      </c>
      <c r="K623" s="151">
        <f t="shared" si="29"/>
        <v>0</v>
      </c>
      <c r="L623" s="151" t="s">
        <v>9020</v>
      </c>
    </row>
    <row r="624" spans="1:12" x14ac:dyDescent="0.25">
      <c r="A624" s="151" t="s">
        <v>2747</v>
      </c>
      <c r="B624" s="151" t="s">
        <v>2997</v>
      </c>
      <c r="C624" s="151" t="s">
        <v>3674</v>
      </c>
      <c r="D624" s="151">
        <f t="shared" si="27"/>
        <v>0</v>
      </c>
      <c r="E624" s="151" t="str">
        <f t="shared" si="28"/>
        <v>GC-04314</v>
      </c>
      <c r="F624" s="151">
        <f>+IF(AND(C624*1&gt;=200,E624="GC-04314"),IF(D624=0,MAX(F$2:F623)+1,0),0)</f>
        <v>496</v>
      </c>
      <c r="H624" s="151" t="s">
        <v>6499</v>
      </c>
      <c r="I624" s="151" t="s">
        <v>6962</v>
      </c>
      <c r="J624" s="151" t="s">
        <v>6962</v>
      </c>
      <c r="K624" s="151">
        <f t="shared" si="29"/>
        <v>0</v>
      </c>
      <c r="L624" s="151" t="s">
        <v>9020</v>
      </c>
    </row>
    <row r="625" spans="1:12" x14ac:dyDescent="0.25">
      <c r="A625" s="151" t="s">
        <v>2748</v>
      </c>
      <c r="B625" s="151" t="s">
        <v>2997</v>
      </c>
      <c r="C625" s="151" t="s">
        <v>3675</v>
      </c>
      <c r="D625" s="151">
        <f t="shared" si="27"/>
        <v>0</v>
      </c>
      <c r="E625" s="151" t="str">
        <f t="shared" si="28"/>
        <v>GC-04314</v>
      </c>
      <c r="F625" s="151">
        <f>+IF(AND(C625*1&gt;=200,E625="GC-04314"),IF(D625=0,MAX(F$2:F624)+1,0),0)</f>
        <v>497</v>
      </c>
      <c r="H625" s="151" t="s">
        <v>6500</v>
      </c>
      <c r="I625" s="151" t="s">
        <v>6962</v>
      </c>
      <c r="J625" s="151" t="s">
        <v>6962</v>
      </c>
      <c r="K625" s="151">
        <f t="shared" si="29"/>
        <v>0</v>
      </c>
      <c r="L625" s="151" t="s">
        <v>9020</v>
      </c>
    </row>
    <row r="626" spans="1:12" x14ac:dyDescent="0.25">
      <c r="A626" s="151" t="s">
        <v>2749</v>
      </c>
      <c r="B626" s="151" t="s">
        <v>2997</v>
      </c>
      <c r="C626" s="151" t="s">
        <v>3676</v>
      </c>
      <c r="D626" s="151">
        <f t="shared" si="27"/>
        <v>0</v>
      </c>
      <c r="E626" s="151" t="str">
        <f t="shared" si="28"/>
        <v>GC-04314</v>
      </c>
      <c r="F626" s="151">
        <f>+IF(AND(C626*1&gt;=200,E626="GC-04314"),IF(D626=0,MAX(F$2:F625)+1,0),0)</f>
        <v>498</v>
      </c>
      <c r="H626" s="151" t="s">
        <v>6501</v>
      </c>
      <c r="I626" s="151" t="s">
        <v>6962</v>
      </c>
      <c r="J626" s="151" t="s">
        <v>6962</v>
      </c>
      <c r="K626" s="151">
        <f t="shared" si="29"/>
        <v>0</v>
      </c>
      <c r="L626" s="151" t="s">
        <v>9020</v>
      </c>
    </row>
    <row r="627" spans="1:12" x14ac:dyDescent="0.25">
      <c r="A627" s="151" t="s">
        <v>2750</v>
      </c>
      <c r="B627" s="151" t="s">
        <v>2997</v>
      </c>
      <c r="C627" s="151" t="s">
        <v>3677</v>
      </c>
      <c r="D627" s="151">
        <f t="shared" si="27"/>
        <v>0</v>
      </c>
      <c r="E627" s="151" t="str">
        <f t="shared" si="28"/>
        <v>GC-04314</v>
      </c>
      <c r="F627" s="151">
        <f>+IF(AND(C627*1&gt;=200,E627="GC-04314"),IF(D627=0,MAX(F$2:F626)+1,0),0)</f>
        <v>499</v>
      </c>
      <c r="H627" s="151" t="s">
        <v>6502</v>
      </c>
      <c r="I627" s="151" t="s">
        <v>6962</v>
      </c>
      <c r="J627" s="151" t="s">
        <v>6962</v>
      </c>
      <c r="K627" s="151">
        <f t="shared" si="29"/>
        <v>0</v>
      </c>
      <c r="L627" s="151" t="s">
        <v>9020</v>
      </c>
    </row>
    <row r="628" spans="1:12" x14ac:dyDescent="0.25">
      <c r="A628" s="151" t="s">
        <v>2751</v>
      </c>
      <c r="B628" s="151" t="s">
        <v>2997</v>
      </c>
      <c r="C628" s="151" t="s">
        <v>3678</v>
      </c>
      <c r="D628" s="151">
        <f t="shared" si="27"/>
        <v>0</v>
      </c>
      <c r="E628" s="151" t="str">
        <f t="shared" si="28"/>
        <v>GC-04314</v>
      </c>
      <c r="F628" s="151">
        <f>+IF(AND(C628*1&gt;=200,E628="GC-04314"),IF(D628=0,MAX(F$2:F627)+1,0),0)</f>
        <v>500</v>
      </c>
      <c r="H628" s="151" t="s">
        <v>6503</v>
      </c>
      <c r="I628" s="151" t="s">
        <v>6962</v>
      </c>
      <c r="J628" s="151" t="s">
        <v>6962</v>
      </c>
      <c r="K628" s="151">
        <f t="shared" si="29"/>
        <v>0</v>
      </c>
      <c r="L628" s="151" t="s">
        <v>9020</v>
      </c>
    </row>
    <row r="629" spans="1:12" x14ac:dyDescent="0.25">
      <c r="A629" s="151" t="s">
        <v>2752</v>
      </c>
      <c r="B629" s="151" t="s">
        <v>2997</v>
      </c>
      <c r="C629" s="151" t="s">
        <v>3679</v>
      </c>
      <c r="D629" s="151">
        <f t="shared" si="27"/>
        <v>0</v>
      </c>
      <c r="E629" s="151" t="str">
        <f t="shared" si="28"/>
        <v>GC-04314</v>
      </c>
      <c r="F629" s="151">
        <f>+IF(AND(C629*1&gt;=200,E629="GC-04314"),IF(D629=0,MAX(F$2:F628)+1,0),0)</f>
        <v>501</v>
      </c>
      <c r="H629" s="151" t="s">
        <v>6504</v>
      </c>
      <c r="I629" s="151" t="s">
        <v>6962</v>
      </c>
      <c r="J629" s="151" t="s">
        <v>6962</v>
      </c>
      <c r="K629" s="151">
        <f t="shared" si="29"/>
        <v>0</v>
      </c>
      <c r="L629" s="151" t="s">
        <v>9020</v>
      </c>
    </row>
    <row r="630" spans="1:12" x14ac:dyDescent="0.25">
      <c r="A630" s="151" t="s">
        <v>2753</v>
      </c>
      <c r="B630" s="151" t="s">
        <v>2997</v>
      </c>
      <c r="C630" s="151" t="s">
        <v>3680</v>
      </c>
      <c r="D630" s="151">
        <f t="shared" si="27"/>
        <v>0</v>
      </c>
      <c r="E630" s="151" t="str">
        <f t="shared" si="28"/>
        <v>GC-04314</v>
      </c>
      <c r="F630" s="151">
        <f>+IF(AND(C630*1&gt;=200,E630="GC-04314"),IF(D630=0,MAX(F$2:F629)+1,0),0)</f>
        <v>502</v>
      </c>
      <c r="H630" s="151" t="s">
        <v>6505</v>
      </c>
      <c r="I630" s="151" t="s">
        <v>6962</v>
      </c>
      <c r="J630" s="151" t="s">
        <v>6962</v>
      </c>
      <c r="K630" s="151">
        <f t="shared" si="29"/>
        <v>0</v>
      </c>
      <c r="L630" s="151" t="s">
        <v>9020</v>
      </c>
    </row>
    <row r="631" spans="1:12" x14ac:dyDescent="0.25">
      <c r="A631" s="151" t="s">
        <v>2754</v>
      </c>
      <c r="B631" s="151" t="s">
        <v>2997</v>
      </c>
      <c r="C631" s="151" t="s">
        <v>3681</v>
      </c>
      <c r="D631" s="151">
        <f t="shared" si="27"/>
        <v>0</v>
      </c>
      <c r="E631" s="151" t="str">
        <f t="shared" si="28"/>
        <v>GC-04314</v>
      </c>
      <c r="F631" s="151">
        <f>+IF(AND(C631*1&gt;=200,E631="GC-04314"),IF(D631=0,MAX(F$2:F630)+1,0),0)</f>
        <v>503</v>
      </c>
      <c r="H631" s="151" t="s">
        <v>6506</v>
      </c>
      <c r="I631" s="151" t="s">
        <v>6962</v>
      </c>
      <c r="J631" s="151" t="s">
        <v>6962</v>
      </c>
      <c r="K631" s="151">
        <f t="shared" si="29"/>
        <v>0</v>
      </c>
      <c r="L631" s="151" t="s">
        <v>9020</v>
      </c>
    </row>
    <row r="632" spans="1:12" x14ac:dyDescent="0.25">
      <c r="A632" s="151" t="s">
        <v>2755</v>
      </c>
      <c r="B632" s="151" t="s">
        <v>2997</v>
      </c>
      <c r="C632" s="151" t="s">
        <v>3682</v>
      </c>
      <c r="D632" s="151">
        <f t="shared" si="27"/>
        <v>0</v>
      </c>
      <c r="E632" s="151" t="str">
        <f t="shared" si="28"/>
        <v>GC-04314</v>
      </c>
      <c r="F632" s="151">
        <f>+IF(AND(C632*1&gt;=200,E632="GC-04314"),IF(D632=0,MAX(F$2:F631)+1,0),0)</f>
        <v>504</v>
      </c>
      <c r="H632" s="151" t="s">
        <v>6507</v>
      </c>
      <c r="I632" s="151" t="s">
        <v>6962</v>
      </c>
      <c r="J632" s="151" t="s">
        <v>6962</v>
      </c>
      <c r="K632" s="151">
        <f t="shared" si="29"/>
        <v>0</v>
      </c>
      <c r="L632" s="151" t="s">
        <v>9020</v>
      </c>
    </row>
    <row r="633" spans="1:12" x14ac:dyDescent="0.25">
      <c r="A633" s="151" t="s">
        <v>2756</v>
      </c>
      <c r="B633" s="151" t="s">
        <v>2997</v>
      </c>
      <c r="C633" s="151" t="s">
        <v>3683</v>
      </c>
      <c r="D633" s="151">
        <f t="shared" si="27"/>
        <v>0</v>
      </c>
      <c r="E633" s="151" t="str">
        <f t="shared" si="28"/>
        <v>GC-04314</v>
      </c>
      <c r="F633" s="151">
        <f>+IF(AND(C633*1&gt;=200,E633="GC-04314"),IF(D633=0,MAX(F$2:F632)+1,0),0)</f>
        <v>505</v>
      </c>
      <c r="H633" s="151" t="s">
        <v>6508</v>
      </c>
      <c r="I633" s="151" t="s">
        <v>6962</v>
      </c>
      <c r="J633" s="151" t="s">
        <v>6962</v>
      </c>
      <c r="K633" s="151">
        <f t="shared" si="29"/>
        <v>0</v>
      </c>
      <c r="L633" s="151" t="s">
        <v>9020</v>
      </c>
    </row>
    <row r="634" spans="1:12" x14ac:dyDescent="0.25">
      <c r="A634" s="151" t="s">
        <v>2757</v>
      </c>
      <c r="B634" s="151" t="s">
        <v>2997</v>
      </c>
      <c r="C634" s="151" t="s">
        <v>3684</v>
      </c>
      <c r="D634" s="151">
        <f t="shared" si="27"/>
        <v>0</v>
      </c>
      <c r="E634" s="151" t="str">
        <f t="shared" si="28"/>
        <v>GC-04314</v>
      </c>
      <c r="F634" s="151">
        <f>+IF(AND(C634*1&gt;=200,E634="GC-04314"),IF(D634=0,MAX(F$2:F633)+1,0),0)</f>
        <v>506</v>
      </c>
      <c r="H634" s="151" t="s">
        <v>6509</v>
      </c>
      <c r="I634" s="151" t="s">
        <v>6962</v>
      </c>
      <c r="J634" s="151" t="s">
        <v>6962</v>
      </c>
      <c r="K634" s="151">
        <f t="shared" si="29"/>
        <v>0</v>
      </c>
      <c r="L634" s="151" t="s">
        <v>9020</v>
      </c>
    </row>
    <row r="635" spans="1:12" x14ac:dyDescent="0.25">
      <c r="A635" s="151" t="s">
        <v>2758</v>
      </c>
      <c r="B635" s="151" t="s">
        <v>2997</v>
      </c>
      <c r="C635" s="151" t="s">
        <v>3685</v>
      </c>
      <c r="D635" s="151">
        <f t="shared" si="27"/>
        <v>0</v>
      </c>
      <c r="E635" s="151" t="str">
        <f t="shared" si="28"/>
        <v>GC-04314</v>
      </c>
      <c r="F635" s="151">
        <f>+IF(AND(C635*1&gt;=200,E635="GC-04314"),IF(D635=0,MAX(F$2:F634)+1,0),0)</f>
        <v>507</v>
      </c>
      <c r="H635" s="151" t="s">
        <v>6510</v>
      </c>
      <c r="I635" s="151" t="s">
        <v>6962</v>
      </c>
      <c r="J635" s="151" t="s">
        <v>6962</v>
      </c>
      <c r="K635" s="151">
        <f t="shared" si="29"/>
        <v>0</v>
      </c>
      <c r="L635" s="151" t="s">
        <v>9020</v>
      </c>
    </row>
    <row r="636" spans="1:12" x14ac:dyDescent="0.25">
      <c r="A636" s="151" t="s">
        <v>2759</v>
      </c>
      <c r="B636" s="151" t="s">
        <v>2997</v>
      </c>
      <c r="C636" s="151" t="s">
        <v>3686</v>
      </c>
      <c r="D636" s="151">
        <f t="shared" si="27"/>
        <v>0</v>
      </c>
      <c r="E636" s="151" t="str">
        <f t="shared" si="28"/>
        <v>GC-04314</v>
      </c>
      <c r="F636" s="151">
        <f>+IF(AND(C636*1&gt;=200,E636="GC-04314"),IF(D636=0,MAX(F$2:F635)+1,0),0)</f>
        <v>508</v>
      </c>
      <c r="H636" s="151" t="s">
        <v>6511</v>
      </c>
      <c r="I636" s="151" t="s">
        <v>6962</v>
      </c>
      <c r="J636" s="151" t="s">
        <v>6962</v>
      </c>
      <c r="K636" s="151">
        <f t="shared" si="29"/>
        <v>0</v>
      </c>
      <c r="L636" s="151" t="s">
        <v>9020</v>
      </c>
    </row>
    <row r="637" spans="1:12" x14ac:dyDescent="0.25">
      <c r="A637" s="151" t="s">
        <v>2760</v>
      </c>
      <c r="B637" s="151" t="s">
        <v>2997</v>
      </c>
      <c r="C637" s="151" t="s">
        <v>3687</v>
      </c>
      <c r="D637" s="151">
        <f t="shared" si="27"/>
        <v>0</v>
      </c>
      <c r="E637" s="151" t="str">
        <f t="shared" si="28"/>
        <v>GC-04314</v>
      </c>
      <c r="F637" s="151">
        <f>+IF(AND(C637*1&gt;=200,E637="GC-04314"),IF(D637=0,MAX(F$2:F636)+1,0),0)</f>
        <v>509</v>
      </c>
      <c r="H637" s="151" t="s">
        <v>6512</v>
      </c>
      <c r="I637" s="151" t="s">
        <v>6962</v>
      </c>
      <c r="J637" s="151" t="s">
        <v>6962</v>
      </c>
      <c r="K637" s="151">
        <f t="shared" si="29"/>
        <v>0</v>
      </c>
      <c r="L637" s="151" t="s">
        <v>9020</v>
      </c>
    </row>
    <row r="638" spans="1:12" x14ac:dyDescent="0.25">
      <c r="A638" s="151" t="s">
        <v>2761</v>
      </c>
      <c r="B638" s="151" t="s">
        <v>2997</v>
      </c>
      <c r="C638" s="151" t="s">
        <v>3688</v>
      </c>
      <c r="D638" s="151">
        <f t="shared" si="27"/>
        <v>0</v>
      </c>
      <c r="E638" s="151" t="str">
        <f t="shared" si="28"/>
        <v>GC-04314</v>
      </c>
      <c r="F638" s="151">
        <f>+IF(AND(C638*1&gt;=200,E638="GC-04314"),IF(D638=0,MAX(F$2:F637)+1,0),0)</f>
        <v>510</v>
      </c>
      <c r="H638" s="151" t="s">
        <v>6513</v>
      </c>
      <c r="I638" s="151" t="s">
        <v>6962</v>
      </c>
      <c r="J638" s="151" t="s">
        <v>6962</v>
      </c>
      <c r="K638" s="151">
        <f t="shared" si="29"/>
        <v>0</v>
      </c>
      <c r="L638" s="151" t="s">
        <v>9020</v>
      </c>
    </row>
    <row r="639" spans="1:12" x14ac:dyDescent="0.25">
      <c r="A639" s="151" t="s">
        <v>2762</v>
      </c>
      <c r="B639" s="151" t="s">
        <v>2997</v>
      </c>
      <c r="C639" s="151" t="s">
        <v>3689</v>
      </c>
      <c r="D639" s="151">
        <f t="shared" si="27"/>
        <v>0</v>
      </c>
      <c r="E639" s="151" t="str">
        <f t="shared" si="28"/>
        <v>GC-04314</v>
      </c>
      <c r="F639" s="151">
        <f>+IF(AND(C639*1&gt;=200,E639="GC-04314"),IF(D639=0,MAX(F$2:F638)+1,0),0)</f>
        <v>511</v>
      </c>
      <c r="H639" s="151" t="s">
        <v>6514</v>
      </c>
      <c r="I639" s="151" t="s">
        <v>6962</v>
      </c>
      <c r="J639" s="151" t="s">
        <v>6962</v>
      </c>
      <c r="K639" s="151">
        <f t="shared" si="29"/>
        <v>0</v>
      </c>
      <c r="L639" s="151" t="s">
        <v>9020</v>
      </c>
    </row>
    <row r="640" spans="1:12" x14ac:dyDescent="0.25">
      <c r="A640" s="151" t="s">
        <v>2763</v>
      </c>
      <c r="B640" s="151" t="s">
        <v>2997</v>
      </c>
      <c r="C640" s="151" t="s">
        <v>3690</v>
      </c>
      <c r="D640" s="151">
        <f t="shared" si="27"/>
        <v>0</v>
      </c>
      <c r="E640" s="151" t="str">
        <f t="shared" si="28"/>
        <v>GC-04314</v>
      </c>
      <c r="F640" s="151">
        <f>+IF(AND(C640*1&gt;=200,E640="GC-04314"),IF(D640=0,MAX(F$2:F639)+1,0),0)</f>
        <v>512</v>
      </c>
      <c r="H640" s="151" t="s">
        <v>6515</v>
      </c>
      <c r="I640" s="151" t="s">
        <v>6962</v>
      </c>
      <c r="J640" s="151" t="s">
        <v>6962</v>
      </c>
      <c r="K640" s="151">
        <f t="shared" si="29"/>
        <v>0</v>
      </c>
      <c r="L640" s="151" t="s">
        <v>9020</v>
      </c>
    </row>
    <row r="641" spans="1:12" x14ac:dyDescent="0.25">
      <c r="A641" s="151" t="s">
        <v>2764</v>
      </c>
      <c r="B641" s="151" t="s">
        <v>2997</v>
      </c>
      <c r="C641" s="151" t="s">
        <v>3691</v>
      </c>
      <c r="D641" s="151">
        <f t="shared" si="27"/>
        <v>0</v>
      </c>
      <c r="E641" s="151" t="str">
        <f t="shared" si="28"/>
        <v>GC-04314</v>
      </c>
      <c r="F641" s="151">
        <f>+IF(AND(C641*1&gt;=200,E641="GC-04314"),IF(D641=0,MAX(F$2:F640)+1,0),0)</f>
        <v>513</v>
      </c>
      <c r="H641" s="151" t="s">
        <v>6516</v>
      </c>
      <c r="I641" s="151" t="s">
        <v>6962</v>
      </c>
      <c r="J641" s="151" t="s">
        <v>6962</v>
      </c>
      <c r="K641" s="151">
        <f t="shared" si="29"/>
        <v>0</v>
      </c>
      <c r="L641" s="151" t="s">
        <v>9020</v>
      </c>
    </row>
    <row r="642" spans="1:12" x14ac:dyDescent="0.25">
      <c r="A642" s="151" t="s">
        <v>2765</v>
      </c>
      <c r="B642" s="151" t="s">
        <v>2997</v>
      </c>
      <c r="C642" s="151" t="s">
        <v>3692</v>
      </c>
      <c r="D642" s="151">
        <f t="shared" ref="D642:D705" si="30">+SUMIFS(K:K,H:H,A642)</f>
        <v>0</v>
      </c>
      <c r="E642" s="151" t="str">
        <f t="shared" ref="E642:E705" si="31">+IF(D642=0,VLOOKUP(A642,$H:$L,5,FALSE),"")</f>
        <v>GC-04314</v>
      </c>
      <c r="F642" s="151">
        <f>+IF(AND(C642*1&gt;=200,E642="GC-04314"),IF(D642=0,MAX(F$2:F641)+1,0),0)</f>
        <v>514</v>
      </c>
      <c r="H642" s="151" t="s">
        <v>6517</v>
      </c>
      <c r="I642" s="151" t="s">
        <v>6962</v>
      </c>
      <c r="J642" s="151" t="s">
        <v>6962</v>
      </c>
      <c r="K642" s="151">
        <f t="shared" si="29"/>
        <v>0</v>
      </c>
      <c r="L642" s="151" t="s">
        <v>9020</v>
      </c>
    </row>
    <row r="643" spans="1:12" x14ac:dyDescent="0.25">
      <c r="A643" s="151" t="s">
        <v>2766</v>
      </c>
      <c r="B643" s="151" t="s">
        <v>2997</v>
      </c>
      <c r="C643" s="151" t="s">
        <v>3693</v>
      </c>
      <c r="D643" s="151">
        <f t="shared" si="30"/>
        <v>0</v>
      </c>
      <c r="E643" s="151" t="str">
        <f t="shared" si="31"/>
        <v>GC-04314</v>
      </c>
      <c r="F643" s="151">
        <f>+IF(AND(C643*1&gt;=200,E643="GC-04314"),IF(D643=0,MAX(F$2:F642)+1,0),0)</f>
        <v>515</v>
      </c>
      <c r="H643" s="151" t="s">
        <v>6518</v>
      </c>
      <c r="I643" s="151" t="s">
        <v>6962</v>
      </c>
      <c r="J643" s="151" t="s">
        <v>6962</v>
      </c>
      <c r="K643" s="151">
        <f t="shared" ref="K643:K706" si="32">+IFERROR(J643*1,0)</f>
        <v>0</v>
      </c>
      <c r="L643" s="151" t="s">
        <v>9020</v>
      </c>
    </row>
    <row r="644" spans="1:12" x14ac:dyDescent="0.25">
      <c r="A644" s="151" t="s">
        <v>2767</v>
      </c>
      <c r="B644" s="151" t="s">
        <v>2997</v>
      </c>
      <c r="C644" s="151" t="s">
        <v>3694</v>
      </c>
      <c r="D644" s="151">
        <f t="shared" si="30"/>
        <v>0</v>
      </c>
      <c r="E644" s="151" t="str">
        <f t="shared" si="31"/>
        <v>GC-04314</v>
      </c>
      <c r="F644" s="151">
        <f>+IF(AND(C644*1&gt;=200,E644="GC-04314"),IF(D644=0,MAX(F$2:F643)+1,0),0)</f>
        <v>516</v>
      </c>
      <c r="H644" s="151" t="s">
        <v>6519</v>
      </c>
      <c r="I644" s="151" t="s">
        <v>6962</v>
      </c>
      <c r="J644" s="151" t="s">
        <v>6962</v>
      </c>
      <c r="K644" s="151">
        <f t="shared" si="32"/>
        <v>0</v>
      </c>
      <c r="L644" s="151" t="s">
        <v>9020</v>
      </c>
    </row>
    <row r="645" spans="1:12" x14ac:dyDescent="0.25">
      <c r="A645" s="151" t="s">
        <v>2768</v>
      </c>
      <c r="B645" s="151" t="s">
        <v>2997</v>
      </c>
      <c r="C645" s="151" t="s">
        <v>3695</v>
      </c>
      <c r="D645" s="151">
        <f t="shared" si="30"/>
        <v>0</v>
      </c>
      <c r="E645" s="151" t="str">
        <f t="shared" si="31"/>
        <v>GC-04314</v>
      </c>
      <c r="F645" s="151">
        <f>+IF(AND(C645*1&gt;=200,E645="GC-04314"),IF(D645=0,MAX(F$2:F644)+1,0),0)</f>
        <v>517</v>
      </c>
      <c r="H645" s="151" t="s">
        <v>6520</v>
      </c>
      <c r="I645" s="151" t="s">
        <v>6962</v>
      </c>
      <c r="J645" s="151" t="s">
        <v>6962</v>
      </c>
      <c r="K645" s="151">
        <f t="shared" si="32"/>
        <v>0</v>
      </c>
      <c r="L645" s="151" t="s">
        <v>9020</v>
      </c>
    </row>
    <row r="646" spans="1:12" x14ac:dyDescent="0.25">
      <c r="A646" s="151" t="s">
        <v>2769</v>
      </c>
      <c r="B646" s="151" t="s">
        <v>2997</v>
      </c>
      <c r="C646" s="151" t="s">
        <v>3696</v>
      </c>
      <c r="D646" s="151">
        <f t="shared" si="30"/>
        <v>0</v>
      </c>
      <c r="E646" s="151" t="str">
        <f t="shared" si="31"/>
        <v>GC-04314</v>
      </c>
      <c r="F646" s="151">
        <f>+IF(AND(C646*1&gt;=200,E646="GC-04314"),IF(D646=0,MAX(F$2:F645)+1,0),0)</f>
        <v>518</v>
      </c>
      <c r="H646" s="151" t="s">
        <v>6521</v>
      </c>
      <c r="I646" s="151" t="s">
        <v>6962</v>
      </c>
      <c r="J646" s="151" t="s">
        <v>6962</v>
      </c>
      <c r="K646" s="151">
        <f t="shared" si="32"/>
        <v>0</v>
      </c>
      <c r="L646" s="151" t="s">
        <v>9020</v>
      </c>
    </row>
    <row r="647" spans="1:12" x14ac:dyDescent="0.25">
      <c r="A647" s="151" t="s">
        <v>2770</v>
      </c>
      <c r="B647" s="151" t="s">
        <v>2997</v>
      </c>
      <c r="C647" s="151" t="s">
        <v>3697</v>
      </c>
      <c r="D647" s="151">
        <f t="shared" si="30"/>
        <v>0</v>
      </c>
      <c r="E647" s="151" t="str">
        <f t="shared" si="31"/>
        <v>GC-04314</v>
      </c>
      <c r="F647" s="151">
        <f>+IF(AND(C647*1&gt;=200,E647="GC-04314"),IF(D647=0,MAX(F$2:F646)+1,0),0)</f>
        <v>519</v>
      </c>
      <c r="H647" s="151" t="s">
        <v>6522</v>
      </c>
      <c r="I647" s="151" t="s">
        <v>6962</v>
      </c>
      <c r="J647" s="151" t="s">
        <v>6962</v>
      </c>
      <c r="K647" s="151">
        <f t="shared" si="32"/>
        <v>0</v>
      </c>
      <c r="L647" s="151" t="s">
        <v>9020</v>
      </c>
    </row>
    <row r="648" spans="1:12" x14ac:dyDescent="0.25">
      <c r="A648" s="151" t="s">
        <v>2771</v>
      </c>
      <c r="B648" s="151" t="s">
        <v>2997</v>
      </c>
      <c r="C648" s="151" t="s">
        <v>3698</v>
      </c>
      <c r="D648" s="151">
        <f t="shared" si="30"/>
        <v>0</v>
      </c>
      <c r="E648" s="151" t="str">
        <f t="shared" si="31"/>
        <v>GC-04314</v>
      </c>
      <c r="F648" s="151">
        <f>+IF(AND(C648*1&gt;=200,E648="GC-04314"),IF(D648=0,MAX(F$2:F647)+1,0),0)</f>
        <v>520</v>
      </c>
      <c r="H648" s="151" t="s">
        <v>6523</v>
      </c>
      <c r="I648" s="151" t="s">
        <v>6962</v>
      </c>
      <c r="J648" s="151" t="s">
        <v>6962</v>
      </c>
      <c r="K648" s="151">
        <f t="shared" si="32"/>
        <v>0</v>
      </c>
      <c r="L648" s="151" t="s">
        <v>9020</v>
      </c>
    </row>
    <row r="649" spans="1:12" x14ac:dyDescent="0.25">
      <c r="A649" s="151" t="s">
        <v>2772</v>
      </c>
      <c r="B649" s="151" t="s">
        <v>2997</v>
      </c>
      <c r="C649" s="151" t="s">
        <v>3699</v>
      </c>
      <c r="D649" s="151">
        <f t="shared" si="30"/>
        <v>0</v>
      </c>
      <c r="E649" s="151" t="str">
        <f t="shared" si="31"/>
        <v>GC-04314</v>
      </c>
      <c r="F649" s="151">
        <f>+IF(AND(C649*1&gt;=200,E649="GC-04314"),IF(D649=0,MAX(F$2:F648)+1,0),0)</f>
        <v>521</v>
      </c>
      <c r="H649" s="151" t="s">
        <v>6524</v>
      </c>
      <c r="I649" s="151" t="s">
        <v>6962</v>
      </c>
      <c r="J649" s="151" t="s">
        <v>6962</v>
      </c>
      <c r="K649" s="151">
        <f t="shared" si="32"/>
        <v>0</v>
      </c>
      <c r="L649" s="151" t="s">
        <v>9020</v>
      </c>
    </row>
    <row r="650" spans="1:12" x14ac:dyDescent="0.25">
      <c r="A650" s="151" t="s">
        <v>2773</v>
      </c>
      <c r="B650" s="151" t="s">
        <v>2997</v>
      </c>
      <c r="C650" s="151" t="s">
        <v>3700</v>
      </c>
      <c r="D650" s="151">
        <f t="shared" si="30"/>
        <v>0</v>
      </c>
      <c r="E650" s="151" t="str">
        <f t="shared" si="31"/>
        <v>GC-04314</v>
      </c>
      <c r="F650" s="151">
        <f>+IF(AND(C650*1&gt;=200,E650="GC-04314"),IF(D650=0,MAX(F$2:F649)+1,0),0)</f>
        <v>522</v>
      </c>
      <c r="H650" s="151" t="s">
        <v>6525</v>
      </c>
      <c r="I650" s="151" t="s">
        <v>6962</v>
      </c>
      <c r="J650" s="151" t="s">
        <v>6962</v>
      </c>
      <c r="K650" s="151">
        <f t="shared" si="32"/>
        <v>0</v>
      </c>
      <c r="L650" s="151" t="s">
        <v>9020</v>
      </c>
    </row>
    <row r="651" spans="1:12" x14ac:dyDescent="0.25">
      <c r="A651" s="151" t="s">
        <v>2774</v>
      </c>
      <c r="B651" s="151" t="s">
        <v>2997</v>
      </c>
      <c r="C651" s="151" t="s">
        <v>3701</v>
      </c>
      <c r="D651" s="151">
        <f t="shared" si="30"/>
        <v>0</v>
      </c>
      <c r="E651" s="151" t="str">
        <f t="shared" si="31"/>
        <v>GC-04314</v>
      </c>
      <c r="F651" s="151">
        <f>+IF(AND(C651*1&gt;=200,E651="GC-04314"),IF(D651=0,MAX(F$2:F650)+1,0),0)</f>
        <v>523</v>
      </c>
      <c r="H651" s="151" t="s">
        <v>6526</v>
      </c>
      <c r="I651" s="151" t="s">
        <v>6962</v>
      </c>
      <c r="J651" s="151" t="s">
        <v>6962</v>
      </c>
      <c r="K651" s="151">
        <f t="shared" si="32"/>
        <v>0</v>
      </c>
      <c r="L651" s="151" t="s">
        <v>9020</v>
      </c>
    </row>
    <row r="652" spans="1:12" x14ac:dyDescent="0.25">
      <c r="A652" s="151" t="s">
        <v>2775</v>
      </c>
      <c r="B652" s="151" t="s">
        <v>2997</v>
      </c>
      <c r="C652" s="151" t="s">
        <v>3702</v>
      </c>
      <c r="D652" s="151">
        <f t="shared" si="30"/>
        <v>0</v>
      </c>
      <c r="E652" s="151" t="str">
        <f t="shared" si="31"/>
        <v>GC-04314</v>
      </c>
      <c r="F652" s="151">
        <f>+IF(AND(C652*1&gt;=200,E652="GC-04314"),IF(D652=0,MAX(F$2:F651)+1,0),0)</f>
        <v>524</v>
      </c>
      <c r="H652" s="151" t="s">
        <v>6527</v>
      </c>
      <c r="I652" s="151" t="s">
        <v>6962</v>
      </c>
      <c r="J652" s="151" t="s">
        <v>6962</v>
      </c>
      <c r="K652" s="151">
        <f t="shared" si="32"/>
        <v>0</v>
      </c>
      <c r="L652" s="151" t="s">
        <v>9020</v>
      </c>
    </row>
    <row r="653" spans="1:12" x14ac:dyDescent="0.25">
      <c r="A653" s="151" t="s">
        <v>2776</v>
      </c>
      <c r="B653" s="151" t="s">
        <v>2997</v>
      </c>
      <c r="C653" s="151" t="s">
        <v>3703</v>
      </c>
      <c r="D653" s="151">
        <f t="shared" si="30"/>
        <v>0</v>
      </c>
      <c r="E653" s="151" t="str">
        <f t="shared" si="31"/>
        <v>GC-04314</v>
      </c>
      <c r="F653" s="151">
        <f>+IF(AND(C653*1&gt;=200,E653="GC-04314"),IF(D653=0,MAX(F$2:F652)+1,0),0)</f>
        <v>525</v>
      </c>
      <c r="H653" s="151" t="s">
        <v>6528</v>
      </c>
      <c r="I653" s="151" t="s">
        <v>6962</v>
      </c>
      <c r="J653" s="151" t="s">
        <v>6962</v>
      </c>
      <c r="K653" s="151">
        <f t="shared" si="32"/>
        <v>0</v>
      </c>
      <c r="L653" s="151" t="s">
        <v>9020</v>
      </c>
    </row>
    <row r="654" spans="1:12" x14ac:dyDescent="0.25">
      <c r="A654" s="151" t="s">
        <v>2777</v>
      </c>
      <c r="B654" s="151" t="s">
        <v>2997</v>
      </c>
      <c r="C654" s="151" t="s">
        <v>3704</v>
      </c>
      <c r="D654" s="151">
        <f t="shared" si="30"/>
        <v>0</v>
      </c>
      <c r="E654" s="151" t="str">
        <f t="shared" si="31"/>
        <v>GC-04314</v>
      </c>
      <c r="F654" s="151">
        <f>+IF(AND(C654*1&gt;=200,E654="GC-04314"),IF(D654=0,MAX(F$2:F653)+1,0),0)</f>
        <v>526</v>
      </c>
      <c r="H654" s="151" t="s">
        <v>6529</v>
      </c>
      <c r="I654" s="151" t="s">
        <v>6962</v>
      </c>
      <c r="J654" s="151" t="s">
        <v>6962</v>
      </c>
      <c r="K654" s="151">
        <f t="shared" si="32"/>
        <v>0</v>
      </c>
      <c r="L654" s="151" t="s">
        <v>9020</v>
      </c>
    </row>
    <row r="655" spans="1:12" x14ac:dyDescent="0.25">
      <c r="A655" s="151" t="s">
        <v>2778</v>
      </c>
      <c r="B655" s="151" t="s">
        <v>2997</v>
      </c>
      <c r="C655" s="151" t="s">
        <v>3705</v>
      </c>
      <c r="D655" s="151">
        <f t="shared" si="30"/>
        <v>0</v>
      </c>
      <c r="E655" s="151" t="str">
        <f t="shared" si="31"/>
        <v>GC-04314</v>
      </c>
      <c r="F655" s="151">
        <f>+IF(AND(C655*1&gt;=200,E655="GC-04314"),IF(D655=0,MAX(F$2:F654)+1,0),0)</f>
        <v>527</v>
      </c>
      <c r="H655" s="151" t="s">
        <v>6530</v>
      </c>
      <c r="I655" s="151" t="s">
        <v>6962</v>
      </c>
      <c r="J655" s="151" t="s">
        <v>6962</v>
      </c>
      <c r="K655" s="151">
        <f t="shared" si="32"/>
        <v>0</v>
      </c>
      <c r="L655" s="151" t="s">
        <v>9020</v>
      </c>
    </row>
    <row r="656" spans="1:12" x14ac:dyDescent="0.25">
      <c r="A656" s="151" t="s">
        <v>2779</v>
      </c>
      <c r="B656" s="151" t="s">
        <v>2997</v>
      </c>
      <c r="C656" s="151" t="s">
        <v>3706</v>
      </c>
      <c r="D656" s="151">
        <f t="shared" si="30"/>
        <v>0</v>
      </c>
      <c r="E656" s="151" t="str">
        <f t="shared" si="31"/>
        <v>GC-04314</v>
      </c>
      <c r="F656" s="151">
        <f>+IF(AND(C656*1&gt;=200,E656="GC-04314"),IF(D656=0,MAX(F$2:F655)+1,0),0)</f>
        <v>528</v>
      </c>
      <c r="H656" s="151" t="s">
        <v>6531</v>
      </c>
      <c r="I656" s="151" t="s">
        <v>6962</v>
      </c>
      <c r="J656" s="151" t="s">
        <v>6962</v>
      </c>
      <c r="K656" s="151">
        <f t="shared" si="32"/>
        <v>0</v>
      </c>
      <c r="L656" s="151" t="s">
        <v>9020</v>
      </c>
    </row>
    <row r="657" spans="1:12" x14ac:dyDescent="0.25">
      <c r="A657" s="151" t="s">
        <v>2780</v>
      </c>
      <c r="B657" s="151" t="s">
        <v>2997</v>
      </c>
      <c r="C657" s="151" t="s">
        <v>3707</v>
      </c>
      <c r="D657" s="151">
        <f t="shared" si="30"/>
        <v>0</v>
      </c>
      <c r="E657" s="151" t="str">
        <f t="shared" si="31"/>
        <v>GC-04314</v>
      </c>
      <c r="F657" s="151">
        <f>+IF(AND(C657*1&gt;=200,E657="GC-04314"),IF(D657=0,MAX(F$2:F656)+1,0),0)</f>
        <v>529</v>
      </c>
      <c r="H657" s="151" t="s">
        <v>6532</v>
      </c>
      <c r="I657" s="151" t="s">
        <v>6962</v>
      </c>
      <c r="J657" s="151" t="s">
        <v>6962</v>
      </c>
      <c r="K657" s="151">
        <f t="shared" si="32"/>
        <v>0</v>
      </c>
      <c r="L657" s="151" t="s">
        <v>9020</v>
      </c>
    </row>
    <row r="658" spans="1:12" x14ac:dyDescent="0.25">
      <c r="A658" s="151" t="s">
        <v>2781</v>
      </c>
      <c r="B658" s="151" t="s">
        <v>2997</v>
      </c>
      <c r="C658" s="151" t="s">
        <v>3708</v>
      </c>
      <c r="D658" s="151">
        <f t="shared" si="30"/>
        <v>0</v>
      </c>
      <c r="E658" s="151" t="str">
        <f t="shared" si="31"/>
        <v>GC-04314</v>
      </c>
      <c r="F658" s="151">
        <f>+IF(AND(C658*1&gt;=200,E658="GC-04314"),IF(D658=0,MAX(F$2:F657)+1,0),0)</f>
        <v>530</v>
      </c>
      <c r="H658" s="151" t="s">
        <v>6533</v>
      </c>
      <c r="I658" s="151" t="s">
        <v>6962</v>
      </c>
      <c r="J658" s="151" t="s">
        <v>6962</v>
      </c>
      <c r="K658" s="151">
        <f t="shared" si="32"/>
        <v>0</v>
      </c>
      <c r="L658" s="151" t="s">
        <v>9020</v>
      </c>
    </row>
    <row r="659" spans="1:12" x14ac:dyDescent="0.25">
      <c r="A659" s="151" t="s">
        <v>2782</v>
      </c>
      <c r="B659" s="151" t="s">
        <v>2997</v>
      </c>
      <c r="C659" s="151" t="s">
        <v>3709</v>
      </c>
      <c r="D659" s="151">
        <f t="shared" si="30"/>
        <v>0</v>
      </c>
      <c r="E659" s="151" t="str">
        <f t="shared" si="31"/>
        <v>GC-04314</v>
      </c>
      <c r="F659" s="151">
        <f>+IF(AND(C659*1&gt;=200,E659="GC-04314"),IF(D659=0,MAX(F$2:F658)+1,0),0)</f>
        <v>531</v>
      </c>
      <c r="H659" s="151" t="s">
        <v>6534</v>
      </c>
      <c r="I659" s="151" t="s">
        <v>6962</v>
      </c>
      <c r="J659" s="151" t="s">
        <v>6962</v>
      </c>
      <c r="K659" s="151">
        <f t="shared" si="32"/>
        <v>0</v>
      </c>
      <c r="L659" s="151" t="s">
        <v>9020</v>
      </c>
    </row>
    <row r="660" spans="1:12" x14ac:dyDescent="0.25">
      <c r="A660" s="151" t="s">
        <v>2783</v>
      </c>
      <c r="B660" s="151" t="s">
        <v>2997</v>
      </c>
      <c r="C660" s="151" t="s">
        <v>3710</v>
      </c>
      <c r="D660" s="151">
        <f t="shared" si="30"/>
        <v>0</v>
      </c>
      <c r="E660" s="151" t="str">
        <f t="shared" si="31"/>
        <v>GC-04314</v>
      </c>
      <c r="F660" s="151">
        <f>+IF(AND(C660*1&gt;=200,E660="GC-04314"),IF(D660=0,MAX(F$2:F659)+1,0),0)</f>
        <v>532</v>
      </c>
      <c r="H660" s="151" t="s">
        <v>6535</v>
      </c>
      <c r="I660" s="151" t="s">
        <v>6962</v>
      </c>
      <c r="J660" s="151" t="s">
        <v>6962</v>
      </c>
      <c r="K660" s="151">
        <f t="shared" si="32"/>
        <v>0</v>
      </c>
      <c r="L660" s="151" t="s">
        <v>9020</v>
      </c>
    </row>
    <row r="661" spans="1:12" x14ac:dyDescent="0.25">
      <c r="A661" s="151" t="s">
        <v>2784</v>
      </c>
      <c r="B661" s="151" t="s">
        <v>2997</v>
      </c>
      <c r="C661" s="151" t="s">
        <v>3711</v>
      </c>
      <c r="D661" s="151">
        <f t="shared" si="30"/>
        <v>0</v>
      </c>
      <c r="E661" s="151" t="str">
        <f t="shared" si="31"/>
        <v>GC-04314</v>
      </c>
      <c r="F661" s="151">
        <f>+IF(AND(C661*1&gt;=200,E661="GC-04314"),IF(D661=0,MAX(F$2:F660)+1,0),0)</f>
        <v>533</v>
      </c>
      <c r="H661" s="151" t="s">
        <v>6536</v>
      </c>
      <c r="I661" s="151" t="s">
        <v>6962</v>
      </c>
      <c r="J661" s="151" t="s">
        <v>6962</v>
      </c>
      <c r="K661" s="151">
        <f t="shared" si="32"/>
        <v>0</v>
      </c>
      <c r="L661" s="151" t="s">
        <v>9020</v>
      </c>
    </row>
    <row r="662" spans="1:12" x14ac:dyDescent="0.25">
      <c r="A662" s="151" t="s">
        <v>2785</v>
      </c>
      <c r="B662" s="151" t="s">
        <v>2997</v>
      </c>
      <c r="C662" s="151" t="s">
        <v>3712</v>
      </c>
      <c r="D662" s="151">
        <f t="shared" si="30"/>
        <v>0</v>
      </c>
      <c r="E662" s="151" t="str">
        <f t="shared" si="31"/>
        <v>GC-04314</v>
      </c>
      <c r="F662" s="151">
        <f>+IF(AND(C662*1&gt;=200,E662="GC-04314"),IF(D662=0,MAX(F$2:F661)+1,0),0)</f>
        <v>534</v>
      </c>
      <c r="H662" s="151" t="s">
        <v>6537</v>
      </c>
      <c r="I662" s="151" t="s">
        <v>6962</v>
      </c>
      <c r="J662" s="151" t="s">
        <v>6962</v>
      </c>
      <c r="K662" s="151">
        <f t="shared" si="32"/>
        <v>0</v>
      </c>
      <c r="L662" s="151" t="s">
        <v>9020</v>
      </c>
    </row>
    <row r="663" spans="1:12" x14ac:dyDescent="0.25">
      <c r="A663" s="151" t="s">
        <v>2786</v>
      </c>
      <c r="B663" s="151" t="s">
        <v>2997</v>
      </c>
      <c r="C663" s="151" t="s">
        <v>3713</v>
      </c>
      <c r="D663" s="151">
        <f t="shared" si="30"/>
        <v>0</v>
      </c>
      <c r="E663" s="151" t="str">
        <f t="shared" si="31"/>
        <v>GC-04314</v>
      </c>
      <c r="F663" s="151">
        <f>+IF(AND(C663*1&gt;=200,E663="GC-04314"),IF(D663=0,MAX(F$2:F662)+1,0),0)</f>
        <v>535</v>
      </c>
      <c r="H663" s="151" t="s">
        <v>6538</v>
      </c>
      <c r="I663" s="151" t="s">
        <v>6962</v>
      </c>
      <c r="J663" s="151" t="s">
        <v>6962</v>
      </c>
      <c r="K663" s="151">
        <f t="shared" si="32"/>
        <v>0</v>
      </c>
      <c r="L663" s="151" t="s">
        <v>9020</v>
      </c>
    </row>
    <row r="664" spans="1:12" x14ac:dyDescent="0.25">
      <c r="A664" s="151" t="s">
        <v>2787</v>
      </c>
      <c r="B664" s="151" t="s">
        <v>2997</v>
      </c>
      <c r="C664" s="151" t="s">
        <v>3714</v>
      </c>
      <c r="D664" s="151">
        <f t="shared" si="30"/>
        <v>0</v>
      </c>
      <c r="E664" s="151" t="str">
        <f t="shared" si="31"/>
        <v>GC-04314</v>
      </c>
      <c r="F664" s="151">
        <f>+IF(AND(C664*1&gt;=200,E664="GC-04314"),IF(D664=0,MAX(F$2:F663)+1,0),0)</f>
        <v>536</v>
      </c>
      <c r="H664" s="151" t="s">
        <v>6539</v>
      </c>
      <c r="I664" s="151" t="s">
        <v>6962</v>
      </c>
      <c r="J664" s="151" t="s">
        <v>6962</v>
      </c>
      <c r="K664" s="151">
        <f t="shared" si="32"/>
        <v>0</v>
      </c>
      <c r="L664" s="151" t="s">
        <v>9020</v>
      </c>
    </row>
    <row r="665" spans="1:12" x14ac:dyDescent="0.25">
      <c r="A665" s="151" t="s">
        <v>2788</v>
      </c>
      <c r="B665" s="151" t="s">
        <v>2997</v>
      </c>
      <c r="C665" s="151" t="s">
        <v>3715</v>
      </c>
      <c r="D665" s="151">
        <f t="shared" si="30"/>
        <v>0</v>
      </c>
      <c r="E665" s="151" t="str">
        <f t="shared" si="31"/>
        <v>GC-04314</v>
      </c>
      <c r="F665" s="151">
        <f>+IF(AND(C665*1&gt;=200,E665="GC-04314"),IF(D665=0,MAX(F$2:F664)+1,0),0)</f>
        <v>537</v>
      </c>
      <c r="H665" s="151" t="s">
        <v>6540</v>
      </c>
      <c r="I665" s="151" t="s">
        <v>6962</v>
      </c>
      <c r="J665" s="151" t="s">
        <v>6962</v>
      </c>
      <c r="K665" s="151">
        <f t="shared" si="32"/>
        <v>0</v>
      </c>
      <c r="L665" s="151" t="s">
        <v>9020</v>
      </c>
    </row>
    <row r="666" spans="1:12" x14ac:dyDescent="0.25">
      <c r="A666" s="151" t="s">
        <v>2789</v>
      </c>
      <c r="B666" s="151" t="s">
        <v>2997</v>
      </c>
      <c r="C666" s="151" t="s">
        <v>3716</v>
      </c>
      <c r="D666" s="151">
        <f t="shared" si="30"/>
        <v>0</v>
      </c>
      <c r="E666" s="151" t="str">
        <f t="shared" si="31"/>
        <v>GC-04314</v>
      </c>
      <c r="F666" s="151">
        <f>+IF(AND(C666*1&gt;=200,E666="GC-04314"),IF(D666=0,MAX(F$2:F665)+1,0),0)</f>
        <v>538</v>
      </c>
      <c r="H666" s="151" t="s">
        <v>6541</v>
      </c>
      <c r="I666" s="151" t="s">
        <v>6962</v>
      </c>
      <c r="J666" s="151" t="s">
        <v>6962</v>
      </c>
      <c r="K666" s="151">
        <f t="shared" si="32"/>
        <v>0</v>
      </c>
      <c r="L666" s="151" t="s">
        <v>9020</v>
      </c>
    </row>
    <row r="667" spans="1:12" x14ac:dyDescent="0.25">
      <c r="A667" s="151" t="s">
        <v>2790</v>
      </c>
      <c r="B667" s="151" t="s">
        <v>2997</v>
      </c>
      <c r="C667" s="151" t="s">
        <v>3717</v>
      </c>
      <c r="D667" s="151">
        <f t="shared" si="30"/>
        <v>0</v>
      </c>
      <c r="E667" s="151" t="str">
        <f t="shared" si="31"/>
        <v>GC-04314</v>
      </c>
      <c r="F667" s="151">
        <f>+IF(AND(C667*1&gt;=200,E667="GC-04314"),IF(D667=0,MAX(F$2:F666)+1,0),0)</f>
        <v>539</v>
      </c>
      <c r="H667" s="151" t="s">
        <v>6542</v>
      </c>
      <c r="I667" s="151" t="s">
        <v>6962</v>
      </c>
      <c r="J667" s="151" t="s">
        <v>6962</v>
      </c>
      <c r="K667" s="151">
        <f t="shared" si="32"/>
        <v>0</v>
      </c>
      <c r="L667" s="151" t="s">
        <v>9020</v>
      </c>
    </row>
    <row r="668" spans="1:12" x14ac:dyDescent="0.25">
      <c r="A668" s="151" t="s">
        <v>2791</v>
      </c>
      <c r="B668" s="151" t="s">
        <v>2997</v>
      </c>
      <c r="C668" s="151" t="s">
        <v>3718</v>
      </c>
      <c r="D668" s="151">
        <f t="shared" si="30"/>
        <v>0</v>
      </c>
      <c r="E668" s="151" t="str">
        <f t="shared" si="31"/>
        <v>GC-04314</v>
      </c>
      <c r="F668" s="151">
        <f>+IF(AND(C668*1&gt;=200,E668="GC-04314"),IF(D668=0,MAX(F$2:F667)+1,0),0)</f>
        <v>540</v>
      </c>
      <c r="H668" s="151" t="s">
        <v>6543</v>
      </c>
      <c r="I668" s="151" t="s">
        <v>6962</v>
      </c>
      <c r="J668" s="151" t="s">
        <v>6962</v>
      </c>
      <c r="K668" s="151">
        <f t="shared" si="32"/>
        <v>0</v>
      </c>
      <c r="L668" s="151" t="s">
        <v>9020</v>
      </c>
    </row>
    <row r="669" spans="1:12" x14ac:dyDescent="0.25">
      <c r="A669" s="151" t="s">
        <v>2792</v>
      </c>
      <c r="B669" s="151" t="s">
        <v>2997</v>
      </c>
      <c r="C669" s="151" t="s">
        <v>3719</v>
      </c>
      <c r="D669" s="151">
        <f t="shared" si="30"/>
        <v>0</v>
      </c>
      <c r="E669" s="151" t="str">
        <f t="shared" si="31"/>
        <v>GC-04314</v>
      </c>
      <c r="F669" s="151">
        <f>+IF(AND(C669*1&gt;=200,E669="GC-04314"),IF(D669=0,MAX(F$2:F668)+1,0),0)</f>
        <v>541</v>
      </c>
      <c r="H669" s="151" t="s">
        <v>6544</v>
      </c>
      <c r="I669" s="151" t="s">
        <v>6962</v>
      </c>
      <c r="J669" s="151" t="s">
        <v>6962</v>
      </c>
      <c r="K669" s="151">
        <f t="shared" si="32"/>
        <v>0</v>
      </c>
      <c r="L669" s="151" t="s">
        <v>9020</v>
      </c>
    </row>
    <row r="670" spans="1:12" x14ac:dyDescent="0.25">
      <c r="A670" s="151" t="s">
        <v>2793</v>
      </c>
      <c r="B670" s="151" t="s">
        <v>2997</v>
      </c>
      <c r="C670" s="151" t="s">
        <v>3720</v>
      </c>
      <c r="D670" s="151">
        <f t="shared" si="30"/>
        <v>0</v>
      </c>
      <c r="E670" s="151" t="str">
        <f t="shared" si="31"/>
        <v>GC-04314</v>
      </c>
      <c r="F670" s="151">
        <f>+IF(AND(C670*1&gt;=200,E670="GC-04314"),IF(D670=0,MAX(F$2:F669)+1,0),0)</f>
        <v>542</v>
      </c>
      <c r="H670" s="151" t="s">
        <v>6545</v>
      </c>
      <c r="I670" s="151" t="s">
        <v>6962</v>
      </c>
      <c r="J670" s="151" t="s">
        <v>6962</v>
      </c>
      <c r="K670" s="151">
        <f t="shared" si="32"/>
        <v>0</v>
      </c>
      <c r="L670" s="151" t="s">
        <v>9020</v>
      </c>
    </row>
    <row r="671" spans="1:12" x14ac:dyDescent="0.25">
      <c r="A671" s="151" t="s">
        <v>2794</v>
      </c>
      <c r="B671" s="151" t="s">
        <v>2997</v>
      </c>
      <c r="C671" s="151" t="s">
        <v>3721</v>
      </c>
      <c r="D671" s="151">
        <f t="shared" si="30"/>
        <v>0</v>
      </c>
      <c r="E671" s="151" t="str">
        <f t="shared" si="31"/>
        <v>GC-04313</v>
      </c>
      <c r="F671" s="151">
        <f>+IF(AND(C671*1&gt;=200,E671="GC-04314"),IF(D671=0,MAX(F$2:F670)+1,0),0)</f>
        <v>0</v>
      </c>
      <c r="H671" s="151" t="s">
        <v>6546</v>
      </c>
      <c r="I671" s="151" t="s">
        <v>6962</v>
      </c>
      <c r="J671" s="151" t="s">
        <v>6962</v>
      </c>
      <c r="K671" s="151">
        <f t="shared" si="32"/>
        <v>0</v>
      </c>
      <c r="L671" s="151" t="s">
        <v>9020</v>
      </c>
    </row>
    <row r="672" spans="1:12" x14ac:dyDescent="0.25">
      <c r="A672" s="151" t="s">
        <v>2795</v>
      </c>
      <c r="B672" s="151" t="s">
        <v>2997</v>
      </c>
      <c r="C672" s="151" t="s">
        <v>3722</v>
      </c>
      <c r="D672" s="151">
        <f t="shared" si="30"/>
        <v>650000000002251</v>
      </c>
      <c r="E672" s="151" t="str">
        <f t="shared" si="31"/>
        <v/>
      </c>
      <c r="F672" s="151">
        <f>+IF(AND(C672*1&gt;=200,E672="GC-04314"),IF(D672=0,MAX(F$2:F671)+1,0),0)</f>
        <v>0</v>
      </c>
      <c r="H672" s="151" t="s">
        <v>6547</v>
      </c>
      <c r="I672" s="151" t="s">
        <v>6962</v>
      </c>
      <c r="J672" s="151" t="s">
        <v>6962</v>
      </c>
      <c r="K672" s="151">
        <f t="shared" si="32"/>
        <v>0</v>
      </c>
      <c r="L672" s="151" t="s">
        <v>9020</v>
      </c>
    </row>
    <row r="673" spans="1:12" x14ac:dyDescent="0.25">
      <c r="A673" s="151" t="s">
        <v>2796</v>
      </c>
      <c r="B673" s="151" t="s">
        <v>2997</v>
      </c>
      <c r="C673" s="151" t="s">
        <v>3723</v>
      </c>
      <c r="D673" s="151">
        <f t="shared" si="30"/>
        <v>650000000002252</v>
      </c>
      <c r="E673" s="151" t="str">
        <f t="shared" si="31"/>
        <v/>
      </c>
      <c r="F673" s="151">
        <f>+IF(AND(C673*1&gt;=200,E673="GC-04314"),IF(D673=0,MAX(F$2:F672)+1,0),0)</f>
        <v>0</v>
      </c>
      <c r="H673" s="151" t="s">
        <v>6548</v>
      </c>
      <c r="I673" s="151" t="s">
        <v>6962</v>
      </c>
      <c r="J673" s="151" t="s">
        <v>6962</v>
      </c>
      <c r="K673" s="151">
        <f t="shared" si="32"/>
        <v>0</v>
      </c>
      <c r="L673" s="151" t="s">
        <v>9020</v>
      </c>
    </row>
    <row r="674" spans="1:12" x14ac:dyDescent="0.25">
      <c r="A674" s="151" t="s">
        <v>2797</v>
      </c>
      <c r="B674" s="151" t="s">
        <v>2997</v>
      </c>
      <c r="C674" s="151" t="s">
        <v>3724</v>
      </c>
      <c r="D674" s="151">
        <f t="shared" si="30"/>
        <v>650000000002222</v>
      </c>
      <c r="E674" s="151" t="str">
        <f t="shared" si="31"/>
        <v/>
      </c>
      <c r="F674" s="151">
        <f>+IF(AND(C674*1&gt;=200,E674="GC-04314"),IF(D674=0,MAX(F$2:F673)+1,0),0)</f>
        <v>0</v>
      </c>
      <c r="H674" s="151" t="s">
        <v>6549</v>
      </c>
      <c r="I674" s="151" t="s">
        <v>6962</v>
      </c>
      <c r="J674" s="151" t="s">
        <v>6962</v>
      </c>
      <c r="K674" s="151">
        <f t="shared" si="32"/>
        <v>0</v>
      </c>
      <c r="L674" s="151" t="s">
        <v>9020</v>
      </c>
    </row>
    <row r="675" spans="1:12" x14ac:dyDescent="0.25">
      <c r="A675" s="151" t="s">
        <v>2798</v>
      </c>
      <c r="B675" s="151" t="s">
        <v>2997</v>
      </c>
      <c r="C675" s="151" t="s">
        <v>3725</v>
      </c>
      <c r="D675" s="151">
        <f t="shared" si="30"/>
        <v>0</v>
      </c>
      <c r="E675" s="151" t="str">
        <f t="shared" si="31"/>
        <v>GC-04314</v>
      </c>
      <c r="F675" s="151">
        <f>+IF(AND(C675*1&gt;=200,E675="GC-04314"),IF(D675=0,MAX(F$2:F674)+1,0),0)</f>
        <v>543</v>
      </c>
      <c r="H675" s="151" t="s">
        <v>6550</v>
      </c>
      <c r="I675" s="151" t="s">
        <v>6962</v>
      </c>
      <c r="J675" s="151" t="s">
        <v>6962</v>
      </c>
      <c r="K675" s="151">
        <f t="shared" si="32"/>
        <v>0</v>
      </c>
      <c r="L675" s="151" t="s">
        <v>9020</v>
      </c>
    </row>
    <row r="676" spans="1:12" x14ac:dyDescent="0.25">
      <c r="A676" s="151" t="s">
        <v>2799</v>
      </c>
      <c r="B676" s="151" t="s">
        <v>2997</v>
      </c>
      <c r="C676" s="151" t="s">
        <v>3726</v>
      </c>
      <c r="D676" s="151">
        <f t="shared" si="30"/>
        <v>0</v>
      </c>
      <c r="E676" s="151" t="str">
        <f t="shared" si="31"/>
        <v>GC-04314</v>
      </c>
      <c r="F676" s="151">
        <f>+IF(AND(C676*1&gt;=200,E676="GC-04314"),IF(D676=0,MAX(F$2:F675)+1,0),0)</f>
        <v>544</v>
      </c>
      <c r="H676" s="151" t="s">
        <v>6551</v>
      </c>
      <c r="I676" s="151" t="s">
        <v>6962</v>
      </c>
      <c r="J676" s="151" t="s">
        <v>6962</v>
      </c>
      <c r="K676" s="151">
        <f t="shared" si="32"/>
        <v>0</v>
      </c>
      <c r="L676" s="151" t="s">
        <v>9020</v>
      </c>
    </row>
    <row r="677" spans="1:12" x14ac:dyDescent="0.25">
      <c r="A677" s="151" t="s">
        <v>2800</v>
      </c>
      <c r="B677" s="151" t="s">
        <v>2997</v>
      </c>
      <c r="C677" s="151" t="s">
        <v>3727</v>
      </c>
      <c r="D677" s="151">
        <f t="shared" si="30"/>
        <v>0</v>
      </c>
      <c r="E677" s="151" t="str">
        <f t="shared" si="31"/>
        <v>GC-04314</v>
      </c>
      <c r="F677" s="151">
        <f>+IF(AND(C677*1&gt;=200,E677="GC-04314"),IF(D677=0,MAX(F$2:F676)+1,0),0)</f>
        <v>545</v>
      </c>
      <c r="H677" s="151" t="s">
        <v>6552</v>
      </c>
      <c r="I677" s="151" t="s">
        <v>6962</v>
      </c>
      <c r="J677" s="151" t="s">
        <v>6962</v>
      </c>
      <c r="K677" s="151">
        <f t="shared" si="32"/>
        <v>0</v>
      </c>
      <c r="L677" s="151" t="s">
        <v>9020</v>
      </c>
    </row>
    <row r="678" spans="1:12" x14ac:dyDescent="0.25">
      <c r="A678" s="151" t="s">
        <v>2801</v>
      </c>
      <c r="B678" s="151" t="s">
        <v>2997</v>
      </c>
      <c r="C678" s="151" t="s">
        <v>3728</v>
      </c>
      <c r="D678" s="151">
        <f t="shared" si="30"/>
        <v>0</v>
      </c>
      <c r="E678" s="151" t="str">
        <f t="shared" si="31"/>
        <v>GC-04314</v>
      </c>
      <c r="F678" s="151">
        <f>+IF(AND(C678*1&gt;=200,E678="GC-04314"),IF(D678=0,MAX(F$2:F677)+1,0),0)</f>
        <v>546</v>
      </c>
      <c r="H678" s="151" t="s">
        <v>6553</v>
      </c>
      <c r="I678" s="151" t="s">
        <v>6962</v>
      </c>
      <c r="J678" s="151" t="s">
        <v>6962</v>
      </c>
      <c r="K678" s="151">
        <f t="shared" si="32"/>
        <v>0</v>
      </c>
      <c r="L678" s="151" t="s">
        <v>9020</v>
      </c>
    </row>
    <row r="679" spans="1:12" x14ac:dyDescent="0.25">
      <c r="A679" s="151" t="s">
        <v>2802</v>
      </c>
      <c r="B679" s="151" t="s">
        <v>2997</v>
      </c>
      <c r="C679" s="151" t="s">
        <v>3729</v>
      </c>
      <c r="D679" s="151">
        <f t="shared" si="30"/>
        <v>0</v>
      </c>
      <c r="E679" s="151" t="str">
        <f t="shared" si="31"/>
        <v>GC-04314</v>
      </c>
      <c r="F679" s="151">
        <f>+IF(AND(C679*1&gt;=200,E679="GC-04314"),IF(D679=0,MAX(F$2:F678)+1,0),0)</f>
        <v>547</v>
      </c>
      <c r="H679" s="151" t="s">
        <v>6554</v>
      </c>
      <c r="I679" s="151" t="s">
        <v>6962</v>
      </c>
      <c r="J679" s="151" t="s">
        <v>6962</v>
      </c>
      <c r="K679" s="151">
        <f t="shared" si="32"/>
        <v>0</v>
      </c>
      <c r="L679" s="151" t="s">
        <v>9020</v>
      </c>
    </row>
    <row r="680" spans="1:12" x14ac:dyDescent="0.25">
      <c r="A680" s="151" t="s">
        <v>2803</v>
      </c>
      <c r="B680" s="151" t="s">
        <v>2997</v>
      </c>
      <c r="C680" s="151" t="s">
        <v>3730</v>
      </c>
      <c r="D680" s="151">
        <f t="shared" si="30"/>
        <v>0</v>
      </c>
      <c r="E680" s="151" t="str">
        <f t="shared" si="31"/>
        <v>GC-04314</v>
      </c>
      <c r="F680" s="151">
        <f>+IF(AND(C680*1&gt;=200,E680="GC-04314"),IF(D680=0,MAX(F$2:F679)+1,0),0)</f>
        <v>548</v>
      </c>
      <c r="H680" s="151" t="s">
        <v>6555</v>
      </c>
      <c r="I680" s="151" t="s">
        <v>6962</v>
      </c>
      <c r="J680" s="151" t="s">
        <v>6962</v>
      </c>
      <c r="K680" s="151">
        <f t="shared" si="32"/>
        <v>0</v>
      </c>
      <c r="L680" s="151" t="s">
        <v>9020</v>
      </c>
    </row>
    <row r="681" spans="1:12" x14ac:dyDescent="0.25">
      <c r="A681" s="151" t="s">
        <v>2804</v>
      </c>
      <c r="B681" s="151" t="s">
        <v>2997</v>
      </c>
      <c r="C681" s="151" t="s">
        <v>3731</v>
      </c>
      <c r="D681" s="151">
        <f t="shared" si="30"/>
        <v>0</v>
      </c>
      <c r="E681" s="151" t="str">
        <f t="shared" si="31"/>
        <v>GC-04314</v>
      </c>
      <c r="F681" s="151">
        <f>+IF(AND(C681*1&gt;=200,E681="GC-04314"),IF(D681=0,MAX(F$2:F680)+1,0),0)</f>
        <v>549</v>
      </c>
      <c r="H681" s="151" t="s">
        <v>6556</v>
      </c>
      <c r="I681" s="151" t="s">
        <v>6962</v>
      </c>
      <c r="J681" s="151" t="s">
        <v>6962</v>
      </c>
      <c r="K681" s="151">
        <f t="shared" si="32"/>
        <v>0</v>
      </c>
      <c r="L681" s="151" t="s">
        <v>9020</v>
      </c>
    </row>
    <row r="682" spans="1:12" x14ac:dyDescent="0.25">
      <c r="A682" s="151" t="s">
        <v>2805</v>
      </c>
      <c r="B682" s="151" t="s">
        <v>2997</v>
      </c>
      <c r="C682" s="151" t="s">
        <v>3732</v>
      </c>
      <c r="D682" s="151">
        <f t="shared" si="30"/>
        <v>0</v>
      </c>
      <c r="E682" s="151" t="str">
        <f t="shared" si="31"/>
        <v>GC-04314</v>
      </c>
      <c r="F682" s="151">
        <f>+IF(AND(C682*1&gt;=200,E682="GC-04314"),IF(D682=0,MAX(F$2:F681)+1,0),0)</f>
        <v>550</v>
      </c>
      <c r="H682" s="151" t="s">
        <v>6557</v>
      </c>
      <c r="I682" s="151" t="s">
        <v>6962</v>
      </c>
      <c r="J682" s="151" t="s">
        <v>6962</v>
      </c>
      <c r="K682" s="151">
        <f t="shared" si="32"/>
        <v>0</v>
      </c>
      <c r="L682" s="151" t="s">
        <v>9020</v>
      </c>
    </row>
    <row r="683" spans="1:12" x14ac:dyDescent="0.25">
      <c r="A683" s="151" t="s">
        <v>2806</v>
      </c>
      <c r="B683" s="151" t="s">
        <v>2997</v>
      </c>
      <c r="C683" s="151" t="s">
        <v>3733</v>
      </c>
      <c r="D683" s="151">
        <f t="shared" si="30"/>
        <v>0</v>
      </c>
      <c r="E683" s="151" t="str">
        <f t="shared" si="31"/>
        <v>GC-04314</v>
      </c>
      <c r="F683" s="151">
        <f>+IF(AND(C683*1&gt;=200,E683="GC-04314"),IF(D683=0,MAX(F$2:F682)+1,0),0)</f>
        <v>551</v>
      </c>
      <c r="H683" s="151" t="s">
        <v>6558</v>
      </c>
      <c r="I683" s="151" t="s">
        <v>6962</v>
      </c>
      <c r="J683" s="151" t="s">
        <v>6962</v>
      </c>
      <c r="K683" s="151">
        <f t="shared" si="32"/>
        <v>0</v>
      </c>
      <c r="L683" s="151" t="s">
        <v>9020</v>
      </c>
    </row>
    <row r="684" spans="1:12" x14ac:dyDescent="0.25">
      <c r="A684" s="151" t="s">
        <v>2807</v>
      </c>
      <c r="B684" s="151" t="s">
        <v>2997</v>
      </c>
      <c r="C684" s="151" t="s">
        <v>3734</v>
      </c>
      <c r="D684" s="151">
        <f t="shared" si="30"/>
        <v>0</v>
      </c>
      <c r="E684" s="151" t="str">
        <f t="shared" si="31"/>
        <v>GC-04314</v>
      </c>
      <c r="F684" s="151">
        <f>+IF(AND(C684*1&gt;=200,E684="GC-04314"),IF(D684=0,MAX(F$2:F683)+1,0),0)</f>
        <v>552</v>
      </c>
      <c r="H684" s="151" t="s">
        <v>6559</v>
      </c>
      <c r="I684" s="151" t="s">
        <v>6962</v>
      </c>
      <c r="J684" s="151" t="s">
        <v>6962</v>
      </c>
      <c r="K684" s="151">
        <f t="shared" si="32"/>
        <v>0</v>
      </c>
      <c r="L684" s="151" t="s">
        <v>9020</v>
      </c>
    </row>
    <row r="685" spans="1:12" x14ac:dyDescent="0.25">
      <c r="A685" s="151" t="s">
        <v>2808</v>
      </c>
      <c r="B685" s="151" t="s">
        <v>2997</v>
      </c>
      <c r="C685" s="151" t="s">
        <v>3735</v>
      </c>
      <c r="D685" s="151">
        <f t="shared" si="30"/>
        <v>0</v>
      </c>
      <c r="E685" s="151" t="str">
        <f t="shared" si="31"/>
        <v>GC-04314</v>
      </c>
      <c r="F685" s="151">
        <f>+IF(AND(C685*1&gt;=200,E685="GC-04314"),IF(D685=0,MAX(F$2:F684)+1,0),0)</f>
        <v>553</v>
      </c>
      <c r="H685" s="151" t="s">
        <v>6560</v>
      </c>
      <c r="I685" s="151" t="s">
        <v>6962</v>
      </c>
      <c r="J685" s="151" t="s">
        <v>6962</v>
      </c>
      <c r="K685" s="151">
        <f t="shared" si="32"/>
        <v>0</v>
      </c>
      <c r="L685" s="151" t="s">
        <v>9020</v>
      </c>
    </row>
    <row r="686" spans="1:12" x14ac:dyDescent="0.25">
      <c r="A686" s="151" t="s">
        <v>2809</v>
      </c>
      <c r="B686" s="151" t="s">
        <v>2997</v>
      </c>
      <c r="C686" s="151" t="s">
        <v>3736</v>
      </c>
      <c r="D686" s="151">
        <f t="shared" si="30"/>
        <v>0</v>
      </c>
      <c r="E686" s="151" t="str">
        <f t="shared" si="31"/>
        <v>GC-04314</v>
      </c>
      <c r="F686" s="151">
        <f>+IF(AND(C686*1&gt;=200,E686="GC-04314"),IF(D686=0,MAX(F$2:F685)+1,0),0)</f>
        <v>554</v>
      </c>
      <c r="H686" s="151" t="s">
        <v>6561</v>
      </c>
      <c r="I686" s="151" t="s">
        <v>6962</v>
      </c>
      <c r="J686" s="151" t="s">
        <v>6962</v>
      </c>
      <c r="K686" s="151">
        <f t="shared" si="32"/>
        <v>0</v>
      </c>
      <c r="L686" s="151" t="s">
        <v>9020</v>
      </c>
    </row>
    <row r="687" spans="1:12" x14ac:dyDescent="0.25">
      <c r="A687" s="151" t="s">
        <v>2810</v>
      </c>
      <c r="B687" s="151" t="s">
        <v>2997</v>
      </c>
      <c r="C687" s="151" t="s">
        <v>3737</v>
      </c>
      <c r="D687" s="151">
        <f t="shared" si="30"/>
        <v>0</v>
      </c>
      <c r="E687" s="151" t="str">
        <f t="shared" si="31"/>
        <v>GC-04314</v>
      </c>
      <c r="F687" s="151">
        <f>+IF(AND(C687*1&gt;=200,E687="GC-04314"),IF(D687=0,MAX(F$2:F686)+1,0),0)</f>
        <v>555</v>
      </c>
      <c r="H687" s="151" t="s">
        <v>6562</v>
      </c>
      <c r="I687" s="151" t="s">
        <v>6962</v>
      </c>
      <c r="J687" s="151" t="s">
        <v>6962</v>
      </c>
      <c r="K687" s="151">
        <f t="shared" si="32"/>
        <v>0</v>
      </c>
      <c r="L687" s="151" t="s">
        <v>9020</v>
      </c>
    </row>
    <row r="688" spans="1:12" x14ac:dyDescent="0.25">
      <c r="A688" s="151" t="s">
        <v>2811</v>
      </c>
      <c r="B688" s="151" t="s">
        <v>2997</v>
      </c>
      <c r="C688" s="151" t="s">
        <v>3738</v>
      </c>
      <c r="D688" s="151">
        <f t="shared" si="30"/>
        <v>0</v>
      </c>
      <c r="E688" s="151" t="str">
        <f t="shared" si="31"/>
        <v>GC-04314</v>
      </c>
      <c r="F688" s="151">
        <f>+IF(AND(C688*1&gt;=200,E688="GC-04314"),IF(D688=0,MAX(F$2:F687)+1,0),0)</f>
        <v>556</v>
      </c>
      <c r="H688" s="151" t="s">
        <v>6563</v>
      </c>
      <c r="I688" s="151" t="s">
        <v>6962</v>
      </c>
      <c r="J688" s="151" t="s">
        <v>6962</v>
      </c>
      <c r="K688" s="151">
        <f t="shared" si="32"/>
        <v>0</v>
      </c>
      <c r="L688" s="151" t="s">
        <v>9020</v>
      </c>
    </row>
    <row r="689" spans="1:12" x14ac:dyDescent="0.25">
      <c r="A689" s="151" t="s">
        <v>2812</v>
      </c>
      <c r="B689" s="151" t="s">
        <v>2997</v>
      </c>
      <c r="C689" s="151" t="s">
        <v>3739</v>
      </c>
      <c r="D689" s="151">
        <f t="shared" si="30"/>
        <v>0</v>
      </c>
      <c r="E689" s="151" t="str">
        <f t="shared" si="31"/>
        <v>GC-04314</v>
      </c>
      <c r="F689" s="151">
        <f>+IF(AND(C689*1&gt;=200,E689="GC-04314"),IF(D689=0,MAX(F$2:F688)+1,0),0)</f>
        <v>557</v>
      </c>
      <c r="H689" s="151" t="s">
        <v>6564</v>
      </c>
      <c r="I689" s="151" t="s">
        <v>6962</v>
      </c>
      <c r="J689" s="151" t="s">
        <v>6962</v>
      </c>
      <c r="K689" s="151">
        <f t="shared" si="32"/>
        <v>0</v>
      </c>
      <c r="L689" s="151" t="s">
        <v>9020</v>
      </c>
    </row>
    <row r="690" spans="1:12" x14ac:dyDescent="0.25">
      <c r="A690" s="151" t="s">
        <v>2813</v>
      </c>
      <c r="B690" s="151" t="s">
        <v>2997</v>
      </c>
      <c r="C690" s="151" t="s">
        <v>3740</v>
      </c>
      <c r="D690" s="151">
        <f t="shared" si="30"/>
        <v>0</v>
      </c>
      <c r="E690" s="151" t="str">
        <f t="shared" si="31"/>
        <v>GC-04314</v>
      </c>
      <c r="F690" s="151">
        <f>+IF(AND(C690*1&gt;=200,E690="GC-04314"),IF(D690=0,MAX(F$2:F689)+1,0),0)</f>
        <v>558</v>
      </c>
      <c r="H690" s="151" t="s">
        <v>6565</v>
      </c>
      <c r="I690" s="151" t="s">
        <v>6962</v>
      </c>
      <c r="J690" s="151" t="s">
        <v>6962</v>
      </c>
      <c r="K690" s="151">
        <f t="shared" si="32"/>
        <v>0</v>
      </c>
      <c r="L690" s="151" t="s">
        <v>9020</v>
      </c>
    </row>
    <row r="691" spans="1:12" x14ac:dyDescent="0.25">
      <c r="A691" s="151" t="s">
        <v>2814</v>
      </c>
      <c r="B691" s="151" t="s">
        <v>2997</v>
      </c>
      <c r="C691" s="151" t="s">
        <v>3741</v>
      </c>
      <c r="D691" s="151">
        <f t="shared" si="30"/>
        <v>650000000002263</v>
      </c>
      <c r="E691" s="151" t="str">
        <f t="shared" si="31"/>
        <v/>
      </c>
      <c r="F691" s="151">
        <f>+IF(AND(C691*1&gt;=200,E691="GC-04314"),IF(D691=0,MAX(F$2:F690)+1,0),0)</f>
        <v>0</v>
      </c>
      <c r="H691" s="151" t="s">
        <v>6566</v>
      </c>
      <c r="I691" s="151" t="s">
        <v>6962</v>
      </c>
      <c r="J691" s="151" t="s">
        <v>6962</v>
      </c>
      <c r="K691" s="151">
        <f t="shared" si="32"/>
        <v>0</v>
      </c>
      <c r="L691" s="151" t="s">
        <v>9020</v>
      </c>
    </row>
    <row r="692" spans="1:12" x14ac:dyDescent="0.25">
      <c r="A692" s="151" t="s">
        <v>2815</v>
      </c>
      <c r="B692" s="151" t="s">
        <v>2997</v>
      </c>
      <c r="C692" s="151" t="s">
        <v>3742</v>
      </c>
      <c r="D692" s="151">
        <f t="shared" si="30"/>
        <v>0</v>
      </c>
      <c r="E692" s="151" t="str">
        <f t="shared" si="31"/>
        <v>GC-04314</v>
      </c>
      <c r="F692" s="151">
        <f>+IF(AND(C692*1&gt;=200,E692="GC-04314"),IF(D692=0,MAX(F$2:F691)+1,0),0)</f>
        <v>559</v>
      </c>
      <c r="H692" s="151" t="s">
        <v>6567</v>
      </c>
      <c r="I692" s="151" t="s">
        <v>6962</v>
      </c>
      <c r="J692" s="151" t="s">
        <v>6962</v>
      </c>
      <c r="K692" s="151">
        <f t="shared" si="32"/>
        <v>0</v>
      </c>
      <c r="L692" s="151" t="s">
        <v>9020</v>
      </c>
    </row>
    <row r="693" spans="1:12" x14ac:dyDescent="0.25">
      <c r="A693" s="151" t="s">
        <v>2816</v>
      </c>
      <c r="B693" s="151" t="s">
        <v>2997</v>
      </c>
      <c r="C693" s="151" t="s">
        <v>3743</v>
      </c>
      <c r="D693" s="151">
        <f t="shared" si="30"/>
        <v>0</v>
      </c>
      <c r="E693" s="151" t="str">
        <f t="shared" si="31"/>
        <v>GC-04314</v>
      </c>
      <c r="F693" s="151">
        <f>+IF(AND(C693*1&gt;=200,E693="GC-04314"),IF(D693=0,MAX(F$2:F692)+1,0),0)</f>
        <v>560</v>
      </c>
      <c r="H693" s="151" t="s">
        <v>6568</v>
      </c>
      <c r="I693" s="151" t="s">
        <v>6962</v>
      </c>
      <c r="J693" s="151" t="s">
        <v>6962</v>
      </c>
      <c r="K693" s="151">
        <f t="shared" si="32"/>
        <v>0</v>
      </c>
      <c r="L693" s="151" t="s">
        <v>9020</v>
      </c>
    </row>
    <row r="694" spans="1:12" x14ac:dyDescent="0.25">
      <c r="A694" s="151" t="s">
        <v>2817</v>
      </c>
      <c r="B694" s="151" t="s">
        <v>2997</v>
      </c>
      <c r="C694" s="151" t="s">
        <v>3744</v>
      </c>
      <c r="D694" s="151">
        <f t="shared" si="30"/>
        <v>0</v>
      </c>
      <c r="E694" s="151" t="str">
        <f t="shared" si="31"/>
        <v>GC-04314</v>
      </c>
      <c r="F694" s="151">
        <f>+IF(AND(C694*1&gt;=200,E694="GC-04314"),IF(D694=0,MAX(F$2:F693)+1,0),0)</f>
        <v>561</v>
      </c>
      <c r="H694" s="151" t="s">
        <v>6569</v>
      </c>
      <c r="I694" s="151" t="s">
        <v>6962</v>
      </c>
      <c r="J694" s="151" t="s">
        <v>6962</v>
      </c>
      <c r="K694" s="151">
        <f t="shared" si="32"/>
        <v>0</v>
      </c>
      <c r="L694" s="151" t="s">
        <v>9020</v>
      </c>
    </row>
    <row r="695" spans="1:12" x14ac:dyDescent="0.25">
      <c r="A695" s="151" t="s">
        <v>2818</v>
      </c>
      <c r="B695" s="151" t="s">
        <v>2997</v>
      </c>
      <c r="C695" s="151" t="s">
        <v>3745</v>
      </c>
      <c r="D695" s="151">
        <f t="shared" si="30"/>
        <v>0</v>
      </c>
      <c r="E695" s="151" t="str">
        <f t="shared" si="31"/>
        <v>GC-04314</v>
      </c>
      <c r="F695" s="151">
        <f>+IF(AND(C695*1&gt;=200,E695="GC-04314"),IF(D695=0,MAX(F$2:F694)+1,0),0)</f>
        <v>562</v>
      </c>
      <c r="H695" s="151" t="s">
        <v>6570</v>
      </c>
      <c r="I695" s="151" t="s">
        <v>6962</v>
      </c>
      <c r="J695" s="151" t="s">
        <v>6962</v>
      </c>
      <c r="K695" s="151">
        <f t="shared" si="32"/>
        <v>0</v>
      </c>
      <c r="L695" s="151" t="s">
        <v>9020</v>
      </c>
    </row>
    <row r="696" spans="1:12" x14ac:dyDescent="0.25">
      <c r="A696" s="151" t="s">
        <v>2819</v>
      </c>
      <c r="B696" s="151" t="s">
        <v>2997</v>
      </c>
      <c r="C696" s="151" t="s">
        <v>3746</v>
      </c>
      <c r="D696" s="151">
        <f t="shared" si="30"/>
        <v>0</v>
      </c>
      <c r="E696" s="151" t="str">
        <f t="shared" si="31"/>
        <v>GC-04314</v>
      </c>
      <c r="F696" s="151">
        <f>+IF(AND(C696*1&gt;=200,E696="GC-04314"),IF(D696=0,MAX(F$2:F695)+1,0),0)</f>
        <v>563</v>
      </c>
      <c r="H696" s="151" t="s">
        <v>6571</v>
      </c>
      <c r="I696" s="151" t="s">
        <v>6962</v>
      </c>
      <c r="J696" s="151" t="s">
        <v>6962</v>
      </c>
      <c r="K696" s="151">
        <f t="shared" si="32"/>
        <v>0</v>
      </c>
      <c r="L696" s="151" t="s">
        <v>9020</v>
      </c>
    </row>
    <row r="697" spans="1:12" x14ac:dyDescent="0.25">
      <c r="A697" s="151" t="s">
        <v>2820</v>
      </c>
      <c r="B697" s="151" t="s">
        <v>2997</v>
      </c>
      <c r="C697" s="151" t="s">
        <v>3747</v>
      </c>
      <c r="D697" s="151">
        <f t="shared" si="30"/>
        <v>0</v>
      </c>
      <c r="E697" s="151" t="str">
        <f t="shared" si="31"/>
        <v>GC-04314</v>
      </c>
      <c r="F697" s="151">
        <f>+IF(AND(C697*1&gt;=200,E697="GC-04314"),IF(D697=0,MAX(F$2:F696)+1,0),0)</f>
        <v>564</v>
      </c>
      <c r="H697" s="151" t="s">
        <v>6572</v>
      </c>
      <c r="I697" s="151" t="s">
        <v>6962</v>
      </c>
      <c r="J697" s="151" t="s">
        <v>6962</v>
      </c>
      <c r="K697" s="151">
        <f t="shared" si="32"/>
        <v>0</v>
      </c>
      <c r="L697" s="151" t="s">
        <v>9020</v>
      </c>
    </row>
    <row r="698" spans="1:12" x14ac:dyDescent="0.25">
      <c r="A698" s="151" t="s">
        <v>2821</v>
      </c>
      <c r="B698" s="151" t="s">
        <v>2997</v>
      </c>
      <c r="C698" s="151" t="s">
        <v>3748</v>
      </c>
      <c r="D698" s="151">
        <f t="shared" si="30"/>
        <v>0</v>
      </c>
      <c r="E698" s="151" t="str">
        <f t="shared" si="31"/>
        <v>GC-04314</v>
      </c>
      <c r="F698" s="151">
        <f>+IF(AND(C698*1&gt;=200,E698="GC-04314"),IF(D698=0,MAX(F$2:F697)+1,0),0)</f>
        <v>565</v>
      </c>
      <c r="H698" s="151" t="s">
        <v>6573</v>
      </c>
      <c r="I698" s="151" t="s">
        <v>6962</v>
      </c>
      <c r="J698" s="151" t="s">
        <v>6962</v>
      </c>
      <c r="K698" s="151">
        <f t="shared" si="32"/>
        <v>0</v>
      </c>
      <c r="L698" s="151" t="s">
        <v>9020</v>
      </c>
    </row>
    <row r="699" spans="1:12" x14ac:dyDescent="0.25">
      <c r="A699" s="151" t="s">
        <v>2822</v>
      </c>
      <c r="B699" s="151" t="s">
        <v>2997</v>
      </c>
      <c r="C699" s="151" t="s">
        <v>3749</v>
      </c>
      <c r="D699" s="151">
        <f t="shared" si="30"/>
        <v>0</v>
      </c>
      <c r="E699" s="151" t="str">
        <f t="shared" si="31"/>
        <v>GC-04314</v>
      </c>
      <c r="F699" s="151">
        <f>+IF(AND(C699*1&gt;=200,E699="GC-04314"),IF(D699=0,MAX(F$2:F698)+1,0),0)</f>
        <v>566</v>
      </c>
      <c r="H699" s="151" t="s">
        <v>6574</v>
      </c>
      <c r="I699" s="151" t="s">
        <v>6962</v>
      </c>
      <c r="J699" s="151" t="s">
        <v>6962</v>
      </c>
      <c r="K699" s="151">
        <f t="shared" si="32"/>
        <v>0</v>
      </c>
      <c r="L699" s="151" t="s">
        <v>9020</v>
      </c>
    </row>
    <row r="700" spans="1:12" x14ac:dyDescent="0.25">
      <c r="A700" s="151" t="s">
        <v>2823</v>
      </c>
      <c r="B700" s="151" t="s">
        <v>2997</v>
      </c>
      <c r="C700" s="151" t="s">
        <v>3750</v>
      </c>
      <c r="D700" s="151">
        <f t="shared" si="30"/>
        <v>0</v>
      </c>
      <c r="E700" s="151" t="str">
        <f t="shared" si="31"/>
        <v>GC-04314</v>
      </c>
      <c r="F700" s="151">
        <f>+IF(AND(C700*1&gt;=200,E700="GC-04314"),IF(D700=0,MAX(F$2:F699)+1,0),0)</f>
        <v>567</v>
      </c>
      <c r="H700" s="151" t="s">
        <v>6575</v>
      </c>
      <c r="I700" s="151" t="s">
        <v>6962</v>
      </c>
      <c r="J700" s="151" t="s">
        <v>6962</v>
      </c>
      <c r="K700" s="151">
        <f t="shared" si="32"/>
        <v>0</v>
      </c>
      <c r="L700" s="151" t="s">
        <v>9020</v>
      </c>
    </row>
    <row r="701" spans="1:12" x14ac:dyDescent="0.25">
      <c r="A701" s="151" t="s">
        <v>2824</v>
      </c>
      <c r="B701" s="151" t="s">
        <v>2997</v>
      </c>
      <c r="C701" s="151" t="s">
        <v>3751</v>
      </c>
      <c r="D701" s="151">
        <f t="shared" si="30"/>
        <v>0</v>
      </c>
      <c r="E701" s="151" t="str">
        <f t="shared" si="31"/>
        <v>GC-04314</v>
      </c>
      <c r="F701" s="151">
        <f>+IF(AND(C701*1&gt;=200,E701="GC-04314"),IF(D701=0,MAX(F$2:F700)+1,0),0)</f>
        <v>568</v>
      </c>
      <c r="H701" s="151" t="s">
        <v>6576</v>
      </c>
      <c r="I701" s="151" t="s">
        <v>6962</v>
      </c>
      <c r="J701" s="151" t="s">
        <v>6962</v>
      </c>
      <c r="K701" s="151">
        <f t="shared" si="32"/>
        <v>0</v>
      </c>
      <c r="L701" s="151" t="s">
        <v>9020</v>
      </c>
    </row>
    <row r="702" spans="1:12" x14ac:dyDescent="0.25">
      <c r="A702" s="151" t="s">
        <v>2825</v>
      </c>
      <c r="B702" s="151" t="s">
        <v>2997</v>
      </c>
      <c r="C702" s="151" t="s">
        <v>3752</v>
      </c>
      <c r="D702" s="151">
        <f t="shared" si="30"/>
        <v>0</v>
      </c>
      <c r="E702" s="151" t="str">
        <f t="shared" si="31"/>
        <v>GC-04314</v>
      </c>
      <c r="F702" s="151">
        <f>+IF(AND(C702*1&gt;=200,E702="GC-04314"),IF(D702=0,MAX(F$2:F701)+1,0),0)</f>
        <v>569</v>
      </c>
      <c r="H702" s="151" t="s">
        <v>6577</v>
      </c>
      <c r="I702" s="151" t="s">
        <v>6962</v>
      </c>
      <c r="J702" s="151" t="s">
        <v>6962</v>
      </c>
      <c r="K702" s="151">
        <f t="shared" si="32"/>
        <v>0</v>
      </c>
      <c r="L702" s="151" t="s">
        <v>9020</v>
      </c>
    </row>
    <row r="703" spans="1:12" x14ac:dyDescent="0.25">
      <c r="A703" s="151" t="s">
        <v>2826</v>
      </c>
      <c r="B703" s="151" t="s">
        <v>2997</v>
      </c>
      <c r="C703" s="151" t="s">
        <v>3753</v>
      </c>
      <c r="D703" s="151">
        <f t="shared" si="30"/>
        <v>0</v>
      </c>
      <c r="E703" s="151" t="str">
        <f t="shared" si="31"/>
        <v>GC-04314</v>
      </c>
      <c r="F703" s="151">
        <f>+IF(AND(C703*1&gt;=200,E703="GC-04314"),IF(D703=0,MAX(F$2:F702)+1,0),0)</f>
        <v>570</v>
      </c>
      <c r="H703" s="151" t="s">
        <v>6578</v>
      </c>
      <c r="I703" s="151" t="s">
        <v>6962</v>
      </c>
      <c r="J703" s="151" t="s">
        <v>6962</v>
      </c>
      <c r="K703" s="151">
        <f t="shared" si="32"/>
        <v>0</v>
      </c>
      <c r="L703" s="151" t="s">
        <v>9020</v>
      </c>
    </row>
    <row r="704" spans="1:12" x14ac:dyDescent="0.25">
      <c r="A704" s="151" t="s">
        <v>2827</v>
      </c>
      <c r="B704" s="151" t="s">
        <v>2997</v>
      </c>
      <c r="C704" s="151" t="s">
        <v>3754</v>
      </c>
      <c r="D704" s="151">
        <f t="shared" si="30"/>
        <v>0</v>
      </c>
      <c r="E704" s="151" t="str">
        <f t="shared" si="31"/>
        <v>GC-04314</v>
      </c>
      <c r="F704" s="151">
        <f>+IF(AND(C704*1&gt;=200,E704="GC-04314"),IF(D704=0,MAX(F$2:F703)+1,0),0)</f>
        <v>571</v>
      </c>
      <c r="H704" s="151" t="s">
        <v>6579</v>
      </c>
      <c r="I704" s="151" t="s">
        <v>6962</v>
      </c>
      <c r="J704" s="151" t="s">
        <v>6962</v>
      </c>
      <c r="K704" s="151">
        <f t="shared" si="32"/>
        <v>0</v>
      </c>
      <c r="L704" s="151" t="s">
        <v>9020</v>
      </c>
    </row>
    <row r="705" spans="1:12" x14ac:dyDescent="0.25">
      <c r="A705" s="151" t="s">
        <v>2828</v>
      </c>
      <c r="B705" s="151" t="s">
        <v>2997</v>
      </c>
      <c r="C705" s="151" t="s">
        <v>3755</v>
      </c>
      <c r="D705" s="151">
        <f t="shared" si="30"/>
        <v>0</v>
      </c>
      <c r="E705" s="151" t="str">
        <f t="shared" si="31"/>
        <v>GC-04314</v>
      </c>
      <c r="F705" s="151">
        <f>+IF(AND(C705*1&gt;=200,E705="GC-04314"),IF(D705=0,MAX(F$2:F704)+1,0),0)</f>
        <v>572</v>
      </c>
      <c r="H705" s="151" t="s">
        <v>6580</v>
      </c>
      <c r="I705" s="151" t="s">
        <v>6962</v>
      </c>
      <c r="J705" s="151" t="s">
        <v>6962</v>
      </c>
      <c r="K705" s="151">
        <f t="shared" si="32"/>
        <v>0</v>
      </c>
      <c r="L705" s="151" t="s">
        <v>9020</v>
      </c>
    </row>
    <row r="706" spans="1:12" x14ac:dyDescent="0.25">
      <c r="A706" s="151" t="s">
        <v>2829</v>
      </c>
      <c r="B706" s="151" t="s">
        <v>2997</v>
      </c>
      <c r="C706" s="151" t="s">
        <v>3756</v>
      </c>
      <c r="D706" s="151">
        <f t="shared" ref="D706:D769" si="33">+SUMIFS(K:K,H:H,A706)</f>
        <v>0</v>
      </c>
      <c r="E706" s="151" t="str">
        <f t="shared" ref="E706:E769" si="34">+IF(D706=0,VLOOKUP(A706,$H:$L,5,FALSE),"")</f>
        <v>GC-04314</v>
      </c>
      <c r="F706" s="151">
        <f>+IF(AND(C706*1&gt;=200,E706="GC-04314"),IF(D706=0,MAX(F$2:F705)+1,0),0)</f>
        <v>573</v>
      </c>
      <c r="H706" s="151" t="s">
        <v>6581</v>
      </c>
      <c r="I706" s="151" t="s">
        <v>6962</v>
      </c>
      <c r="J706" s="151" t="s">
        <v>6962</v>
      </c>
      <c r="K706" s="151">
        <f t="shared" si="32"/>
        <v>0</v>
      </c>
      <c r="L706" s="151" t="s">
        <v>9020</v>
      </c>
    </row>
    <row r="707" spans="1:12" x14ac:dyDescent="0.25">
      <c r="A707" s="151" t="s">
        <v>2830</v>
      </c>
      <c r="B707" s="151" t="s">
        <v>2997</v>
      </c>
      <c r="C707" s="151" t="s">
        <v>3757</v>
      </c>
      <c r="D707" s="151">
        <f t="shared" si="33"/>
        <v>0</v>
      </c>
      <c r="E707" s="151" t="str">
        <f t="shared" si="34"/>
        <v>GC-04314</v>
      </c>
      <c r="F707" s="151">
        <f>+IF(AND(C707*1&gt;=200,E707="GC-04314"),IF(D707=0,MAX(F$2:F706)+1,0),0)</f>
        <v>574</v>
      </c>
      <c r="H707" s="151" t="s">
        <v>6582</v>
      </c>
      <c r="I707" s="151" t="s">
        <v>6962</v>
      </c>
      <c r="J707" s="151" t="s">
        <v>6962</v>
      </c>
      <c r="K707" s="151">
        <f t="shared" ref="K707:K770" si="35">+IFERROR(J707*1,0)</f>
        <v>0</v>
      </c>
      <c r="L707" s="151" t="s">
        <v>9020</v>
      </c>
    </row>
    <row r="708" spans="1:12" x14ac:dyDescent="0.25">
      <c r="A708" s="151" t="s">
        <v>2831</v>
      </c>
      <c r="B708" s="151" t="s">
        <v>2997</v>
      </c>
      <c r="C708" s="151" t="s">
        <v>3758</v>
      </c>
      <c r="D708" s="151">
        <f t="shared" si="33"/>
        <v>0</v>
      </c>
      <c r="E708" s="151" t="str">
        <f t="shared" si="34"/>
        <v>GC-04314</v>
      </c>
      <c r="F708" s="151">
        <f>+IF(AND(C708*1&gt;=200,E708="GC-04314"),IF(D708=0,MAX(F$2:F707)+1,0),0)</f>
        <v>575</v>
      </c>
      <c r="H708" s="151" t="s">
        <v>6583</v>
      </c>
      <c r="I708" s="151" t="s">
        <v>6962</v>
      </c>
      <c r="J708" s="151" t="s">
        <v>6962</v>
      </c>
      <c r="K708" s="151">
        <f t="shared" si="35"/>
        <v>0</v>
      </c>
      <c r="L708" s="151" t="s">
        <v>9020</v>
      </c>
    </row>
    <row r="709" spans="1:12" x14ac:dyDescent="0.25">
      <c r="A709" s="151" t="s">
        <v>2832</v>
      </c>
      <c r="B709" s="151" t="s">
        <v>2997</v>
      </c>
      <c r="C709" s="151" t="s">
        <v>3759</v>
      </c>
      <c r="D709" s="151">
        <f t="shared" si="33"/>
        <v>0</v>
      </c>
      <c r="E709" s="151" t="str">
        <f t="shared" si="34"/>
        <v>GC-04314</v>
      </c>
      <c r="F709" s="151">
        <f>+IF(AND(C709*1&gt;=200,E709="GC-04314"),IF(D709=0,MAX(F$2:F708)+1,0),0)</f>
        <v>576</v>
      </c>
      <c r="H709" s="151" t="s">
        <v>6584</v>
      </c>
      <c r="I709" s="151" t="s">
        <v>6962</v>
      </c>
      <c r="J709" s="151" t="s">
        <v>6962</v>
      </c>
      <c r="K709" s="151">
        <f t="shared" si="35"/>
        <v>0</v>
      </c>
      <c r="L709" s="151" t="s">
        <v>9020</v>
      </c>
    </row>
    <row r="710" spans="1:12" x14ac:dyDescent="0.25">
      <c r="A710" s="151" t="s">
        <v>2833</v>
      </c>
      <c r="B710" s="151" t="s">
        <v>2997</v>
      </c>
      <c r="C710" s="151" t="s">
        <v>3760</v>
      </c>
      <c r="D710" s="151">
        <f t="shared" si="33"/>
        <v>0</v>
      </c>
      <c r="E710" s="151" t="str">
        <f t="shared" si="34"/>
        <v>GC-04314</v>
      </c>
      <c r="F710" s="151">
        <f>+IF(AND(C710*1&gt;=200,E710="GC-04314"),IF(D710=0,MAX(F$2:F709)+1,0),0)</f>
        <v>577</v>
      </c>
      <c r="H710" s="151" t="s">
        <v>6585</v>
      </c>
      <c r="I710" s="151" t="s">
        <v>6962</v>
      </c>
      <c r="J710" s="151" t="s">
        <v>6962</v>
      </c>
      <c r="K710" s="151">
        <f t="shared" si="35"/>
        <v>0</v>
      </c>
      <c r="L710" s="151" t="s">
        <v>9020</v>
      </c>
    </row>
    <row r="711" spans="1:12" x14ac:dyDescent="0.25">
      <c r="A711" s="151" t="s">
        <v>2834</v>
      </c>
      <c r="B711" s="151" t="s">
        <v>2997</v>
      </c>
      <c r="C711" s="151" t="s">
        <v>3761</v>
      </c>
      <c r="D711" s="151">
        <f t="shared" si="33"/>
        <v>0</v>
      </c>
      <c r="E711" s="151" t="str">
        <f t="shared" si="34"/>
        <v>GC-04314</v>
      </c>
      <c r="F711" s="151">
        <f>+IF(AND(C711*1&gt;=200,E711="GC-04314"),IF(D711=0,MAX(F$2:F710)+1,0),0)</f>
        <v>578</v>
      </c>
      <c r="H711" s="151" t="s">
        <v>6586</v>
      </c>
      <c r="I711" s="151" t="s">
        <v>6962</v>
      </c>
      <c r="J711" s="151" t="s">
        <v>6962</v>
      </c>
      <c r="K711" s="151">
        <f t="shared" si="35"/>
        <v>0</v>
      </c>
      <c r="L711" s="151" t="s">
        <v>9020</v>
      </c>
    </row>
    <row r="712" spans="1:12" x14ac:dyDescent="0.25">
      <c r="A712" s="151" t="s">
        <v>2835</v>
      </c>
      <c r="B712" s="151" t="s">
        <v>2997</v>
      </c>
      <c r="C712" s="151" t="s">
        <v>3762</v>
      </c>
      <c r="D712" s="151">
        <f t="shared" si="33"/>
        <v>0</v>
      </c>
      <c r="E712" s="151" t="str">
        <f t="shared" si="34"/>
        <v>GC-04314</v>
      </c>
      <c r="F712" s="151">
        <f>+IF(AND(C712*1&gt;=200,E712="GC-04314"),IF(D712=0,MAX(F$2:F711)+1,0),0)</f>
        <v>579</v>
      </c>
      <c r="H712" s="151" t="s">
        <v>6587</v>
      </c>
      <c r="I712" s="151" t="s">
        <v>6962</v>
      </c>
      <c r="J712" s="151" t="s">
        <v>6962</v>
      </c>
      <c r="K712" s="151">
        <f t="shared" si="35"/>
        <v>0</v>
      </c>
      <c r="L712" s="151" t="s">
        <v>9020</v>
      </c>
    </row>
    <row r="713" spans="1:12" x14ac:dyDescent="0.25">
      <c r="A713" s="151" t="s">
        <v>2836</v>
      </c>
      <c r="B713" s="151" t="s">
        <v>2997</v>
      </c>
      <c r="C713" s="151" t="s">
        <v>3763</v>
      </c>
      <c r="D713" s="151">
        <f t="shared" si="33"/>
        <v>0</v>
      </c>
      <c r="E713" s="151" t="str">
        <f t="shared" si="34"/>
        <v>GC-04314</v>
      </c>
      <c r="F713" s="151">
        <f>+IF(AND(C713*1&gt;=200,E713="GC-04314"),IF(D713=0,MAX(F$2:F712)+1,0),0)</f>
        <v>580</v>
      </c>
      <c r="H713" s="151" t="s">
        <v>6588</v>
      </c>
      <c r="I713" s="151" t="s">
        <v>6962</v>
      </c>
      <c r="J713" s="151" t="s">
        <v>6962</v>
      </c>
      <c r="K713" s="151">
        <f t="shared" si="35"/>
        <v>0</v>
      </c>
      <c r="L713" s="151" t="s">
        <v>9020</v>
      </c>
    </row>
    <row r="714" spans="1:12" x14ac:dyDescent="0.25">
      <c r="A714" s="151" t="s">
        <v>2837</v>
      </c>
      <c r="B714" s="151" t="s">
        <v>2997</v>
      </c>
      <c r="C714" s="151" t="s">
        <v>3764</v>
      </c>
      <c r="D714" s="151">
        <f t="shared" si="33"/>
        <v>0</v>
      </c>
      <c r="E714" s="151" t="str">
        <f t="shared" si="34"/>
        <v>GC-04314</v>
      </c>
      <c r="F714" s="151">
        <f>+IF(AND(C714*1&gt;=200,E714="GC-04314"),IF(D714=0,MAX(F$2:F713)+1,0),0)</f>
        <v>581</v>
      </c>
      <c r="H714" s="151" t="s">
        <v>6589</v>
      </c>
      <c r="I714" s="151" t="s">
        <v>6962</v>
      </c>
      <c r="J714" s="151" t="s">
        <v>6962</v>
      </c>
      <c r="K714" s="151">
        <f t="shared" si="35"/>
        <v>0</v>
      </c>
      <c r="L714" s="151" t="s">
        <v>9020</v>
      </c>
    </row>
    <row r="715" spans="1:12" x14ac:dyDescent="0.25">
      <c r="A715" s="151" t="s">
        <v>2838</v>
      </c>
      <c r="B715" s="151" t="s">
        <v>2997</v>
      </c>
      <c r="C715" s="151" t="s">
        <v>3765</v>
      </c>
      <c r="D715" s="151">
        <f t="shared" si="33"/>
        <v>0</v>
      </c>
      <c r="E715" s="151" t="str">
        <f t="shared" si="34"/>
        <v>GC-04314</v>
      </c>
      <c r="F715" s="151">
        <f>+IF(AND(C715*1&gt;=200,E715="GC-04314"),IF(D715=0,MAX(F$2:F714)+1,0),0)</f>
        <v>582</v>
      </c>
      <c r="H715" s="151" t="s">
        <v>6590</v>
      </c>
      <c r="I715" s="151" t="s">
        <v>6962</v>
      </c>
      <c r="J715" s="151" t="s">
        <v>6962</v>
      </c>
      <c r="K715" s="151">
        <f t="shared" si="35"/>
        <v>0</v>
      </c>
      <c r="L715" s="151" t="s">
        <v>9020</v>
      </c>
    </row>
    <row r="716" spans="1:12" x14ac:dyDescent="0.25">
      <c r="A716" s="151" t="s">
        <v>2839</v>
      </c>
      <c r="B716" s="151" t="s">
        <v>2997</v>
      </c>
      <c r="C716" s="151" t="s">
        <v>3766</v>
      </c>
      <c r="D716" s="151">
        <f t="shared" si="33"/>
        <v>0</v>
      </c>
      <c r="E716" s="151" t="str">
        <f t="shared" si="34"/>
        <v>GC-04314</v>
      </c>
      <c r="F716" s="151">
        <f>+IF(AND(C716*1&gt;=200,E716="GC-04314"),IF(D716=0,MAX(F$2:F715)+1,0),0)</f>
        <v>583</v>
      </c>
      <c r="H716" s="151" t="s">
        <v>6591</v>
      </c>
      <c r="I716" s="151" t="s">
        <v>6962</v>
      </c>
      <c r="J716" s="151" t="s">
        <v>6962</v>
      </c>
      <c r="K716" s="151">
        <f t="shared" si="35"/>
        <v>0</v>
      </c>
      <c r="L716" s="151" t="s">
        <v>9020</v>
      </c>
    </row>
    <row r="717" spans="1:12" x14ac:dyDescent="0.25">
      <c r="A717" s="151" t="s">
        <v>2840</v>
      </c>
      <c r="B717" s="151" t="s">
        <v>2997</v>
      </c>
      <c r="C717" s="151" t="s">
        <v>3767</v>
      </c>
      <c r="D717" s="151">
        <f t="shared" si="33"/>
        <v>0</v>
      </c>
      <c r="E717" s="151" t="str">
        <f t="shared" si="34"/>
        <v>GC-04314</v>
      </c>
      <c r="F717" s="151">
        <f>+IF(AND(C717*1&gt;=200,E717="GC-04314"),IF(D717=0,MAX(F$2:F716)+1,0),0)</f>
        <v>584</v>
      </c>
      <c r="H717" s="151" t="s">
        <v>6592</v>
      </c>
      <c r="I717" s="151" t="s">
        <v>6962</v>
      </c>
      <c r="J717" s="151" t="s">
        <v>6962</v>
      </c>
      <c r="K717" s="151">
        <f t="shared" si="35"/>
        <v>0</v>
      </c>
      <c r="L717" s="151" t="s">
        <v>9020</v>
      </c>
    </row>
    <row r="718" spans="1:12" x14ac:dyDescent="0.25">
      <c r="A718" s="151" t="s">
        <v>2841</v>
      </c>
      <c r="B718" s="151" t="s">
        <v>2997</v>
      </c>
      <c r="C718" s="151" t="s">
        <v>3768</v>
      </c>
      <c r="D718" s="151">
        <f t="shared" si="33"/>
        <v>0</v>
      </c>
      <c r="E718" s="151" t="str">
        <f t="shared" si="34"/>
        <v>GC-04314</v>
      </c>
      <c r="F718" s="151">
        <f>+IF(AND(C718*1&gt;=200,E718="GC-04314"),IF(D718=0,MAX(F$2:F717)+1,0),0)</f>
        <v>585</v>
      </c>
      <c r="H718" s="151" t="s">
        <v>6593</v>
      </c>
      <c r="I718" s="151" t="s">
        <v>6962</v>
      </c>
      <c r="J718" s="151" t="s">
        <v>6962</v>
      </c>
      <c r="K718" s="151">
        <f t="shared" si="35"/>
        <v>0</v>
      </c>
      <c r="L718" s="151" t="s">
        <v>9020</v>
      </c>
    </row>
    <row r="719" spans="1:12" x14ac:dyDescent="0.25">
      <c r="A719" s="151" t="s">
        <v>2842</v>
      </c>
      <c r="B719" s="151" t="s">
        <v>2997</v>
      </c>
      <c r="C719" s="151" t="s">
        <v>3769</v>
      </c>
      <c r="D719" s="151">
        <f t="shared" si="33"/>
        <v>0</v>
      </c>
      <c r="E719" s="151" t="str">
        <f t="shared" si="34"/>
        <v>GC-04314</v>
      </c>
      <c r="F719" s="151">
        <f>+IF(AND(C719*1&gt;=200,E719="GC-04314"),IF(D719=0,MAX(F$2:F718)+1,0),0)</f>
        <v>586</v>
      </c>
      <c r="H719" s="151" t="s">
        <v>6594</v>
      </c>
      <c r="I719" s="151" t="s">
        <v>6962</v>
      </c>
      <c r="J719" s="151" t="s">
        <v>6962</v>
      </c>
      <c r="K719" s="151">
        <f t="shared" si="35"/>
        <v>0</v>
      </c>
      <c r="L719" s="151" t="s">
        <v>9020</v>
      </c>
    </row>
    <row r="720" spans="1:12" x14ac:dyDescent="0.25">
      <c r="A720" s="151" t="s">
        <v>2843</v>
      </c>
      <c r="B720" s="151" t="s">
        <v>2997</v>
      </c>
      <c r="C720" s="151" t="s">
        <v>3770</v>
      </c>
      <c r="D720" s="151">
        <f t="shared" si="33"/>
        <v>0</v>
      </c>
      <c r="E720" s="151" t="str">
        <f t="shared" si="34"/>
        <v>GC-04314</v>
      </c>
      <c r="F720" s="151">
        <f>+IF(AND(C720*1&gt;=200,E720="GC-04314"),IF(D720=0,MAX(F$2:F719)+1,0),0)</f>
        <v>587</v>
      </c>
      <c r="H720" s="151" t="s">
        <v>6595</v>
      </c>
      <c r="I720" s="151" t="s">
        <v>6962</v>
      </c>
      <c r="J720" s="151" t="s">
        <v>6962</v>
      </c>
      <c r="K720" s="151">
        <f t="shared" si="35"/>
        <v>0</v>
      </c>
      <c r="L720" s="151" t="s">
        <v>9020</v>
      </c>
    </row>
    <row r="721" spans="1:12" x14ac:dyDescent="0.25">
      <c r="A721" s="151" t="s">
        <v>2844</v>
      </c>
      <c r="B721" s="151" t="s">
        <v>2997</v>
      </c>
      <c r="C721" s="151" t="s">
        <v>3771</v>
      </c>
      <c r="D721" s="151">
        <f t="shared" si="33"/>
        <v>0</v>
      </c>
      <c r="E721" s="151" t="str">
        <f t="shared" si="34"/>
        <v>GC-04314</v>
      </c>
      <c r="F721" s="151">
        <f>+IF(AND(C721*1&gt;=200,E721="GC-04314"),IF(D721=0,MAX(F$2:F720)+1,0),0)</f>
        <v>588</v>
      </c>
      <c r="H721" s="151" t="s">
        <v>6596</v>
      </c>
      <c r="I721" s="151" t="s">
        <v>6962</v>
      </c>
      <c r="J721" s="151" t="s">
        <v>6962</v>
      </c>
      <c r="K721" s="151">
        <f t="shared" si="35"/>
        <v>0</v>
      </c>
      <c r="L721" s="151" t="s">
        <v>9020</v>
      </c>
    </row>
    <row r="722" spans="1:12" x14ac:dyDescent="0.25">
      <c r="A722" s="151" t="s">
        <v>2845</v>
      </c>
      <c r="B722" s="151" t="s">
        <v>2997</v>
      </c>
      <c r="C722" s="151" t="s">
        <v>3772</v>
      </c>
      <c r="D722" s="151">
        <f t="shared" si="33"/>
        <v>0</v>
      </c>
      <c r="E722" s="151" t="str">
        <f t="shared" si="34"/>
        <v>GC-04314</v>
      </c>
      <c r="F722" s="151">
        <f>+IF(AND(C722*1&gt;=200,E722="GC-04314"),IF(D722=0,MAX(F$2:F721)+1,0),0)</f>
        <v>589</v>
      </c>
      <c r="H722" s="151" t="s">
        <v>6597</v>
      </c>
      <c r="I722" s="151" t="s">
        <v>6962</v>
      </c>
      <c r="J722" s="151" t="s">
        <v>6962</v>
      </c>
      <c r="K722" s="151">
        <f t="shared" si="35"/>
        <v>0</v>
      </c>
      <c r="L722" s="151" t="s">
        <v>9020</v>
      </c>
    </row>
    <row r="723" spans="1:12" x14ac:dyDescent="0.25">
      <c r="A723" s="151" t="s">
        <v>2846</v>
      </c>
      <c r="B723" s="151" t="s">
        <v>2997</v>
      </c>
      <c r="C723" s="151" t="s">
        <v>3773</v>
      </c>
      <c r="D723" s="151">
        <f t="shared" si="33"/>
        <v>0</v>
      </c>
      <c r="E723" s="151" t="str">
        <f t="shared" si="34"/>
        <v>GC-04314</v>
      </c>
      <c r="F723" s="151">
        <f>+IF(AND(C723*1&gt;=200,E723="GC-04314"),IF(D723=0,MAX(F$2:F722)+1,0),0)</f>
        <v>590</v>
      </c>
      <c r="H723" s="151" t="s">
        <v>6598</v>
      </c>
      <c r="I723" s="151" t="s">
        <v>6962</v>
      </c>
      <c r="J723" s="151" t="s">
        <v>6962</v>
      </c>
      <c r="K723" s="151">
        <f t="shared" si="35"/>
        <v>0</v>
      </c>
      <c r="L723" s="151" t="s">
        <v>9020</v>
      </c>
    </row>
    <row r="724" spans="1:12" x14ac:dyDescent="0.25">
      <c r="A724" s="151" t="s">
        <v>2847</v>
      </c>
      <c r="B724" s="151" t="s">
        <v>2997</v>
      </c>
      <c r="C724" s="151" t="s">
        <v>3774</v>
      </c>
      <c r="D724" s="151">
        <f t="shared" si="33"/>
        <v>0</v>
      </c>
      <c r="E724" s="151" t="str">
        <f t="shared" si="34"/>
        <v>GC-04314</v>
      </c>
      <c r="F724" s="151">
        <f>+IF(AND(C724*1&gt;=200,E724="GC-04314"),IF(D724=0,MAX(F$2:F723)+1,0),0)</f>
        <v>591</v>
      </c>
      <c r="H724" s="151" t="s">
        <v>6599</v>
      </c>
      <c r="I724" s="151" t="s">
        <v>6962</v>
      </c>
      <c r="J724" s="151" t="s">
        <v>6962</v>
      </c>
      <c r="K724" s="151">
        <f t="shared" si="35"/>
        <v>0</v>
      </c>
      <c r="L724" s="151" t="s">
        <v>9020</v>
      </c>
    </row>
    <row r="725" spans="1:12" x14ac:dyDescent="0.25">
      <c r="A725" s="151" t="s">
        <v>2848</v>
      </c>
      <c r="B725" s="151" t="s">
        <v>2997</v>
      </c>
      <c r="C725" s="151" t="s">
        <v>3775</v>
      </c>
      <c r="D725" s="151">
        <f t="shared" si="33"/>
        <v>0</v>
      </c>
      <c r="E725" s="151" t="str">
        <f t="shared" si="34"/>
        <v>GC-04314</v>
      </c>
      <c r="F725" s="151">
        <f>+IF(AND(C725*1&gt;=200,E725="GC-04314"),IF(D725=0,MAX(F$2:F724)+1,0),0)</f>
        <v>592</v>
      </c>
      <c r="H725" s="151" t="s">
        <v>6600</v>
      </c>
      <c r="I725" s="151" t="s">
        <v>6962</v>
      </c>
      <c r="J725" s="151" t="s">
        <v>6962</v>
      </c>
      <c r="K725" s="151">
        <f t="shared" si="35"/>
        <v>0</v>
      </c>
      <c r="L725" s="151" t="s">
        <v>9020</v>
      </c>
    </row>
    <row r="726" spans="1:12" x14ac:dyDescent="0.25">
      <c r="A726" s="151" t="s">
        <v>2849</v>
      </c>
      <c r="B726" s="151" t="s">
        <v>2997</v>
      </c>
      <c r="C726" s="151" t="s">
        <v>3776</v>
      </c>
      <c r="D726" s="151">
        <f t="shared" si="33"/>
        <v>0</v>
      </c>
      <c r="E726" s="151" t="str">
        <f t="shared" si="34"/>
        <v>GC-04314</v>
      </c>
      <c r="F726" s="151">
        <f>+IF(AND(C726*1&gt;=200,E726="GC-04314"),IF(D726=0,MAX(F$2:F725)+1,0),0)</f>
        <v>593</v>
      </c>
      <c r="H726" s="151" t="s">
        <v>6601</v>
      </c>
      <c r="I726" s="151" t="s">
        <v>6962</v>
      </c>
      <c r="J726" s="151" t="s">
        <v>6962</v>
      </c>
      <c r="K726" s="151">
        <f t="shared" si="35"/>
        <v>0</v>
      </c>
      <c r="L726" s="151" t="s">
        <v>9020</v>
      </c>
    </row>
    <row r="727" spans="1:12" x14ac:dyDescent="0.25">
      <c r="A727" s="151" t="s">
        <v>2850</v>
      </c>
      <c r="B727" s="151" t="s">
        <v>2997</v>
      </c>
      <c r="C727" s="151" t="s">
        <v>3777</v>
      </c>
      <c r="D727" s="151">
        <f t="shared" si="33"/>
        <v>0</v>
      </c>
      <c r="E727" s="151" t="str">
        <f t="shared" si="34"/>
        <v>GC-04314</v>
      </c>
      <c r="F727" s="151">
        <f>+IF(AND(C727*1&gt;=200,E727="GC-04314"),IF(D727=0,MAX(F$2:F726)+1,0),0)</f>
        <v>594</v>
      </c>
      <c r="H727" s="151" t="s">
        <v>6602</v>
      </c>
      <c r="I727" s="151" t="s">
        <v>6962</v>
      </c>
      <c r="J727" s="151" t="s">
        <v>6962</v>
      </c>
      <c r="K727" s="151">
        <f t="shared" si="35"/>
        <v>0</v>
      </c>
      <c r="L727" s="151" t="s">
        <v>9020</v>
      </c>
    </row>
    <row r="728" spans="1:12" x14ac:dyDescent="0.25">
      <c r="A728" s="151" t="s">
        <v>2851</v>
      </c>
      <c r="B728" s="151" t="s">
        <v>2997</v>
      </c>
      <c r="C728" s="151" t="s">
        <v>3778</v>
      </c>
      <c r="D728" s="151">
        <f t="shared" si="33"/>
        <v>0</v>
      </c>
      <c r="E728" s="151" t="str">
        <f t="shared" si="34"/>
        <v>GC-04314</v>
      </c>
      <c r="F728" s="151">
        <f>+IF(AND(C728*1&gt;=200,E728="GC-04314"),IF(D728=0,MAX(F$2:F727)+1,0),0)</f>
        <v>595</v>
      </c>
      <c r="H728" s="151" t="s">
        <v>6603</v>
      </c>
      <c r="I728" s="151" t="s">
        <v>6962</v>
      </c>
      <c r="J728" s="151" t="s">
        <v>6962</v>
      </c>
      <c r="K728" s="151">
        <f t="shared" si="35"/>
        <v>0</v>
      </c>
      <c r="L728" s="151" t="s">
        <v>9020</v>
      </c>
    </row>
    <row r="729" spans="1:12" x14ac:dyDescent="0.25">
      <c r="A729" s="151" t="s">
        <v>2852</v>
      </c>
      <c r="B729" s="151" t="s">
        <v>2997</v>
      </c>
      <c r="C729" s="151" t="s">
        <v>3779</v>
      </c>
      <c r="D729" s="151">
        <f t="shared" si="33"/>
        <v>0</v>
      </c>
      <c r="E729" s="151" t="str">
        <f t="shared" si="34"/>
        <v>GC-04314</v>
      </c>
      <c r="F729" s="151">
        <f>+IF(AND(C729*1&gt;=200,E729="GC-04314"),IF(D729=0,MAX(F$2:F728)+1,0),0)</f>
        <v>596</v>
      </c>
      <c r="H729" s="151" t="s">
        <v>6604</v>
      </c>
      <c r="I729" s="151" t="s">
        <v>6962</v>
      </c>
      <c r="J729" s="151" t="s">
        <v>6962</v>
      </c>
      <c r="K729" s="151">
        <f t="shared" si="35"/>
        <v>0</v>
      </c>
      <c r="L729" s="151" t="s">
        <v>9020</v>
      </c>
    </row>
    <row r="730" spans="1:12" x14ac:dyDescent="0.25">
      <c r="A730" s="151" t="s">
        <v>2853</v>
      </c>
      <c r="B730" s="151" t="s">
        <v>2997</v>
      </c>
      <c r="C730" s="151" t="s">
        <v>3780</v>
      </c>
      <c r="D730" s="151">
        <f t="shared" si="33"/>
        <v>0</v>
      </c>
      <c r="E730" s="151" t="str">
        <f t="shared" si="34"/>
        <v>GC-04314</v>
      </c>
      <c r="F730" s="151">
        <f>+IF(AND(C730*1&gt;=200,E730="GC-04314"),IF(D730=0,MAX(F$2:F729)+1,0),0)</f>
        <v>597</v>
      </c>
      <c r="H730" s="151" t="s">
        <v>6605</v>
      </c>
      <c r="I730" s="151" t="s">
        <v>6962</v>
      </c>
      <c r="J730" s="151" t="s">
        <v>6962</v>
      </c>
      <c r="K730" s="151">
        <f t="shared" si="35"/>
        <v>0</v>
      </c>
      <c r="L730" s="151" t="s">
        <v>9020</v>
      </c>
    </row>
    <row r="731" spans="1:12" x14ac:dyDescent="0.25">
      <c r="A731" s="151" t="s">
        <v>2854</v>
      </c>
      <c r="B731" s="151" t="s">
        <v>2997</v>
      </c>
      <c r="C731" s="151" t="s">
        <v>3781</v>
      </c>
      <c r="D731" s="151">
        <f t="shared" si="33"/>
        <v>0</v>
      </c>
      <c r="E731" s="151" t="str">
        <f t="shared" si="34"/>
        <v>GC-04314</v>
      </c>
      <c r="F731" s="151">
        <f>+IF(AND(C731*1&gt;=200,E731="GC-04314"),IF(D731=0,MAX(F$2:F730)+1,0),0)</f>
        <v>598</v>
      </c>
      <c r="H731" s="151" t="s">
        <v>6606</v>
      </c>
      <c r="I731" s="151" t="s">
        <v>6962</v>
      </c>
      <c r="J731" s="151" t="s">
        <v>6962</v>
      </c>
      <c r="K731" s="151">
        <f t="shared" si="35"/>
        <v>0</v>
      </c>
      <c r="L731" s="151" t="s">
        <v>9020</v>
      </c>
    </row>
    <row r="732" spans="1:12" x14ac:dyDescent="0.25">
      <c r="A732" s="151" t="s">
        <v>2855</v>
      </c>
      <c r="B732" s="151" t="s">
        <v>2997</v>
      </c>
      <c r="C732" s="151" t="s">
        <v>3782</v>
      </c>
      <c r="D732" s="151">
        <f t="shared" si="33"/>
        <v>0</v>
      </c>
      <c r="E732" s="151" t="str">
        <f t="shared" si="34"/>
        <v>GC-04314</v>
      </c>
      <c r="F732" s="151">
        <f>+IF(AND(C732*1&gt;=200,E732="GC-04314"),IF(D732=0,MAX(F$2:F731)+1,0),0)</f>
        <v>599</v>
      </c>
      <c r="H732" s="151" t="s">
        <v>6607</v>
      </c>
      <c r="I732" s="151" t="s">
        <v>6962</v>
      </c>
      <c r="J732" s="151" t="s">
        <v>6962</v>
      </c>
      <c r="K732" s="151">
        <f t="shared" si="35"/>
        <v>0</v>
      </c>
      <c r="L732" s="151" t="s">
        <v>9020</v>
      </c>
    </row>
    <row r="733" spans="1:12" x14ac:dyDescent="0.25">
      <c r="A733" s="151" t="s">
        <v>2856</v>
      </c>
      <c r="B733" s="151" t="s">
        <v>2997</v>
      </c>
      <c r="C733" s="151" t="s">
        <v>3783</v>
      </c>
      <c r="D733" s="151">
        <f t="shared" si="33"/>
        <v>0</v>
      </c>
      <c r="E733" s="151" t="str">
        <f t="shared" si="34"/>
        <v>GC-04314</v>
      </c>
      <c r="F733" s="151">
        <f>+IF(AND(C733*1&gt;=200,E733="GC-04314"),IF(D733=0,MAX(F$2:F732)+1,0),0)</f>
        <v>600</v>
      </c>
      <c r="H733" s="151" t="s">
        <v>6608</v>
      </c>
      <c r="I733" s="151" t="s">
        <v>6962</v>
      </c>
      <c r="J733" s="151" t="s">
        <v>6962</v>
      </c>
      <c r="K733" s="151">
        <f t="shared" si="35"/>
        <v>0</v>
      </c>
      <c r="L733" s="151" t="s">
        <v>9020</v>
      </c>
    </row>
    <row r="734" spans="1:12" x14ac:dyDescent="0.25">
      <c r="A734" s="151" t="s">
        <v>2857</v>
      </c>
      <c r="B734" s="151" t="s">
        <v>2997</v>
      </c>
      <c r="C734" s="151" t="s">
        <v>3784</v>
      </c>
      <c r="D734" s="151">
        <f t="shared" si="33"/>
        <v>0</v>
      </c>
      <c r="E734" s="151" t="str">
        <f t="shared" si="34"/>
        <v>GC-04314</v>
      </c>
      <c r="F734" s="151">
        <f>+IF(AND(C734*1&gt;=200,E734="GC-04314"),IF(D734=0,MAX(F$2:F733)+1,0),0)</f>
        <v>601</v>
      </c>
      <c r="H734" s="151" t="s">
        <v>6609</v>
      </c>
      <c r="I734" s="151" t="s">
        <v>6962</v>
      </c>
      <c r="J734" s="151" t="s">
        <v>6962</v>
      </c>
      <c r="K734" s="151">
        <f t="shared" si="35"/>
        <v>0</v>
      </c>
      <c r="L734" s="151" t="s">
        <v>9020</v>
      </c>
    </row>
    <row r="735" spans="1:12" x14ac:dyDescent="0.25">
      <c r="A735" s="151" t="s">
        <v>2858</v>
      </c>
      <c r="B735" s="151" t="s">
        <v>2997</v>
      </c>
      <c r="C735" s="151" t="s">
        <v>3785</v>
      </c>
      <c r="D735" s="151">
        <f t="shared" si="33"/>
        <v>0</v>
      </c>
      <c r="E735" s="151" t="str">
        <f t="shared" si="34"/>
        <v>GC-04314</v>
      </c>
      <c r="F735" s="151">
        <f>+IF(AND(C735*1&gt;=200,E735="GC-04314"),IF(D735=0,MAX(F$2:F734)+1,0),0)</f>
        <v>602</v>
      </c>
      <c r="H735" s="151" t="s">
        <v>6610</v>
      </c>
      <c r="I735" s="151" t="s">
        <v>6962</v>
      </c>
      <c r="J735" s="151" t="s">
        <v>6962</v>
      </c>
      <c r="K735" s="151">
        <f t="shared" si="35"/>
        <v>0</v>
      </c>
      <c r="L735" s="151" t="s">
        <v>9020</v>
      </c>
    </row>
    <row r="736" spans="1:12" x14ac:dyDescent="0.25">
      <c r="A736" s="151" t="s">
        <v>2859</v>
      </c>
      <c r="B736" s="151" t="s">
        <v>2997</v>
      </c>
      <c r="C736" s="151" t="s">
        <v>3786</v>
      </c>
      <c r="D736" s="151">
        <f t="shared" si="33"/>
        <v>0</v>
      </c>
      <c r="E736" s="151" t="str">
        <f t="shared" si="34"/>
        <v>GC-04314</v>
      </c>
      <c r="F736" s="151">
        <f>+IF(AND(C736*1&gt;=200,E736="GC-04314"),IF(D736=0,MAX(F$2:F735)+1,0),0)</f>
        <v>603</v>
      </c>
      <c r="H736" s="151" t="s">
        <v>6611</v>
      </c>
      <c r="I736" s="151" t="s">
        <v>6962</v>
      </c>
      <c r="J736" s="151" t="s">
        <v>6962</v>
      </c>
      <c r="K736" s="151">
        <f t="shared" si="35"/>
        <v>0</v>
      </c>
      <c r="L736" s="151" t="s">
        <v>9020</v>
      </c>
    </row>
    <row r="737" spans="1:12" x14ac:dyDescent="0.25">
      <c r="A737" s="151" t="s">
        <v>2860</v>
      </c>
      <c r="B737" s="151" t="s">
        <v>2997</v>
      </c>
      <c r="C737" s="151" t="s">
        <v>3787</v>
      </c>
      <c r="D737" s="151">
        <f t="shared" si="33"/>
        <v>0</v>
      </c>
      <c r="E737" s="151" t="str">
        <f t="shared" si="34"/>
        <v>GC-04314</v>
      </c>
      <c r="F737" s="151">
        <f>+IF(AND(C737*1&gt;=200,E737="GC-04314"),IF(D737=0,MAX(F$2:F736)+1,0),0)</f>
        <v>604</v>
      </c>
      <c r="H737" s="151" t="s">
        <v>6612</v>
      </c>
      <c r="I737" s="151" t="s">
        <v>6962</v>
      </c>
      <c r="J737" s="151" t="s">
        <v>6962</v>
      </c>
      <c r="K737" s="151">
        <f t="shared" si="35"/>
        <v>0</v>
      </c>
      <c r="L737" s="151" t="s">
        <v>9020</v>
      </c>
    </row>
    <row r="738" spans="1:12" x14ac:dyDescent="0.25">
      <c r="A738" s="151" t="s">
        <v>2861</v>
      </c>
      <c r="B738" s="151" t="s">
        <v>2997</v>
      </c>
      <c r="C738" s="151" t="s">
        <v>3788</v>
      </c>
      <c r="D738" s="151">
        <f t="shared" si="33"/>
        <v>0</v>
      </c>
      <c r="E738" s="151" t="str">
        <f t="shared" si="34"/>
        <v>GC-04314</v>
      </c>
      <c r="F738" s="151">
        <f>+IF(AND(C738*1&gt;=200,E738="GC-04314"),IF(D738=0,MAX(F$2:F737)+1,0),0)</f>
        <v>605</v>
      </c>
      <c r="H738" s="151" t="s">
        <v>6613</v>
      </c>
      <c r="I738" s="151" t="s">
        <v>6962</v>
      </c>
      <c r="J738" s="151" t="s">
        <v>6962</v>
      </c>
      <c r="K738" s="151">
        <f t="shared" si="35"/>
        <v>0</v>
      </c>
      <c r="L738" s="151" t="s">
        <v>9020</v>
      </c>
    </row>
    <row r="739" spans="1:12" x14ac:dyDescent="0.25">
      <c r="A739" s="151" t="s">
        <v>2862</v>
      </c>
      <c r="B739" s="151" t="s">
        <v>2997</v>
      </c>
      <c r="C739" s="151" t="s">
        <v>3789</v>
      </c>
      <c r="D739" s="151">
        <f t="shared" si="33"/>
        <v>0</v>
      </c>
      <c r="E739" s="151" t="str">
        <f t="shared" si="34"/>
        <v>GC-04314</v>
      </c>
      <c r="F739" s="151">
        <f>+IF(AND(C739*1&gt;=200,E739="GC-04314"),IF(D739=0,MAX(F$2:F738)+1,0),0)</f>
        <v>606</v>
      </c>
      <c r="H739" s="151" t="s">
        <v>6614</v>
      </c>
      <c r="I739" s="151" t="s">
        <v>6962</v>
      </c>
      <c r="J739" s="151" t="s">
        <v>6962</v>
      </c>
      <c r="K739" s="151">
        <f t="shared" si="35"/>
        <v>0</v>
      </c>
      <c r="L739" s="151" t="s">
        <v>9020</v>
      </c>
    </row>
    <row r="740" spans="1:12" x14ac:dyDescent="0.25">
      <c r="A740" s="151" t="s">
        <v>2863</v>
      </c>
      <c r="B740" s="151" t="s">
        <v>2997</v>
      </c>
      <c r="C740" s="151" t="s">
        <v>3790</v>
      </c>
      <c r="D740" s="151">
        <f t="shared" si="33"/>
        <v>0</v>
      </c>
      <c r="E740" s="151" t="str">
        <f t="shared" si="34"/>
        <v>GC-04314</v>
      </c>
      <c r="F740" s="151">
        <f>+IF(AND(C740*1&gt;=200,E740="GC-04314"),IF(D740=0,MAX(F$2:F739)+1,0),0)</f>
        <v>607</v>
      </c>
      <c r="H740" s="151" t="s">
        <v>6615</v>
      </c>
      <c r="I740" s="151" t="s">
        <v>6962</v>
      </c>
      <c r="J740" s="151" t="s">
        <v>6962</v>
      </c>
      <c r="K740" s="151">
        <f t="shared" si="35"/>
        <v>0</v>
      </c>
      <c r="L740" s="151" t="s">
        <v>9020</v>
      </c>
    </row>
    <row r="741" spans="1:12" x14ac:dyDescent="0.25">
      <c r="A741" s="151" t="s">
        <v>2864</v>
      </c>
      <c r="B741" s="151" t="s">
        <v>2997</v>
      </c>
      <c r="C741" s="151" t="s">
        <v>3791</v>
      </c>
      <c r="D741" s="151">
        <f t="shared" si="33"/>
        <v>0</v>
      </c>
      <c r="E741" s="151" t="str">
        <f t="shared" si="34"/>
        <v>GC-04314</v>
      </c>
      <c r="F741" s="151">
        <f>+IF(AND(C741*1&gt;=200,E741="GC-04314"),IF(D741=0,MAX(F$2:F740)+1,0),0)</f>
        <v>608</v>
      </c>
      <c r="H741" s="151" t="s">
        <v>6616</v>
      </c>
      <c r="I741" s="151" t="s">
        <v>6962</v>
      </c>
      <c r="J741" s="151" t="s">
        <v>6962</v>
      </c>
      <c r="K741" s="151">
        <f t="shared" si="35"/>
        <v>0</v>
      </c>
      <c r="L741" s="151" t="s">
        <v>9020</v>
      </c>
    </row>
    <row r="742" spans="1:12" x14ac:dyDescent="0.25">
      <c r="A742" s="151" t="s">
        <v>2865</v>
      </c>
      <c r="B742" s="151" t="s">
        <v>2997</v>
      </c>
      <c r="C742" s="151" t="s">
        <v>3792</v>
      </c>
      <c r="D742" s="151">
        <f t="shared" si="33"/>
        <v>0</v>
      </c>
      <c r="E742" s="151" t="str">
        <f t="shared" si="34"/>
        <v>GC-04314</v>
      </c>
      <c r="F742" s="151">
        <f>+IF(AND(C742*1&gt;=200,E742="GC-04314"),IF(D742=0,MAX(F$2:F741)+1,0),0)</f>
        <v>609</v>
      </c>
      <c r="H742" s="151" t="s">
        <v>6617</v>
      </c>
      <c r="I742" s="151" t="s">
        <v>6962</v>
      </c>
      <c r="J742" s="151" t="s">
        <v>6962</v>
      </c>
      <c r="K742" s="151">
        <f t="shared" si="35"/>
        <v>0</v>
      </c>
      <c r="L742" s="151" t="s">
        <v>9020</v>
      </c>
    </row>
    <row r="743" spans="1:12" x14ac:dyDescent="0.25">
      <c r="A743" s="151" t="s">
        <v>2866</v>
      </c>
      <c r="B743" s="151" t="s">
        <v>2997</v>
      </c>
      <c r="C743" s="151" t="s">
        <v>3793</v>
      </c>
      <c r="D743" s="151">
        <f t="shared" si="33"/>
        <v>0</v>
      </c>
      <c r="E743" s="151" t="str">
        <f t="shared" si="34"/>
        <v>GC-04314</v>
      </c>
      <c r="F743" s="151">
        <f>+IF(AND(C743*1&gt;=200,E743="GC-04314"),IF(D743=0,MAX(F$2:F742)+1,0),0)</f>
        <v>610</v>
      </c>
      <c r="H743" s="151" t="s">
        <v>6618</v>
      </c>
      <c r="I743" s="151" t="s">
        <v>6962</v>
      </c>
      <c r="J743" s="151" t="s">
        <v>6962</v>
      </c>
      <c r="K743" s="151">
        <f t="shared" si="35"/>
        <v>0</v>
      </c>
      <c r="L743" s="151" t="s">
        <v>9020</v>
      </c>
    </row>
    <row r="744" spans="1:12" x14ac:dyDescent="0.25">
      <c r="A744" s="151" t="s">
        <v>2867</v>
      </c>
      <c r="B744" s="151" t="s">
        <v>2997</v>
      </c>
      <c r="C744" s="151" t="s">
        <v>3794</v>
      </c>
      <c r="D744" s="151">
        <f t="shared" si="33"/>
        <v>0</v>
      </c>
      <c r="E744" s="151" t="str">
        <f t="shared" si="34"/>
        <v>GC-04314</v>
      </c>
      <c r="F744" s="151">
        <f>+IF(AND(C744*1&gt;=200,E744="GC-04314"),IF(D744=0,MAX(F$2:F743)+1,0),0)</f>
        <v>611</v>
      </c>
      <c r="H744" s="151" t="s">
        <v>6619</v>
      </c>
      <c r="I744" s="151" t="s">
        <v>6962</v>
      </c>
      <c r="J744" s="151" t="s">
        <v>6962</v>
      </c>
      <c r="K744" s="151">
        <f t="shared" si="35"/>
        <v>0</v>
      </c>
      <c r="L744" s="151" t="s">
        <v>9020</v>
      </c>
    </row>
    <row r="745" spans="1:12" x14ac:dyDescent="0.25">
      <c r="A745" s="151" t="s">
        <v>2868</v>
      </c>
      <c r="B745" s="151" t="s">
        <v>2997</v>
      </c>
      <c r="C745" s="151" t="s">
        <v>3795</v>
      </c>
      <c r="D745" s="151">
        <f t="shared" si="33"/>
        <v>0</v>
      </c>
      <c r="E745" s="151" t="str">
        <f t="shared" si="34"/>
        <v>GC-04314</v>
      </c>
      <c r="F745" s="151">
        <f>+IF(AND(C745*1&gt;=200,E745="GC-04314"),IF(D745=0,MAX(F$2:F744)+1,0),0)</f>
        <v>612</v>
      </c>
      <c r="H745" s="151" t="s">
        <v>6620</v>
      </c>
      <c r="I745" s="151" t="s">
        <v>6962</v>
      </c>
      <c r="J745" s="151" t="s">
        <v>6962</v>
      </c>
      <c r="K745" s="151">
        <f t="shared" si="35"/>
        <v>0</v>
      </c>
      <c r="L745" s="151" t="s">
        <v>9020</v>
      </c>
    </row>
    <row r="746" spans="1:12" x14ac:dyDescent="0.25">
      <c r="A746" s="151" t="s">
        <v>2869</v>
      </c>
      <c r="B746" s="151" t="s">
        <v>2997</v>
      </c>
      <c r="C746" s="151" t="s">
        <v>3796</v>
      </c>
      <c r="D746" s="151">
        <f t="shared" si="33"/>
        <v>0</v>
      </c>
      <c r="E746" s="151" t="str">
        <f t="shared" si="34"/>
        <v>GC-04314</v>
      </c>
      <c r="F746" s="151">
        <f>+IF(AND(C746*1&gt;=200,E746="GC-04314"),IF(D746=0,MAX(F$2:F745)+1,0),0)</f>
        <v>613</v>
      </c>
      <c r="H746" s="151" t="s">
        <v>6621</v>
      </c>
      <c r="I746" s="151" t="s">
        <v>6962</v>
      </c>
      <c r="J746" s="151" t="s">
        <v>6962</v>
      </c>
      <c r="K746" s="151">
        <f t="shared" si="35"/>
        <v>0</v>
      </c>
      <c r="L746" s="151" t="s">
        <v>9020</v>
      </c>
    </row>
    <row r="747" spans="1:12" x14ac:dyDescent="0.25">
      <c r="A747" s="151" t="s">
        <v>2870</v>
      </c>
      <c r="B747" s="151" t="s">
        <v>2997</v>
      </c>
      <c r="C747" s="151" t="s">
        <v>3797</v>
      </c>
      <c r="D747" s="151">
        <f t="shared" si="33"/>
        <v>0</v>
      </c>
      <c r="E747" s="151" t="str">
        <f t="shared" si="34"/>
        <v>GC-04314</v>
      </c>
      <c r="F747" s="151">
        <f>+IF(AND(C747*1&gt;=200,E747="GC-04314"),IF(D747=0,MAX(F$2:F746)+1,0),0)</f>
        <v>614</v>
      </c>
      <c r="H747" s="151" t="s">
        <v>6622</v>
      </c>
      <c r="I747" s="151" t="s">
        <v>6962</v>
      </c>
      <c r="J747" s="151" t="s">
        <v>6962</v>
      </c>
      <c r="K747" s="151">
        <f t="shared" si="35"/>
        <v>0</v>
      </c>
      <c r="L747" s="151" t="s">
        <v>9020</v>
      </c>
    </row>
    <row r="748" spans="1:12" x14ac:dyDescent="0.25">
      <c r="A748" s="151" t="s">
        <v>2871</v>
      </c>
      <c r="B748" s="151" t="s">
        <v>2997</v>
      </c>
      <c r="C748" s="151" t="s">
        <v>3798</v>
      </c>
      <c r="D748" s="151">
        <f t="shared" si="33"/>
        <v>0</v>
      </c>
      <c r="E748" s="151" t="str">
        <f t="shared" si="34"/>
        <v>GC-04314</v>
      </c>
      <c r="F748" s="151">
        <f>+IF(AND(C748*1&gt;=200,E748="GC-04314"),IF(D748=0,MAX(F$2:F747)+1,0),0)</f>
        <v>615</v>
      </c>
      <c r="H748" s="151" t="s">
        <v>6623</v>
      </c>
      <c r="I748" s="151" t="s">
        <v>6962</v>
      </c>
      <c r="J748" s="151" t="s">
        <v>6962</v>
      </c>
      <c r="K748" s="151">
        <f t="shared" si="35"/>
        <v>0</v>
      </c>
      <c r="L748" s="151" t="s">
        <v>9020</v>
      </c>
    </row>
    <row r="749" spans="1:12" x14ac:dyDescent="0.25">
      <c r="A749" s="151" t="s">
        <v>2872</v>
      </c>
      <c r="B749" s="151" t="s">
        <v>2997</v>
      </c>
      <c r="C749" s="151" t="s">
        <v>3799</v>
      </c>
      <c r="D749" s="151">
        <f t="shared" si="33"/>
        <v>0</v>
      </c>
      <c r="E749" s="151" t="str">
        <f t="shared" si="34"/>
        <v>GC-04314</v>
      </c>
      <c r="F749" s="151">
        <f>+IF(AND(C749*1&gt;=200,E749="GC-04314"),IF(D749=0,MAX(F$2:F748)+1,0),0)</f>
        <v>616</v>
      </c>
      <c r="H749" s="151" t="s">
        <v>6624</v>
      </c>
      <c r="I749" s="151" t="s">
        <v>6962</v>
      </c>
      <c r="J749" s="151" t="s">
        <v>6962</v>
      </c>
      <c r="K749" s="151">
        <f t="shared" si="35"/>
        <v>0</v>
      </c>
      <c r="L749" s="151" t="s">
        <v>9020</v>
      </c>
    </row>
    <row r="750" spans="1:12" x14ac:dyDescent="0.25">
      <c r="A750" s="151" t="s">
        <v>2873</v>
      </c>
      <c r="B750" s="151" t="s">
        <v>2997</v>
      </c>
      <c r="C750" s="151" t="s">
        <v>3800</v>
      </c>
      <c r="D750" s="151">
        <f t="shared" si="33"/>
        <v>0</v>
      </c>
      <c r="E750" s="151" t="str">
        <f t="shared" si="34"/>
        <v>GC-04314</v>
      </c>
      <c r="F750" s="151">
        <f>+IF(AND(C750*1&gt;=200,E750="GC-04314"),IF(D750=0,MAX(F$2:F749)+1,0),0)</f>
        <v>617</v>
      </c>
      <c r="H750" s="151" t="s">
        <v>6625</v>
      </c>
      <c r="I750" s="151" t="s">
        <v>6962</v>
      </c>
      <c r="J750" s="151" t="s">
        <v>6962</v>
      </c>
      <c r="K750" s="151">
        <f t="shared" si="35"/>
        <v>0</v>
      </c>
      <c r="L750" s="151" t="s">
        <v>9020</v>
      </c>
    </row>
    <row r="751" spans="1:12" x14ac:dyDescent="0.25">
      <c r="A751" s="151" t="s">
        <v>2874</v>
      </c>
      <c r="B751" s="151" t="s">
        <v>2997</v>
      </c>
      <c r="C751" s="151" t="s">
        <v>3801</v>
      </c>
      <c r="D751" s="151">
        <f t="shared" si="33"/>
        <v>0</v>
      </c>
      <c r="E751" s="151" t="str">
        <f t="shared" si="34"/>
        <v>GC-04314</v>
      </c>
      <c r="F751" s="151">
        <f>+IF(AND(C751*1&gt;=200,E751="GC-04314"),IF(D751=0,MAX(F$2:F750)+1,0),0)</f>
        <v>618</v>
      </c>
      <c r="H751" s="151" t="s">
        <v>6626</v>
      </c>
      <c r="I751" s="151" t="s">
        <v>6962</v>
      </c>
      <c r="J751" s="151" t="s">
        <v>6962</v>
      </c>
      <c r="K751" s="151">
        <f t="shared" si="35"/>
        <v>0</v>
      </c>
      <c r="L751" s="151" t="s">
        <v>9020</v>
      </c>
    </row>
    <row r="752" spans="1:12" x14ac:dyDescent="0.25">
      <c r="A752" s="151" t="s">
        <v>2875</v>
      </c>
      <c r="B752" s="151" t="s">
        <v>2997</v>
      </c>
      <c r="C752" s="151" t="s">
        <v>3802</v>
      </c>
      <c r="D752" s="151">
        <f t="shared" si="33"/>
        <v>0</v>
      </c>
      <c r="E752" s="151" t="str">
        <f t="shared" si="34"/>
        <v>GC-04314</v>
      </c>
      <c r="F752" s="151">
        <f>+IF(AND(C752*1&gt;=200,E752="GC-04314"),IF(D752=0,MAX(F$2:F751)+1,0),0)</f>
        <v>619</v>
      </c>
      <c r="H752" s="151" t="s">
        <v>6627</v>
      </c>
      <c r="I752" s="151" t="s">
        <v>6962</v>
      </c>
      <c r="J752" s="151" t="s">
        <v>6962</v>
      </c>
      <c r="K752" s="151">
        <f t="shared" si="35"/>
        <v>0</v>
      </c>
      <c r="L752" s="151" t="s">
        <v>9020</v>
      </c>
    </row>
    <row r="753" spans="1:12" x14ac:dyDescent="0.25">
      <c r="A753" s="151" t="s">
        <v>2876</v>
      </c>
      <c r="B753" s="151" t="s">
        <v>2997</v>
      </c>
      <c r="C753" s="151" t="s">
        <v>3803</v>
      </c>
      <c r="D753" s="151">
        <f t="shared" si="33"/>
        <v>0</v>
      </c>
      <c r="E753" s="151" t="str">
        <f t="shared" si="34"/>
        <v>GC-04314</v>
      </c>
      <c r="F753" s="151">
        <f>+IF(AND(C753*1&gt;=200,E753="GC-04314"),IF(D753=0,MAX(F$2:F752)+1,0),0)</f>
        <v>620</v>
      </c>
      <c r="H753" s="151" t="s">
        <v>6628</v>
      </c>
      <c r="I753" s="151" t="s">
        <v>6962</v>
      </c>
      <c r="J753" s="151" t="s">
        <v>6962</v>
      </c>
      <c r="K753" s="151">
        <f t="shared" si="35"/>
        <v>0</v>
      </c>
      <c r="L753" s="151" t="s">
        <v>9020</v>
      </c>
    </row>
    <row r="754" spans="1:12" x14ac:dyDescent="0.25">
      <c r="A754" s="151" t="s">
        <v>2877</v>
      </c>
      <c r="B754" s="151" t="s">
        <v>2997</v>
      </c>
      <c r="C754" s="151" t="s">
        <v>3804</v>
      </c>
      <c r="D754" s="151">
        <f t="shared" si="33"/>
        <v>0</v>
      </c>
      <c r="E754" s="151" t="str">
        <f t="shared" si="34"/>
        <v>GC-04314</v>
      </c>
      <c r="F754" s="151">
        <f>+IF(AND(C754*1&gt;=200,E754="GC-04314"),IF(D754=0,MAX(F$2:F753)+1,0),0)</f>
        <v>621</v>
      </c>
      <c r="H754" s="151" t="s">
        <v>6629</v>
      </c>
      <c r="I754" s="151" t="s">
        <v>6962</v>
      </c>
      <c r="J754" s="151" t="s">
        <v>6962</v>
      </c>
      <c r="K754" s="151">
        <f t="shared" si="35"/>
        <v>0</v>
      </c>
      <c r="L754" s="151" t="s">
        <v>9020</v>
      </c>
    </row>
    <row r="755" spans="1:12" x14ac:dyDescent="0.25">
      <c r="A755" s="151" t="s">
        <v>2878</v>
      </c>
      <c r="B755" s="151" t="s">
        <v>2997</v>
      </c>
      <c r="C755" s="151" t="s">
        <v>3805</v>
      </c>
      <c r="D755" s="151">
        <f t="shared" si="33"/>
        <v>0</v>
      </c>
      <c r="E755" s="151" t="str">
        <f t="shared" si="34"/>
        <v>GC-04314</v>
      </c>
      <c r="F755" s="151">
        <f>+IF(AND(C755*1&gt;=200,E755="GC-04314"),IF(D755=0,MAX(F$2:F754)+1,0),0)</f>
        <v>622</v>
      </c>
      <c r="H755" s="151" t="s">
        <v>6630</v>
      </c>
      <c r="I755" s="151" t="s">
        <v>6962</v>
      </c>
      <c r="J755" s="151" t="s">
        <v>6962</v>
      </c>
      <c r="K755" s="151">
        <f t="shared" si="35"/>
        <v>0</v>
      </c>
      <c r="L755" s="151" t="s">
        <v>9020</v>
      </c>
    </row>
    <row r="756" spans="1:12" x14ac:dyDescent="0.25">
      <c r="A756" s="151" t="s">
        <v>2879</v>
      </c>
      <c r="B756" s="151" t="s">
        <v>2997</v>
      </c>
      <c r="C756" s="151" t="s">
        <v>3806</v>
      </c>
      <c r="D756" s="151">
        <f t="shared" si="33"/>
        <v>0</v>
      </c>
      <c r="E756" s="151" t="str">
        <f t="shared" si="34"/>
        <v>GC-04314</v>
      </c>
      <c r="F756" s="151">
        <f>+IF(AND(C756*1&gt;=200,E756="GC-04314"),IF(D756=0,MAX(F$2:F755)+1,0),0)</f>
        <v>623</v>
      </c>
      <c r="H756" s="151" t="s">
        <v>6631</v>
      </c>
      <c r="I756" s="151" t="s">
        <v>6962</v>
      </c>
      <c r="J756" s="151" t="s">
        <v>6962</v>
      </c>
      <c r="K756" s="151">
        <f t="shared" si="35"/>
        <v>0</v>
      </c>
      <c r="L756" s="151" t="s">
        <v>9020</v>
      </c>
    </row>
    <row r="757" spans="1:12" x14ac:dyDescent="0.25">
      <c r="A757" s="151" t="s">
        <v>2880</v>
      </c>
      <c r="B757" s="151" t="s">
        <v>2997</v>
      </c>
      <c r="C757" s="151" t="s">
        <v>3807</v>
      </c>
      <c r="D757" s="151">
        <f t="shared" si="33"/>
        <v>0</v>
      </c>
      <c r="E757" s="151" t="str">
        <f t="shared" si="34"/>
        <v>GC-04314</v>
      </c>
      <c r="F757" s="151">
        <f>+IF(AND(C757*1&gt;=200,E757="GC-04314"),IF(D757=0,MAX(F$2:F756)+1,0),0)</f>
        <v>624</v>
      </c>
      <c r="H757" s="151" t="s">
        <v>6632</v>
      </c>
      <c r="I757" s="151" t="s">
        <v>6962</v>
      </c>
      <c r="J757" s="151" t="s">
        <v>6962</v>
      </c>
      <c r="K757" s="151">
        <f t="shared" si="35"/>
        <v>0</v>
      </c>
      <c r="L757" s="151" t="s">
        <v>9020</v>
      </c>
    </row>
    <row r="758" spans="1:12" x14ac:dyDescent="0.25">
      <c r="A758" s="151" t="s">
        <v>2881</v>
      </c>
      <c r="B758" s="151" t="s">
        <v>2997</v>
      </c>
      <c r="C758" s="151" t="s">
        <v>3808</v>
      </c>
      <c r="D758" s="151">
        <f t="shared" si="33"/>
        <v>0</v>
      </c>
      <c r="E758" s="151" t="str">
        <f t="shared" si="34"/>
        <v>GC-04314</v>
      </c>
      <c r="F758" s="151">
        <f>+IF(AND(C758*1&gt;=200,E758="GC-04314"),IF(D758=0,MAX(F$2:F757)+1,0),0)</f>
        <v>625</v>
      </c>
      <c r="H758" s="151" t="s">
        <v>6633</v>
      </c>
      <c r="I758" s="151" t="s">
        <v>6962</v>
      </c>
      <c r="J758" s="151" t="s">
        <v>6962</v>
      </c>
      <c r="K758" s="151">
        <f t="shared" si="35"/>
        <v>0</v>
      </c>
      <c r="L758" s="151" t="s">
        <v>9020</v>
      </c>
    </row>
    <row r="759" spans="1:12" x14ac:dyDescent="0.25">
      <c r="A759" s="151" t="s">
        <v>2882</v>
      </c>
      <c r="B759" s="151" t="s">
        <v>2997</v>
      </c>
      <c r="C759" s="151" t="s">
        <v>3809</v>
      </c>
      <c r="D759" s="151">
        <f t="shared" si="33"/>
        <v>0</v>
      </c>
      <c r="E759" s="151" t="str">
        <f t="shared" si="34"/>
        <v>GC-04314</v>
      </c>
      <c r="F759" s="151">
        <f>+IF(AND(C759*1&gt;=200,E759="GC-04314"),IF(D759=0,MAX(F$2:F758)+1,0),0)</f>
        <v>626</v>
      </c>
      <c r="H759" s="151" t="s">
        <v>6634</v>
      </c>
      <c r="I759" s="151" t="s">
        <v>6962</v>
      </c>
      <c r="J759" s="151" t="s">
        <v>6962</v>
      </c>
      <c r="K759" s="151">
        <f t="shared" si="35"/>
        <v>0</v>
      </c>
      <c r="L759" s="151" t="s">
        <v>9020</v>
      </c>
    </row>
    <row r="760" spans="1:12" x14ac:dyDescent="0.25">
      <c r="A760" s="151" t="s">
        <v>2883</v>
      </c>
      <c r="B760" s="151" t="s">
        <v>2997</v>
      </c>
      <c r="C760" s="151" t="s">
        <v>3810</v>
      </c>
      <c r="D760" s="151">
        <f t="shared" si="33"/>
        <v>0</v>
      </c>
      <c r="E760" s="151" t="str">
        <f t="shared" si="34"/>
        <v>GC-04314</v>
      </c>
      <c r="F760" s="151">
        <f>+IF(AND(C760*1&gt;=200,E760="GC-04314"),IF(D760=0,MAX(F$2:F759)+1,0),0)</f>
        <v>627</v>
      </c>
      <c r="H760" s="151" t="s">
        <v>6635</v>
      </c>
      <c r="I760" s="151" t="s">
        <v>6962</v>
      </c>
      <c r="J760" s="151" t="s">
        <v>6962</v>
      </c>
      <c r="K760" s="151">
        <f t="shared" si="35"/>
        <v>0</v>
      </c>
      <c r="L760" s="151" t="s">
        <v>9020</v>
      </c>
    </row>
    <row r="761" spans="1:12" x14ac:dyDescent="0.25">
      <c r="A761" s="151" t="s">
        <v>2884</v>
      </c>
      <c r="B761" s="151" t="s">
        <v>2997</v>
      </c>
      <c r="C761" s="151" t="s">
        <v>3811</v>
      </c>
      <c r="D761" s="151">
        <f t="shared" si="33"/>
        <v>0</v>
      </c>
      <c r="E761" s="151" t="str">
        <f t="shared" si="34"/>
        <v>GC-04314</v>
      </c>
      <c r="F761" s="151">
        <f>+IF(AND(C761*1&gt;=200,E761="GC-04314"),IF(D761=0,MAX(F$2:F760)+1,0),0)</f>
        <v>628</v>
      </c>
      <c r="H761" s="151" t="s">
        <v>6636</v>
      </c>
      <c r="I761" s="151" t="s">
        <v>6962</v>
      </c>
      <c r="J761" s="151" t="s">
        <v>6962</v>
      </c>
      <c r="K761" s="151">
        <f t="shared" si="35"/>
        <v>0</v>
      </c>
      <c r="L761" s="151" t="s">
        <v>9020</v>
      </c>
    </row>
    <row r="762" spans="1:12" x14ac:dyDescent="0.25">
      <c r="A762" s="151" t="s">
        <v>2885</v>
      </c>
      <c r="B762" s="151" t="s">
        <v>2997</v>
      </c>
      <c r="C762" s="151" t="s">
        <v>3812</v>
      </c>
      <c r="D762" s="151">
        <f t="shared" si="33"/>
        <v>0</v>
      </c>
      <c r="E762" s="151" t="str">
        <f t="shared" si="34"/>
        <v>GC-04314</v>
      </c>
      <c r="F762" s="151">
        <f>+IF(AND(C762*1&gt;=200,E762="GC-04314"),IF(D762=0,MAX(F$2:F761)+1,0),0)</f>
        <v>629</v>
      </c>
      <c r="H762" s="151" t="s">
        <v>6637</v>
      </c>
      <c r="I762" s="151" t="s">
        <v>6962</v>
      </c>
      <c r="J762" s="151" t="s">
        <v>6962</v>
      </c>
      <c r="K762" s="151">
        <f t="shared" si="35"/>
        <v>0</v>
      </c>
      <c r="L762" s="151" t="s">
        <v>9020</v>
      </c>
    </row>
    <row r="763" spans="1:12" x14ac:dyDescent="0.25">
      <c r="A763" s="151" t="s">
        <v>2886</v>
      </c>
      <c r="B763" s="151" t="s">
        <v>2997</v>
      </c>
      <c r="C763" s="151" t="s">
        <v>3813</v>
      </c>
      <c r="D763" s="151">
        <f t="shared" si="33"/>
        <v>0</v>
      </c>
      <c r="E763" s="151" t="str">
        <f t="shared" si="34"/>
        <v>GC-04314</v>
      </c>
      <c r="F763" s="151">
        <f>+IF(AND(C763*1&gt;=200,E763="GC-04314"),IF(D763=0,MAX(F$2:F762)+1,0),0)</f>
        <v>630</v>
      </c>
      <c r="H763" s="151" t="s">
        <v>6638</v>
      </c>
      <c r="I763" s="151" t="s">
        <v>6962</v>
      </c>
      <c r="J763" s="151" t="s">
        <v>6962</v>
      </c>
      <c r="K763" s="151">
        <f t="shared" si="35"/>
        <v>0</v>
      </c>
      <c r="L763" s="151" t="s">
        <v>9020</v>
      </c>
    </row>
    <row r="764" spans="1:12" x14ac:dyDescent="0.25">
      <c r="A764" s="151" t="s">
        <v>2887</v>
      </c>
      <c r="B764" s="151" t="s">
        <v>2997</v>
      </c>
      <c r="C764" s="151" t="s">
        <v>3814</v>
      </c>
      <c r="D764" s="151">
        <f t="shared" si="33"/>
        <v>0</v>
      </c>
      <c r="E764" s="151" t="str">
        <f t="shared" si="34"/>
        <v>GC-04314</v>
      </c>
      <c r="F764" s="151">
        <f>+IF(AND(C764*1&gt;=200,E764="GC-04314"),IF(D764=0,MAX(F$2:F763)+1,0),0)</f>
        <v>631</v>
      </c>
      <c r="H764" s="151" t="s">
        <v>6639</v>
      </c>
      <c r="I764" s="151" t="s">
        <v>6962</v>
      </c>
      <c r="J764" s="151" t="s">
        <v>6962</v>
      </c>
      <c r="K764" s="151">
        <f t="shared" si="35"/>
        <v>0</v>
      </c>
      <c r="L764" s="151" t="s">
        <v>9020</v>
      </c>
    </row>
    <row r="765" spans="1:12" x14ac:dyDescent="0.25">
      <c r="A765" s="151" t="s">
        <v>2888</v>
      </c>
      <c r="B765" s="151" t="s">
        <v>2997</v>
      </c>
      <c r="C765" s="151" t="s">
        <v>3815</v>
      </c>
      <c r="D765" s="151">
        <f t="shared" si="33"/>
        <v>0</v>
      </c>
      <c r="E765" s="151" t="str">
        <f t="shared" si="34"/>
        <v>GC-04314</v>
      </c>
      <c r="F765" s="151">
        <f>+IF(AND(C765*1&gt;=200,E765="GC-04314"),IF(D765=0,MAX(F$2:F764)+1,0),0)</f>
        <v>632</v>
      </c>
      <c r="H765" s="151" t="s">
        <v>6640</v>
      </c>
      <c r="I765" s="151" t="s">
        <v>6962</v>
      </c>
      <c r="J765" s="151" t="s">
        <v>6962</v>
      </c>
      <c r="K765" s="151">
        <f t="shared" si="35"/>
        <v>0</v>
      </c>
      <c r="L765" s="151" t="s">
        <v>9020</v>
      </c>
    </row>
    <row r="766" spans="1:12" x14ac:dyDescent="0.25">
      <c r="A766" s="151" t="s">
        <v>2889</v>
      </c>
      <c r="B766" s="151" t="s">
        <v>2997</v>
      </c>
      <c r="C766" s="151" t="s">
        <v>3816</v>
      </c>
      <c r="D766" s="151">
        <f t="shared" si="33"/>
        <v>0</v>
      </c>
      <c r="E766" s="151" t="str">
        <f t="shared" si="34"/>
        <v>GC-04314</v>
      </c>
      <c r="F766" s="151">
        <f>+IF(AND(C766*1&gt;=200,E766="GC-04314"),IF(D766=0,MAX(F$2:F765)+1,0),0)</f>
        <v>633</v>
      </c>
      <c r="H766" s="151" t="s">
        <v>6641</v>
      </c>
      <c r="I766" s="151" t="s">
        <v>6962</v>
      </c>
      <c r="J766" s="151" t="s">
        <v>6962</v>
      </c>
      <c r="K766" s="151">
        <f t="shared" si="35"/>
        <v>0</v>
      </c>
      <c r="L766" s="151" t="s">
        <v>9020</v>
      </c>
    </row>
    <row r="767" spans="1:12" x14ac:dyDescent="0.25">
      <c r="A767" s="151" t="s">
        <v>2890</v>
      </c>
      <c r="B767" s="151" t="s">
        <v>2997</v>
      </c>
      <c r="C767" s="151" t="s">
        <v>3817</v>
      </c>
      <c r="D767" s="151">
        <f t="shared" si="33"/>
        <v>0</v>
      </c>
      <c r="E767" s="151" t="str">
        <f t="shared" si="34"/>
        <v>GC-04314</v>
      </c>
      <c r="F767" s="151">
        <f>+IF(AND(C767*1&gt;=200,E767="GC-04314"),IF(D767=0,MAX(F$2:F766)+1,0),0)</f>
        <v>634</v>
      </c>
      <c r="H767" s="151" t="s">
        <v>6642</v>
      </c>
      <c r="I767" s="151" t="s">
        <v>6962</v>
      </c>
      <c r="J767" s="151" t="s">
        <v>6962</v>
      </c>
      <c r="K767" s="151">
        <f t="shared" si="35"/>
        <v>0</v>
      </c>
      <c r="L767" s="151" t="s">
        <v>9020</v>
      </c>
    </row>
    <row r="768" spans="1:12" x14ac:dyDescent="0.25">
      <c r="A768" s="151" t="s">
        <v>2891</v>
      </c>
      <c r="B768" s="151" t="s">
        <v>2997</v>
      </c>
      <c r="C768" s="151" t="s">
        <v>3818</v>
      </c>
      <c r="D768" s="151">
        <f t="shared" si="33"/>
        <v>0</v>
      </c>
      <c r="E768" s="151" t="str">
        <f t="shared" si="34"/>
        <v>GC-04314</v>
      </c>
      <c r="F768" s="151">
        <f>+IF(AND(C768*1&gt;=200,E768="GC-04314"),IF(D768=0,MAX(F$2:F767)+1,0),0)</f>
        <v>635</v>
      </c>
      <c r="H768" s="151" t="s">
        <v>6643</v>
      </c>
      <c r="I768" s="151" t="s">
        <v>6962</v>
      </c>
      <c r="J768" s="151" t="s">
        <v>6962</v>
      </c>
      <c r="K768" s="151">
        <f t="shared" si="35"/>
        <v>0</v>
      </c>
      <c r="L768" s="151" t="s">
        <v>9020</v>
      </c>
    </row>
    <row r="769" spans="1:12" x14ac:dyDescent="0.25">
      <c r="A769" s="151" t="s">
        <v>2892</v>
      </c>
      <c r="B769" s="151" t="s">
        <v>2997</v>
      </c>
      <c r="C769" s="151" t="s">
        <v>3819</v>
      </c>
      <c r="D769" s="151">
        <f t="shared" si="33"/>
        <v>0</v>
      </c>
      <c r="E769" s="151" t="str">
        <f t="shared" si="34"/>
        <v>GC-04314</v>
      </c>
      <c r="F769" s="151">
        <f>+IF(AND(C769*1&gt;=200,E769="GC-04314"),IF(D769=0,MAX(F$2:F768)+1,0),0)</f>
        <v>636</v>
      </c>
      <c r="H769" s="151" t="s">
        <v>6644</v>
      </c>
      <c r="I769" s="151" t="s">
        <v>6962</v>
      </c>
      <c r="J769" s="151" t="s">
        <v>6962</v>
      </c>
      <c r="K769" s="151">
        <f t="shared" si="35"/>
        <v>0</v>
      </c>
      <c r="L769" s="151" t="s">
        <v>9020</v>
      </c>
    </row>
    <row r="770" spans="1:12" x14ac:dyDescent="0.25">
      <c r="A770" s="151" t="s">
        <v>2893</v>
      </c>
      <c r="B770" s="151" t="s">
        <v>2997</v>
      </c>
      <c r="C770" s="151" t="s">
        <v>3820</v>
      </c>
      <c r="D770" s="151">
        <f t="shared" ref="D770:D833" si="36">+SUMIFS(K:K,H:H,A770)</f>
        <v>0</v>
      </c>
      <c r="E770" s="151" t="str">
        <f t="shared" ref="E770:E833" si="37">+IF(D770=0,VLOOKUP(A770,$H:$L,5,FALSE),"")</f>
        <v>GC-04314</v>
      </c>
      <c r="F770" s="151">
        <f>+IF(AND(C770*1&gt;=200,E770="GC-04314"),IF(D770=0,MAX(F$2:F769)+1,0),0)</f>
        <v>637</v>
      </c>
      <c r="H770" s="151" t="s">
        <v>6645</v>
      </c>
      <c r="I770" s="151" t="s">
        <v>6962</v>
      </c>
      <c r="J770" s="151" t="s">
        <v>6962</v>
      </c>
      <c r="K770" s="151">
        <f t="shared" si="35"/>
        <v>0</v>
      </c>
      <c r="L770" s="151" t="s">
        <v>9020</v>
      </c>
    </row>
    <row r="771" spans="1:12" x14ac:dyDescent="0.25">
      <c r="A771" s="151" t="s">
        <v>2894</v>
      </c>
      <c r="B771" s="151" t="s">
        <v>2997</v>
      </c>
      <c r="C771" s="151" t="s">
        <v>3821</v>
      </c>
      <c r="D771" s="151">
        <f t="shared" si="36"/>
        <v>0</v>
      </c>
      <c r="E771" s="151" t="str">
        <f t="shared" si="37"/>
        <v>GC-04314</v>
      </c>
      <c r="F771" s="151">
        <f>+IF(AND(C771*1&gt;=200,E771="GC-04314"),IF(D771=0,MAX(F$2:F770)+1,0),0)</f>
        <v>638</v>
      </c>
      <c r="H771" s="151" t="s">
        <v>6646</v>
      </c>
      <c r="I771" s="151" t="s">
        <v>6962</v>
      </c>
      <c r="J771" s="151" t="s">
        <v>6962</v>
      </c>
      <c r="K771" s="151">
        <f t="shared" ref="K771:K834" si="38">+IFERROR(J771*1,0)</f>
        <v>0</v>
      </c>
      <c r="L771" s="151" t="s">
        <v>9020</v>
      </c>
    </row>
    <row r="772" spans="1:12" x14ac:dyDescent="0.25">
      <c r="A772" s="151" t="s">
        <v>2895</v>
      </c>
      <c r="B772" s="151" t="s">
        <v>2997</v>
      </c>
      <c r="C772" s="151" t="s">
        <v>3822</v>
      </c>
      <c r="D772" s="151">
        <f t="shared" si="36"/>
        <v>0</v>
      </c>
      <c r="E772" s="151" t="str">
        <f t="shared" si="37"/>
        <v>GC-04314</v>
      </c>
      <c r="F772" s="151">
        <f>+IF(AND(C772*1&gt;=200,E772="GC-04314"),IF(D772=0,MAX(F$2:F771)+1,0),0)</f>
        <v>639</v>
      </c>
      <c r="H772" s="151" t="s">
        <v>6647</v>
      </c>
      <c r="I772" s="151" t="s">
        <v>6962</v>
      </c>
      <c r="J772" s="151" t="s">
        <v>6962</v>
      </c>
      <c r="K772" s="151">
        <f t="shared" si="38"/>
        <v>0</v>
      </c>
      <c r="L772" s="151" t="s">
        <v>9020</v>
      </c>
    </row>
    <row r="773" spans="1:12" x14ac:dyDescent="0.25">
      <c r="A773" s="151" t="s">
        <v>2896</v>
      </c>
      <c r="B773" s="151" t="s">
        <v>2997</v>
      </c>
      <c r="C773" s="151" t="s">
        <v>3823</v>
      </c>
      <c r="D773" s="151">
        <f t="shared" si="36"/>
        <v>0</v>
      </c>
      <c r="E773" s="151" t="str">
        <f t="shared" si="37"/>
        <v>GC-04314</v>
      </c>
      <c r="F773" s="151">
        <f>+IF(AND(C773*1&gt;=200,E773="GC-04314"),IF(D773=0,MAX(F$2:F772)+1,0),0)</f>
        <v>640</v>
      </c>
      <c r="H773" s="151" t="s">
        <v>6648</v>
      </c>
      <c r="I773" s="151" t="s">
        <v>6962</v>
      </c>
      <c r="J773" s="151" t="s">
        <v>6962</v>
      </c>
      <c r="K773" s="151">
        <f t="shared" si="38"/>
        <v>0</v>
      </c>
      <c r="L773" s="151" t="s">
        <v>9020</v>
      </c>
    </row>
    <row r="774" spans="1:12" x14ac:dyDescent="0.25">
      <c r="A774" s="151" t="s">
        <v>2897</v>
      </c>
      <c r="B774" s="151" t="s">
        <v>2997</v>
      </c>
      <c r="C774" s="151" t="s">
        <v>3824</v>
      </c>
      <c r="D774" s="151">
        <f t="shared" si="36"/>
        <v>0</v>
      </c>
      <c r="E774" s="151" t="str">
        <f t="shared" si="37"/>
        <v>GC-04314</v>
      </c>
      <c r="F774" s="151">
        <f>+IF(AND(C774*1&gt;=200,E774="GC-04314"),IF(D774=0,MAX(F$2:F773)+1,0),0)</f>
        <v>641</v>
      </c>
      <c r="H774" s="151" t="s">
        <v>6649</v>
      </c>
      <c r="I774" s="151" t="s">
        <v>6962</v>
      </c>
      <c r="J774" s="151" t="s">
        <v>6962</v>
      </c>
      <c r="K774" s="151">
        <f t="shared" si="38"/>
        <v>0</v>
      </c>
      <c r="L774" s="151" t="s">
        <v>9020</v>
      </c>
    </row>
    <row r="775" spans="1:12" x14ac:dyDescent="0.25">
      <c r="A775" s="151" t="s">
        <v>2898</v>
      </c>
      <c r="B775" s="151" t="s">
        <v>2997</v>
      </c>
      <c r="C775" s="151" t="s">
        <v>3825</v>
      </c>
      <c r="D775" s="151">
        <f t="shared" si="36"/>
        <v>0</v>
      </c>
      <c r="E775" s="151" t="str">
        <f t="shared" si="37"/>
        <v>GC-04314</v>
      </c>
      <c r="F775" s="151">
        <f>+IF(AND(C775*1&gt;=200,E775="GC-04314"),IF(D775=0,MAX(F$2:F774)+1,0),0)</f>
        <v>642</v>
      </c>
      <c r="H775" s="151" t="s">
        <v>6650</v>
      </c>
      <c r="I775" s="151" t="s">
        <v>6962</v>
      </c>
      <c r="J775" s="151" t="s">
        <v>6962</v>
      </c>
      <c r="K775" s="151">
        <f t="shared" si="38"/>
        <v>0</v>
      </c>
      <c r="L775" s="151" t="s">
        <v>9020</v>
      </c>
    </row>
    <row r="776" spans="1:12" x14ac:dyDescent="0.25">
      <c r="A776" s="151" t="s">
        <v>2899</v>
      </c>
      <c r="B776" s="151" t="s">
        <v>2997</v>
      </c>
      <c r="C776" s="151" t="s">
        <v>3826</v>
      </c>
      <c r="D776" s="151">
        <f t="shared" si="36"/>
        <v>0</v>
      </c>
      <c r="E776" s="151" t="str">
        <f t="shared" si="37"/>
        <v>GC-04314</v>
      </c>
      <c r="F776" s="151">
        <f>+IF(AND(C776*1&gt;=200,E776="GC-04314"),IF(D776=0,MAX(F$2:F775)+1,0),0)</f>
        <v>643</v>
      </c>
      <c r="H776" s="151" t="s">
        <v>6651</v>
      </c>
      <c r="I776" s="151" t="s">
        <v>6962</v>
      </c>
      <c r="J776" s="151" t="s">
        <v>6962</v>
      </c>
      <c r="K776" s="151">
        <f t="shared" si="38"/>
        <v>0</v>
      </c>
      <c r="L776" s="151" t="s">
        <v>9020</v>
      </c>
    </row>
    <row r="777" spans="1:12" x14ac:dyDescent="0.25">
      <c r="A777" s="151" t="s">
        <v>2900</v>
      </c>
      <c r="B777" s="151" t="s">
        <v>2997</v>
      </c>
      <c r="C777" s="151" t="s">
        <v>3827</v>
      </c>
      <c r="D777" s="151">
        <f t="shared" si="36"/>
        <v>0</v>
      </c>
      <c r="E777" s="151" t="str">
        <f t="shared" si="37"/>
        <v>GC-04314</v>
      </c>
      <c r="F777" s="151">
        <f>+IF(AND(C777*1&gt;=200,E777="GC-04314"),IF(D777=0,MAX(F$2:F776)+1,0),0)</f>
        <v>644</v>
      </c>
      <c r="H777" s="151" t="s">
        <v>6652</v>
      </c>
      <c r="I777" s="151" t="s">
        <v>6962</v>
      </c>
      <c r="J777" s="151" t="s">
        <v>6962</v>
      </c>
      <c r="K777" s="151">
        <f t="shared" si="38"/>
        <v>0</v>
      </c>
      <c r="L777" s="151" t="s">
        <v>9020</v>
      </c>
    </row>
    <row r="778" spans="1:12" x14ac:dyDescent="0.25">
      <c r="A778" s="151" t="s">
        <v>2901</v>
      </c>
      <c r="B778" s="151" t="s">
        <v>2997</v>
      </c>
      <c r="C778" s="151" t="s">
        <v>3828</v>
      </c>
      <c r="D778" s="151">
        <f t="shared" si="36"/>
        <v>0</v>
      </c>
      <c r="E778" s="151" t="str">
        <f t="shared" si="37"/>
        <v>GC-04314</v>
      </c>
      <c r="F778" s="151">
        <f>+IF(AND(C778*1&gt;=200,E778="GC-04314"),IF(D778=0,MAX(F$2:F777)+1,0),0)</f>
        <v>645</v>
      </c>
      <c r="H778" s="151" t="s">
        <v>6653</v>
      </c>
      <c r="I778" s="151" t="s">
        <v>6962</v>
      </c>
      <c r="J778" s="151" t="s">
        <v>6962</v>
      </c>
      <c r="K778" s="151">
        <f t="shared" si="38"/>
        <v>0</v>
      </c>
      <c r="L778" s="151" t="s">
        <v>9020</v>
      </c>
    </row>
    <row r="779" spans="1:12" x14ac:dyDescent="0.25">
      <c r="A779" s="151" t="s">
        <v>2902</v>
      </c>
      <c r="B779" s="151" t="s">
        <v>2997</v>
      </c>
      <c r="C779" s="151" t="s">
        <v>3829</v>
      </c>
      <c r="D779" s="151">
        <f t="shared" si="36"/>
        <v>0</v>
      </c>
      <c r="E779" s="151" t="str">
        <f t="shared" si="37"/>
        <v>GC-04314</v>
      </c>
      <c r="F779" s="151">
        <f>+IF(AND(C779*1&gt;=200,E779="GC-04314"),IF(D779=0,MAX(F$2:F778)+1,0),0)</f>
        <v>646</v>
      </c>
      <c r="H779" s="151" t="s">
        <v>6654</v>
      </c>
      <c r="I779" s="151" t="s">
        <v>6962</v>
      </c>
      <c r="J779" s="151" t="s">
        <v>6962</v>
      </c>
      <c r="K779" s="151">
        <f t="shared" si="38"/>
        <v>0</v>
      </c>
      <c r="L779" s="151" t="s">
        <v>9020</v>
      </c>
    </row>
    <row r="780" spans="1:12" x14ac:dyDescent="0.25">
      <c r="A780" s="151" t="s">
        <v>2903</v>
      </c>
      <c r="B780" s="151" t="s">
        <v>2997</v>
      </c>
      <c r="C780" s="151" t="s">
        <v>3830</v>
      </c>
      <c r="D780" s="151">
        <f t="shared" si="36"/>
        <v>0</v>
      </c>
      <c r="E780" s="151" t="str">
        <f t="shared" si="37"/>
        <v>GC-04314</v>
      </c>
      <c r="F780" s="151">
        <f>+IF(AND(C780*1&gt;=200,E780="GC-04314"),IF(D780=0,MAX(F$2:F779)+1,0),0)</f>
        <v>647</v>
      </c>
      <c r="H780" s="151" t="s">
        <v>6655</v>
      </c>
      <c r="I780" s="151" t="s">
        <v>6962</v>
      </c>
      <c r="J780" s="151" t="s">
        <v>6962</v>
      </c>
      <c r="K780" s="151">
        <f t="shared" si="38"/>
        <v>0</v>
      </c>
      <c r="L780" s="151" t="s">
        <v>9020</v>
      </c>
    </row>
    <row r="781" spans="1:12" x14ac:dyDescent="0.25">
      <c r="A781" s="151" t="s">
        <v>2904</v>
      </c>
      <c r="B781" s="151" t="s">
        <v>2997</v>
      </c>
      <c r="C781" s="151" t="s">
        <v>3831</v>
      </c>
      <c r="D781" s="151">
        <f t="shared" si="36"/>
        <v>0</v>
      </c>
      <c r="E781" s="151" t="str">
        <f t="shared" si="37"/>
        <v>GC-04314</v>
      </c>
      <c r="F781" s="151">
        <f>+IF(AND(C781*1&gt;=200,E781="GC-04314"),IF(D781=0,MAX(F$2:F780)+1,0),0)</f>
        <v>648</v>
      </c>
      <c r="H781" s="151" t="s">
        <v>6656</v>
      </c>
      <c r="I781" s="151" t="s">
        <v>6962</v>
      </c>
      <c r="J781" s="151" t="s">
        <v>6962</v>
      </c>
      <c r="K781" s="151">
        <f t="shared" si="38"/>
        <v>0</v>
      </c>
      <c r="L781" s="151" t="s">
        <v>9020</v>
      </c>
    </row>
    <row r="782" spans="1:12" x14ac:dyDescent="0.25">
      <c r="A782" s="151" t="s">
        <v>2905</v>
      </c>
      <c r="B782" s="151" t="s">
        <v>2997</v>
      </c>
      <c r="C782" s="151" t="s">
        <v>3832</v>
      </c>
      <c r="D782" s="151">
        <f t="shared" si="36"/>
        <v>0</v>
      </c>
      <c r="E782" s="151" t="str">
        <f t="shared" si="37"/>
        <v>GC-04314</v>
      </c>
      <c r="F782" s="151">
        <f>+IF(AND(C782*1&gt;=200,E782="GC-04314"),IF(D782=0,MAX(F$2:F781)+1,0),0)</f>
        <v>649</v>
      </c>
      <c r="H782" s="151" t="s">
        <v>6657</v>
      </c>
      <c r="I782" s="151" t="s">
        <v>6962</v>
      </c>
      <c r="J782" s="151" t="s">
        <v>6962</v>
      </c>
      <c r="K782" s="151">
        <f t="shared" si="38"/>
        <v>0</v>
      </c>
      <c r="L782" s="151" t="s">
        <v>9020</v>
      </c>
    </row>
    <row r="783" spans="1:12" x14ac:dyDescent="0.25">
      <c r="A783" s="151" t="s">
        <v>2906</v>
      </c>
      <c r="B783" s="151" t="s">
        <v>2997</v>
      </c>
      <c r="C783" s="151" t="s">
        <v>3833</v>
      </c>
      <c r="D783" s="151">
        <f t="shared" si="36"/>
        <v>0</v>
      </c>
      <c r="E783" s="151" t="str">
        <f t="shared" si="37"/>
        <v>GC-04314</v>
      </c>
      <c r="F783" s="151">
        <f>+IF(AND(C783*1&gt;=200,E783="GC-04314"),IF(D783=0,MAX(F$2:F782)+1,0),0)</f>
        <v>650</v>
      </c>
      <c r="H783" s="151" t="s">
        <v>6658</v>
      </c>
      <c r="I783" s="151" t="s">
        <v>6962</v>
      </c>
      <c r="J783" s="151" t="s">
        <v>6962</v>
      </c>
      <c r="K783" s="151">
        <f t="shared" si="38"/>
        <v>0</v>
      </c>
      <c r="L783" s="151" t="s">
        <v>9020</v>
      </c>
    </row>
    <row r="784" spans="1:12" x14ac:dyDescent="0.25">
      <c r="A784" s="151" t="s">
        <v>2907</v>
      </c>
      <c r="B784" s="151" t="s">
        <v>2997</v>
      </c>
      <c r="C784" s="151" t="s">
        <v>3834</v>
      </c>
      <c r="D784" s="151">
        <f t="shared" si="36"/>
        <v>0</v>
      </c>
      <c r="E784" s="151" t="str">
        <f t="shared" si="37"/>
        <v>GC-04314</v>
      </c>
      <c r="F784" s="151">
        <f>+IF(AND(C784*1&gt;=200,E784="GC-04314"),IF(D784=0,MAX(F$2:F783)+1,0),0)</f>
        <v>651</v>
      </c>
      <c r="H784" s="151" t="s">
        <v>6659</v>
      </c>
      <c r="I784" s="151" t="s">
        <v>6962</v>
      </c>
      <c r="J784" s="151" t="s">
        <v>6962</v>
      </c>
      <c r="K784" s="151">
        <f t="shared" si="38"/>
        <v>0</v>
      </c>
      <c r="L784" s="151" t="s">
        <v>9020</v>
      </c>
    </row>
    <row r="785" spans="1:12" x14ac:dyDescent="0.25">
      <c r="A785" s="151" t="s">
        <v>2908</v>
      </c>
      <c r="B785" s="151" t="s">
        <v>2997</v>
      </c>
      <c r="C785" s="151" t="s">
        <v>3835</v>
      </c>
      <c r="D785" s="151">
        <f t="shared" si="36"/>
        <v>0</v>
      </c>
      <c r="E785" s="151" t="str">
        <f t="shared" si="37"/>
        <v>GC-04314</v>
      </c>
      <c r="F785" s="151">
        <f>+IF(AND(C785*1&gt;=200,E785="GC-04314"),IF(D785=0,MAX(F$2:F784)+1,0),0)</f>
        <v>652</v>
      </c>
      <c r="H785" s="151" t="s">
        <v>6660</v>
      </c>
      <c r="I785" s="151" t="s">
        <v>6962</v>
      </c>
      <c r="J785" s="151" t="s">
        <v>6962</v>
      </c>
      <c r="K785" s="151">
        <f t="shared" si="38"/>
        <v>0</v>
      </c>
      <c r="L785" s="151" t="s">
        <v>9020</v>
      </c>
    </row>
    <row r="786" spans="1:12" x14ac:dyDescent="0.25">
      <c r="A786" s="151" t="s">
        <v>2909</v>
      </c>
      <c r="B786" s="151" t="s">
        <v>2997</v>
      </c>
      <c r="C786" s="151" t="s">
        <v>3836</v>
      </c>
      <c r="D786" s="151">
        <f t="shared" si="36"/>
        <v>0</v>
      </c>
      <c r="E786" s="151" t="str">
        <f t="shared" si="37"/>
        <v>GC-04314</v>
      </c>
      <c r="F786" s="151">
        <f>+IF(AND(C786*1&gt;=200,E786="GC-04314"),IF(D786=0,MAX(F$2:F785)+1,0),0)</f>
        <v>653</v>
      </c>
      <c r="H786" s="151" t="s">
        <v>6661</v>
      </c>
      <c r="I786" s="151" t="s">
        <v>6962</v>
      </c>
      <c r="J786" s="151" t="s">
        <v>6962</v>
      </c>
      <c r="K786" s="151">
        <f t="shared" si="38"/>
        <v>0</v>
      </c>
      <c r="L786" s="151" t="s">
        <v>9020</v>
      </c>
    </row>
    <row r="787" spans="1:12" x14ac:dyDescent="0.25">
      <c r="A787" s="151" t="s">
        <v>2910</v>
      </c>
      <c r="B787" s="151" t="s">
        <v>2997</v>
      </c>
      <c r="C787" s="151" t="s">
        <v>3837</v>
      </c>
      <c r="D787" s="151">
        <f t="shared" si="36"/>
        <v>0</v>
      </c>
      <c r="E787" s="151" t="str">
        <f t="shared" si="37"/>
        <v>GC-04314</v>
      </c>
      <c r="F787" s="151">
        <f>+IF(AND(C787*1&gt;=200,E787="GC-04314"),IF(D787=0,MAX(F$2:F786)+1,0),0)</f>
        <v>654</v>
      </c>
      <c r="H787" s="151" t="s">
        <v>6662</v>
      </c>
      <c r="I787" s="151" t="s">
        <v>6962</v>
      </c>
      <c r="J787" s="151" t="s">
        <v>6962</v>
      </c>
      <c r="K787" s="151">
        <f t="shared" si="38"/>
        <v>0</v>
      </c>
      <c r="L787" s="151" t="s">
        <v>9020</v>
      </c>
    </row>
    <row r="788" spans="1:12" x14ac:dyDescent="0.25">
      <c r="A788" s="151" t="s">
        <v>2911</v>
      </c>
      <c r="B788" s="151" t="s">
        <v>2997</v>
      </c>
      <c r="C788" s="151" t="s">
        <v>3838</v>
      </c>
      <c r="D788" s="151">
        <f t="shared" si="36"/>
        <v>0</v>
      </c>
      <c r="E788" s="151" t="str">
        <f t="shared" si="37"/>
        <v>GC-04314</v>
      </c>
      <c r="F788" s="151">
        <f>+IF(AND(C788*1&gt;=200,E788="GC-04314"),IF(D788=0,MAX(F$2:F787)+1,0),0)</f>
        <v>655</v>
      </c>
      <c r="H788" s="151" t="s">
        <v>6663</v>
      </c>
      <c r="I788" s="151" t="s">
        <v>6962</v>
      </c>
      <c r="J788" s="151" t="s">
        <v>6962</v>
      </c>
      <c r="K788" s="151">
        <f t="shared" si="38"/>
        <v>0</v>
      </c>
      <c r="L788" s="151" t="s">
        <v>9020</v>
      </c>
    </row>
    <row r="789" spans="1:12" x14ac:dyDescent="0.25">
      <c r="A789" s="151" t="s">
        <v>2912</v>
      </c>
      <c r="B789" s="151" t="s">
        <v>2997</v>
      </c>
      <c r="C789" s="151" t="s">
        <v>3839</v>
      </c>
      <c r="D789" s="151">
        <f t="shared" si="36"/>
        <v>0</v>
      </c>
      <c r="E789" s="151" t="str">
        <f t="shared" si="37"/>
        <v>GC-04314</v>
      </c>
      <c r="F789" s="151">
        <f>+IF(AND(C789*1&gt;=200,E789="GC-04314"),IF(D789=0,MAX(F$2:F788)+1,0),0)</f>
        <v>656</v>
      </c>
      <c r="H789" s="151" t="s">
        <v>6664</v>
      </c>
      <c r="I789" s="151" t="s">
        <v>6962</v>
      </c>
      <c r="J789" s="151" t="s">
        <v>6962</v>
      </c>
      <c r="K789" s="151">
        <f t="shared" si="38"/>
        <v>0</v>
      </c>
      <c r="L789" s="151" t="s">
        <v>9020</v>
      </c>
    </row>
    <row r="790" spans="1:12" x14ac:dyDescent="0.25">
      <c r="A790" s="151" t="s">
        <v>2913</v>
      </c>
      <c r="B790" s="151" t="s">
        <v>2997</v>
      </c>
      <c r="C790" s="151" t="s">
        <v>3840</v>
      </c>
      <c r="D790" s="151">
        <f t="shared" si="36"/>
        <v>0</v>
      </c>
      <c r="E790" s="151" t="str">
        <f t="shared" si="37"/>
        <v>GC-04314</v>
      </c>
      <c r="F790" s="151">
        <f>+IF(AND(C790*1&gt;=200,E790="GC-04314"),IF(D790=0,MAX(F$2:F789)+1,0),0)</f>
        <v>657</v>
      </c>
      <c r="H790" s="151" t="s">
        <v>6665</v>
      </c>
      <c r="I790" s="151" t="s">
        <v>6962</v>
      </c>
      <c r="J790" s="151" t="s">
        <v>6962</v>
      </c>
      <c r="K790" s="151">
        <f t="shared" si="38"/>
        <v>0</v>
      </c>
      <c r="L790" s="151" t="s">
        <v>9020</v>
      </c>
    </row>
    <row r="791" spans="1:12" x14ac:dyDescent="0.25">
      <c r="A791" s="151" t="s">
        <v>2914</v>
      </c>
      <c r="B791" s="151" t="s">
        <v>2997</v>
      </c>
      <c r="C791" s="151" t="s">
        <v>3841</v>
      </c>
      <c r="D791" s="151">
        <f t="shared" si="36"/>
        <v>0</v>
      </c>
      <c r="E791" s="151" t="str">
        <f t="shared" si="37"/>
        <v>GC-04314</v>
      </c>
      <c r="F791" s="151">
        <f>+IF(AND(C791*1&gt;=200,E791="GC-04314"),IF(D791=0,MAX(F$2:F790)+1,0),0)</f>
        <v>658</v>
      </c>
      <c r="H791" s="151" t="s">
        <v>6666</v>
      </c>
      <c r="I791" s="151" t="s">
        <v>6962</v>
      </c>
      <c r="J791" s="151" t="s">
        <v>6962</v>
      </c>
      <c r="K791" s="151">
        <f t="shared" si="38"/>
        <v>0</v>
      </c>
      <c r="L791" s="151" t="s">
        <v>9020</v>
      </c>
    </row>
    <row r="792" spans="1:12" x14ac:dyDescent="0.25">
      <c r="A792" s="151" t="s">
        <v>2915</v>
      </c>
      <c r="B792" s="151" t="s">
        <v>2997</v>
      </c>
      <c r="C792" s="151" t="s">
        <v>3842</v>
      </c>
      <c r="D792" s="151">
        <f t="shared" si="36"/>
        <v>0</v>
      </c>
      <c r="E792" s="151" t="str">
        <f t="shared" si="37"/>
        <v>GC-04314</v>
      </c>
      <c r="F792" s="151">
        <f>+IF(AND(C792*1&gt;=200,E792="GC-04314"),IF(D792=0,MAX(F$2:F791)+1,0),0)</f>
        <v>659</v>
      </c>
      <c r="H792" s="151" t="s">
        <v>6667</v>
      </c>
      <c r="I792" s="151" t="s">
        <v>6962</v>
      </c>
      <c r="J792" s="151" t="s">
        <v>6962</v>
      </c>
      <c r="K792" s="151">
        <f t="shared" si="38"/>
        <v>0</v>
      </c>
      <c r="L792" s="151" t="s">
        <v>9020</v>
      </c>
    </row>
    <row r="793" spans="1:12" x14ac:dyDescent="0.25">
      <c r="A793" s="151" t="s">
        <v>2916</v>
      </c>
      <c r="B793" s="151" t="s">
        <v>2997</v>
      </c>
      <c r="C793" s="151" t="s">
        <v>3843</v>
      </c>
      <c r="D793" s="151">
        <f t="shared" si="36"/>
        <v>0</v>
      </c>
      <c r="E793" s="151" t="str">
        <f t="shared" si="37"/>
        <v>GC-04314</v>
      </c>
      <c r="F793" s="151">
        <f>+IF(AND(C793*1&gt;=200,E793="GC-04314"),IF(D793=0,MAX(F$2:F792)+1,0),0)</f>
        <v>660</v>
      </c>
      <c r="H793" s="151" t="s">
        <v>6668</v>
      </c>
      <c r="I793" s="151" t="s">
        <v>6962</v>
      </c>
      <c r="J793" s="151" t="s">
        <v>6962</v>
      </c>
      <c r="K793" s="151">
        <f t="shared" si="38"/>
        <v>0</v>
      </c>
      <c r="L793" s="151" t="s">
        <v>9020</v>
      </c>
    </row>
    <row r="794" spans="1:12" x14ac:dyDescent="0.25">
      <c r="A794" s="151" t="s">
        <v>2917</v>
      </c>
      <c r="B794" s="151" t="s">
        <v>2997</v>
      </c>
      <c r="C794" s="151" t="s">
        <v>3844</v>
      </c>
      <c r="D794" s="151">
        <f t="shared" si="36"/>
        <v>0</v>
      </c>
      <c r="E794" s="151" t="str">
        <f t="shared" si="37"/>
        <v>GC-04314</v>
      </c>
      <c r="F794" s="151">
        <f>+IF(AND(C794*1&gt;=200,E794="GC-04314"),IF(D794=0,MAX(F$2:F793)+1,0),0)</f>
        <v>661</v>
      </c>
      <c r="H794" s="151" t="s">
        <v>6669</v>
      </c>
      <c r="I794" s="151" t="s">
        <v>6962</v>
      </c>
      <c r="J794" s="151" t="s">
        <v>6962</v>
      </c>
      <c r="K794" s="151">
        <f t="shared" si="38"/>
        <v>0</v>
      </c>
      <c r="L794" s="151" t="s">
        <v>9020</v>
      </c>
    </row>
    <row r="795" spans="1:12" x14ac:dyDescent="0.25">
      <c r="A795" s="151" t="s">
        <v>2918</v>
      </c>
      <c r="B795" s="151" t="s">
        <v>2997</v>
      </c>
      <c r="C795" s="151" t="s">
        <v>3845</v>
      </c>
      <c r="D795" s="151">
        <f t="shared" si="36"/>
        <v>0</v>
      </c>
      <c r="E795" s="151" t="str">
        <f t="shared" si="37"/>
        <v>GC-04314</v>
      </c>
      <c r="F795" s="151">
        <f>+IF(AND(C795*1&gt;=200,E795="GC-04314"),IF(D795=0,MAX(F$2:F794)+1,0),0)</f>
        <v>662</v>
      </c>
      <c r="H795" s="151" t="s">
        <v>6670</v>
      </c>
      <c r="I795" s="151" t="s">
        <v>6962</v>
      </c>
      <c r="J795" s="151" t="s">
        <v>6962</v>
      </c>
      <c r="K795" s="151">
        <f t="shared" si="38"/>
        <v>0</v>
      </c>
      <c r="L795" s="151" t="s">
        <v>9020</v>
      </c>
    </row>
    <row r="796" spans="1:12" x14ac:dyDescent="0.25">
      <c r="A796" s="151" t="s">
        <v>2919</v>
      </c>
      <c r="B796" s="151" t="s">
        <v>2997</v>
      </c>
      <c r="C796" s="151" t="s">
        <v>3846</v>
      </c>
      <c r="D796" s="151">
        <f t="shared" si="36"/>
        <v>0</v>
      </c>
      <c r="E796" s="151" t="str">
        <f t="shared" si="37"/>
        <v>GC-04314</v>
      </c>
      <c r="F796" s="151">
        <f>+IF(AND(C796*1&gt;=200,E796="GC-04314"),IF(D796=0,MAX(F$2:F795)+1,0),0)</f>
        <v>663</v>
      </c>
      <c r="H796" s="151" t="s">
        <v>6671</v>
      </c>
      <c r="I796" s="151" t="s">
        <v>6962</v>
      </c>
      <c r="J796" s="151" t="s">
        <v>6962</v>
      </c>
      <c r="K796" s="151">
        <f t="shared" si="38"/>
        <v>0</v>
      </c>
      <c r="L796" s="151" t="s">
        <v>9020</v>
      </c>
    </row>
    <row r="797" spans="1:12" x14ac:dyDescent="0.25">
      <c r="A797" s="151" t="s">
        <v>2920</v>
      </c>
      <c r="B797" s="151" t="s">
        <v>2997</v>
      </c>
      <c r="C797" s="151" t="s">
        <v>3847</v>
      </c>
      <c r="D797" s="151">
        <f t="shared" si="36"/>
        <v>0</v>
      </c>
      <c r="E797" s="151" t="str">
        <f t="shared" si="37"/>
        <v>GC-04314</v>
      </c>
      <c r="F797" s="151">
        <f>+IF(AND(C797*1&gt;=200,E797="GC-04314"),IF(D797=0,MAX(F$2:F796)+1,0),0)</f>
        <v>664</v>
      </c>
      <c r="H797" s="151" t="s">
        <v>6672</v>
      </c>
      <c r="I797" s="151" t="s">
        <v>6962</v>
      </c>
      <c r="J797" s="151" t="s">
        <v>6962</v>
      </c>
      <c r="K797" s="151">
        <f t="shared" si="38"/>
        <v>0</v>
      </c>
      <c r="L797" s="151" t="s">
        <v>9020</v>
      </c>
    </row>
    <row r="798" spans="1:12" x14ac:dyDescent="0.25">
      <c r="A798" s="151" t="s">
        <v>2921</v>
      </c>
      <c r="B798" s="151" t="s">
        <v>2997</v>
      </c>
      <c r="C798" s="151" t="s">
        <v>3848</v>
      </c>
      <c r="D798" s="151">
        <f t="shared" si="36"/>
        <v>0</v>
      </c>
      <c r="E798" s="151" t="str">
        <f t="shared" si="37"/>
        <v>GC-04314</v>
      </c>
      <c r="F798" s="151">
        <f>+IF(AND(C798*1&gt;=200,E798="GC-04314"),IF(D798=0,MAX(F$2:F797)+1,0),0)</f>
        <v>665</v>
      </c>
      <c r="H798" s="151" t="s">
        <v>6673</v>
      </c>
      <c r="I798" s="151" t="s">
        <v>6962</v>
      </c>
      <c r="J798" s="151" t="s">
        <v>6962</v>
      </c>
      <c r="K798" s="151">
        <f t="shared" si="38"/>
        <v>0</v>
      </c>
      <c r="L798" s="151" t="s">
        <v>9020</v>
      </c>
    </row>
    <row r="799" spans="1:12" x14ac:dyDescent="0.25">
      <c r="A799" s="151" t="s">
        <v>2922</v>
      </c>
      <c r="B799" s="151" t="s">
        <v>2997</v>
      </c>
      <c r="C799" s="151" t="s">
        <v>3849</v>
      </c>
      <c r="D799" s="151">
        <f t="shared" si="36"/>
        <v>0</v>
      </c>
      <c r="E799" s="151" t="str">
        <f t="shared" si="37"/>
        <v>GC-04314</v>
      </c>
      <c r="F799" s="151">
        <f>+IF(AND(C799*1&gt;=200,E799="GC-04314"),IF(D799=0,MAX(F$2:F798)+1,0),0)</f>
        <v>666</v>
      </c>
      <c r="H799" s="151" t="s">
        <v>6674</v>
      </c>
      <c r="I799" s="151" t="s">
        <v>6962</v>
      </c>
      <c r="J799" s="151" t="s">
        <v>6962</v>
      </c>
      <c r="K799" s="151">
        <f t="shared" si="38"/>
        <v>0</v>
      </c>
      <c r="L799" s="151" t="s">
        <v>9020</v>
      </c>
    </row>
    <row r="800" spans="1:12" x14ac:dyDescent="0.25">
      <c r="A800" s="151" t="s">
        <v>2923</v>
      </c>
      <c r="B800" s="151" t="s">
        <v>2997</v>
      </c>
      <c r="C800" s="151" t="s">
        <v>3850</v>
      </c>
      <c r="D800" s="151">
        <f t="shared" si="36"/>
        <v>0</v>
      </c>
      <c r="E800" s="151" t="str">
        <f t="shared" si="37"/>
        <v>GC-04314</v>
      </c>
      <c r="F800" s="151">
        <f>+IF(AND(C800*1&gt;=200,E800="GC-04314"),IF(D800=0,MAX(F$2:F799)+1,0),0)</f>
        <v>667</v>
      </c>
      <c r="H800" s="151" t="s">
        <v>6675</v>
      </c>
      <c r="I800" s="151" t="s">
        <v>6962</v>
      </c>
      <c r="J800" s="151" t="s">
        <v>6962</v>
      </c>
      <c r="K800" s="151">
        <f t="shared" si="38"/>
        <v>0</v>
      </c>
      <c r="L800" s="151" t="s">
        <v>9020</v>
      </c>
    </row>
    <row r="801" spans="1:12" x14ac:dyDescent="0.25">
      <c r="A801" s="151" t="s">
        <v>2924</v>
      </c>
      <c r="B801" s="151" t="s">
        <v>2997</v>
      </c>
      <c r="C801" s="151" t="s">
        <v>3851</v>
      </c>
      <c r="D801" s="151">
        <f t="shared" si="36"/>
        <v>0</v>
      </c>
      <c r="E801" s="151" t="str">
        <f t="shared" si="37"/>
        <v>GC-04314</v>
      </c>
      <c r="F801" s="151">
        <f>+IF(AND(C801*1&gt;=200,E801="GC-04314"),IF(D801=0,MAX(F$2:F800)+1,0),0)</f>
        <v>668</v>
      </c>
      <c r="H801" s="151" t="s">
        <v>6676</v>
      </c>
      <c r="I801" s="151" t="s">
        <v>6962</v>
      </c>
      <c r="J801" s="151" t="s">
        <v>6962</v>
      </c>
      <c r="K801" s="151">
        <f t="shared" si="38"/>
        <v>0</v>
      </c>
      <c r="L801" s="151" t="s">
        <v>9020</v>
      </c>
    </row>
    <row r="802" spans="1:12" x14ac:dyDescent="0.25">
      <c r="A802" s="151" t="s">
        <v>2925</v>
      </c>
      <c r="B802" s="151" t="s">
        <v>2997</v>
      </c>
      <c r="C802" s="151" t="s">
        <v>3852</v>
      </c>
      <c r="D802" s="151">
        <f t="shared" si="36"/>
        <v>0</v>
      </c>
      <c r="E802" s="151" t="str">
        <f t="shared" si="37"/>
        <v>GC-04314</v>
      </c>
      <c r="F802" s="151">
        <f>+IF(AND(C802*1&gt;=200,E802="GC-04314"),IF(D802=0,MAX(F$2:F801)+1,0),0)</f>
        <v>669</v>
      </c>
      <c r="H802" s="151" t="s">
        <v>6677</v>
      </c>
      <c r="I802" s="151" t="s">
        <v>6962</v>
      </c>
      <c r="J802" s="151" t="s">
        <v>6962</v>
      </c>
      <c r="K802" s="151">
        <f t="shared" si="38"/>
        <v>0</v>
      </c>
      <c r="L802" s="151" t="s">
        <v>9020</v>
      </c>
    </row>
    <row r="803" spans="1:12" x14ac:dyDescent="0.25">
      <c r="A803" s="151" t="s">
        <v>2926</v>
      </c>
      <c r="B803" s="151" t="s">
        <v>2997</v>
      </c>
      <c r="C803" s="151" t="s">
        <v>3853</v>
      </c>
      <c r="D803" s="151">
        <f t="shared" si="36"/>
        <v>0</v>
      </c>
      <c r="E803" s="151" t="str">
        <f t="shared" si="37"/>
        <v>GC-04314</v>
      </c>
      <c r="F803" s="151">
        <f>+IF(AND(C803*1&gt;=200,E803="GC-04314"),IF(D803=0,MAX(F$2:F802)+1,0),0)</f>
        <v>670</v>
      </c>
      <c r="H803" s="151" t="s">
        <v>6678</v>
      </c>
      <c r="I803" s="151" t="s">
        <v>6962</v>
      </c>
      <c r="J803" s="151" t="s">
        <v>6962</v>
      </c>
      <c r="K803" s="151">
        <f t="shared" si="38"/>
        <v>0</v>
      </c>
      <c r="L803" s="151" t="s">
        <v>9020</v>
      </c>
    </row>
    <row r="804" spans="1:12" x14ac:dyDescent="0.25">
      <c r="A804" s="151" t="s">
        <v>2927</v>
      </c>
      <c r="B804" s="151" t="s">
        <v>2997</v>
      </c>
      <c r="C804" s="151" t="s">
        <v>3854</v>
      </c>
      <c r="D804" s="151">
        <f t="shared" si="36"/>
        <v>0</v>
      </c>
      <c r="E804" s="151" t="str">
        <f t="shared" si="37"/>
        <v>GC-04314</v>
      </c>
      <c r="F804" s="151">
        <f>+IF(AND(C804*1&gt;=200,E804="GC-04314"),IF(D804=0,MAX(F$2:F803)+1,0),0)</f>
        <v>671</v>
      </c>
      <c r="H804" s="151" t="s">
        <v>6679</v>
      </c>
      <c r="I804" s="151" t="s">
        <v>6962</v>
      </c>
      <c r="J804" s="151" t="s">
        <v>6962</v>
      </c>
      <c r="K804" s="151">
        <f t="shared" si="38"/>
        <v>0</v>
      </c>
      <c r="L804" s="151" t="s">
        <v>9020</v>
      </c>
    </row>
    <row r="805" spans="1:12" x14ac:dyDescent="0.25">
      <c r="A805" s="151" t="s">
        <v>2928</v>
      </c>
      <c r="B805" s="151" t="s">
        <v>2997</v>
      </c>
      <c r="C805" s="151" t="s">
        <v>3855</v>
      </c>
      <c r="D805" s="151">
        <f t="shared" si="36"/>
        <v>0</v>
      </c>
      <c r="E805" s="151" t="str">
        <f t="shared" si="37"/>
        <v>GC-04314</v>
      </c>
      <c r="F805" s="151">
        <f>+IF(AND(C805*1&gt;=200,E805="GC-04314"),IF(D805=0,MAX(F$2:F804)+1,0),0)</f>
        <v>672</v>
      </c>
      <c r="H805" s="151" t="s">
        <v>6680</v>
      </c>
      <c r="I805" s="151" t="s">
        <v>6962</v>
      </c>
      <c r="J805" s="151" t="s">
        <v>6962</v>
      </c>
      <c r="K805" s="151">
        <f t="shared" si="38"/>
        <v>0</v>
      </c>
      <c r="L805" s="151" t="s">
        <v>9020</v>
      </c>
    </row>
    <row r="806" spans="1:12" x14ac:dyDescent="0.25">
      <c r="A806" s="151" t="s">
        <v>2929</v>
      </c>
      <c r="B806" s="151" t="s">
        <v>2997</v>
      </c>
      <c r="C806" s="151" t="s">
        <v>3856</v>
      </c>
      <c r="D806" s="151">
        <f t="shared" si="36"/>
        <v>0</v>
      </c>
      <c r="E806" s="151" t="str">
        <f t="shared" si="37"/>
        <v>GC-04314</v>
      </c>
      <c r="F806" s="151">
        <f>+IF(AND(C806*1&gt;=200,E806="GC-04314"),IF(D806=0,MAX(F$2:F805)+1,0),0)</f>
        <v>673</v>
      </c>
      <c r="H806" s="151" t="s">
        <v>6681</v>
      </c>
      <c r="I806" s="151" t="s">
        <v>6962</v>
      </c>
      <c r="J806" s="151" t="s">
        <v>6962</v>
      </c>
      <c r="K806" s="151">
        <f t="shared" si="38"/>
        <v>0</v>
      </c>
      <c r="L806" s="151" t="s">
        <v>9020</v>
      </c>
    </row>
    <row r="807" spans="1:12" x14ac:dyDescent="0.25">
      <c r="A807" s="151" t="s">
        <v>2930</v>
      </c>
      <c r="B807" s="151" t="s">
        <v>2997</v>
      </c>
      <c r="C807" s="151" t="s">
        <v>3857</v>
      </c>
      <c r="D807" s="151">
        <f t="shared" si="36"/>
        <v>0</v>
      </c>
      <c r="E807" s="151" t="str">
        <f t="shared" si="37"/>
        <v>GC-04314</v>
      </c>
      <c r="F807" s="151">
        <f>+IF(AND(C807*1&gt;=200,E807="GC-04314"),IF(D807=0,MAX(F$2:F806)+1,0),0)</f>
        <v>674</v>
      </c>
      <c r="H807" s="151" t="s">
        <v>6682</v>
      </c>
      <c r="I807" s="151" t="s">
        <v>6962</v>
      </c>
      <c r="J807" s="151" t="s">
        <v>6962</v>
      </c>
      <c r="K807" s="151">
        <f t="shared" si="38"/>
        <v>0</v>
      </c>
      <c r="L807" s="151" t="s">
        <v>9020</v>
      </c>
    </row>
    <row r="808" spans="1:12" x14ac:dyDescent="0.25">
      <c r="A808" s="151" t="s">
        <v>2931</v>
      </c>
      <c r="B808" s="151" t="s">
        <v>2997</v>
      </c>
      <c r="C808" s="151" t="s">
        <v>3858</v>
      </c>
      <c r="D808" s="151">
        <f t="shared" si="36"/>
        <v>0</v>
      </c>
      <c r="E808" s="151" t="str">
        <f t="shared" si="37"/>
        <v>GC-04314</v>
      </c>
      <c r="F808" s="151">
        <f>+IF(AND(C808*1&gt;=200,E808="GC-04314"),IF(D808=0,MAX(F$2:F807)+1,0),0)</f>
        <v>675</v>
      </c>
      <c r="H808" s="151" t="s">
        <v>6683</v>
      </c>
      <c r="I808" s="151" t="s">
        <v>6962</v>
      </c>
      <c r="J808" s="151" t="s">
        <v>6962</v>
      </c>
      <c r="K808" s="151">
        <f t="shared" si="38"/>
        <v>0</v>
      </c>
      <c r="L808" s="151" t="s">
        <v>9020</v>
      </c>
    </row>
    <row r="809" spans="1:12" x14ac:dyDescent="0.25">
      <c r="A809" s="151" t="s">
        <v>2932</v>
      </c>
      <c r="B809" s="151" t="s">
        <v>2997</v>
      </c>
      <c r="C809" s="151" t="s">
        <v>3859</v>
      </c>
      <c r="D809" s="151">
        <f t="shared" si="36"/>
        <v>0</v>
      </c>
      <c r="E809" s="151" t="str">
        <f t="shared" si="37"/>
        <v>GC-04314</v>
      </c>
      <c r="F809" s="151">
        <f>+IF(AND(C809*1&gt;=200,E809="GC-04314"),IF(D809=0,MAX(F$2:F808)+1,0),0)</f>
        <v>676</v>
      </c>
      <c r="H809" s="151" t="s">
        <v>6684</v>
      </c>
      <c r="I809" s="151" t="s">
        <v>6962</v>
      </c>
      <c r="J809" s="151" t="s">
        <v>6962</v>
      </c>
      <c r="K809" s="151">
        <f t="shared" si="38"/>
        <v>0</v>
      </c>
      <c r="L809" s="151" t="s">
        <v>9020</v>
      </c>
    </row>
    <row r="810" spans="1:12" x14ac:dyDescent="0.25">
      <c r="A810" s="151" t="s">
        <v>2933</v>
      </c>
      <c r="B810" s="151" t="s">
        <v>2997</v>
      </c>
      <c r="C810" s="151" t="s">
        <v>3860</v>
      </c>
      <c r="D810" s="151">
        <f t="shared" si="36"/>
        <v>0</v>
      </c>
      <c r="E810" s="151" t="str">
        <f t="shared" si="37"/>
        <v>GC-04314</v>
      </c>
      <c r="F810" s="151">
        <f>+IF(AND(C810*1&gt;=200,E810="GC-04314"),IF(D810=0,MAX(F$2:F809)+1,0),0)</f>
        <v>677</v>
      </c>
      <c r="H810" s="151" t="s">
        <v>6685</v>
      </c>
      <c r="I810" s="151" t="s">
        <v>6962</v>
      </c>
      <c r="J810" s="151" t="s">
        <v>6962</v>
      </c>
      <c r="K810" s="151">
        <f t="shared" si="38"/>
        <v>0</v>
      </c>
      <c r="L810" s="151" t="s">
        <v>9020</v>
      </c>
    </row>
    <row r="811" spans="1:12" x14ac:dyDescent="0.25">
      <c r="A811" s="151" t="s">
        <v>2934</v>
      </c>
      <c r="B811" s="151" t="s">
        <v>2997</v>
      </c>
      <c r="C811" s="151" t="s">
        <v>3861</v>
      </c>
      <c r="D811" s="151">
        <f t="shared" si="36"/>
        <v>0</v>
      </c>
      <c r="E811" s="151" t="str">
        <f t="shared" si="37"/>
        <v>GC-04314</v>
      </c>
      <c r="F811" s="151">
        <f>+IF(AND(C811*1&gt;=200,E811="GC-04314"),IF(D811=0,MAX(F$2:F810)+1,0),0)</f>
        <v>678</v>
      </c>
      <c r="H811" s="151" t="s">
        <v>6686</v>
      </c>
      <c r="I811" s="151" t="s">
        <v>6962</v>
      </c>
      <c r="J811" s="151" t="s">
        <v>6962</v>
      </c>
      <c r="K811" s="151">
        <f t="shared" si="38"/>
        <v>0</v>
      </c>
      <c r="L811" s="151" t="s">
        <v>9020</v>
      </c>
    </row>
    <row r="812" spans="1:12" x14ac:dyDescent="0.25">
      <c r="A812" s="151" t="s">
        <v>2935</v>
      </c>
      <c r="B812" s="151" t="s">
        <v>2997</v>
      </c>
      <c r="C812" s="151" t="s">
        <v>3862</v>
      </c>
      <c r="D812" s="151">
        <f t="shared" si="36"/>
        <v>0</v>
      </c>
      <c r="E812" s="151" t="str">
        <f t="shared" si="37"/>
        <v>GC-04314</v>
      </c>
      <c r="F812" s="151">
        <f>+IF(AND(C812*1&gt;=200,E812="GC-04314"),IF(D812=0,MAX(F$2:F811)+1,0),0)</f>
        <v>679</v>
      </c>
      <c r="H812" s="151" t="s">
        <v>6687</v>
      </c>
      <c r="I812" s="151" t="s">
        <v>6962</v>
      </c>
      <c r="J812" s="151" t="s">
        <v>6962</v>
      </c>
      <c r="K812" s="151">
        <f t="shared" si="38"/>
        <v>0</v>
      </c>
      <c r="L812" s="151" t="s">
        <v>9020</v>
      </c>
    </row>
    <row r="813" spans="1:12" x14ac:dyDescent="0.25">
      <c r="A813" s="151" t="s">
        <v>2936</v>
      </c>
      <c r="B813" s="151" t="s">
        <v>2997</v>
      </c>
      <c r="C813" s="151" t="s">
        <v>3863</v>
      </c>
      <c r="D813" s="151">
        <f t="shared" si="36"/>
        <v>0</v>
      </c>
      <c r="E813" s="151" t="str">
        <f t="shared" si="37"/>
        <v>GC-04314</v>
      </c>
      <c r="F813" s="151">
        <f>+IF(AND(C813*1&gt;=200,E813="GC-04314"),IF(D813=0,MAX(F$2:F812)+1,0),0)</f>
        <v>680</v>
      </c>
      <c r="H813" s="151" t="s">
        <v>6688</v>
      </c>
      <c r="I813" s="151" t="s">
        <v>6962</v>
      </c>
      <c r="J813" s="151" t="s">
        <v>6962</v>
      </c>
      <c r="K813" s="151">
        <f t="shared" si="38"/>
        <v>0</v>
      </c>
      <c r="L813" s="151" t="s">
        <v>9020</v>
      </c>
    </row>
    <row r="814" spans="1:12" x14ac:dyDescent="0.25">
      <c r="A814" s="151" t="s">
        <v>2937</v>
      </c>
      <c r="B814" s="151" t="s">
        <v>2997</v>
      </c>
      <c r="C814" s="151" t="s">
        <v>3864</v>
      </c>
      <c r="D814" s="151">
        <f t="shared" si="36"/>
        <v>0</v>
      </c>
      <c r="E814" s="151" t="str">
        <f t="shared" si="37"/>
        <v>GC-04314</v>
      </c>
      <c r="F814" s="151">
        <f>+IF(AND(C814*1&gt;=200,E814="GC-04314"),IF(D814=0,MAX(F$2:F813)+1,0),0)</f>
        <v>681</v>
      </c>
      <c r="H814" s="151" t="s">
        <v>6689</v>
      </c>
      <c r="I814" s="151" t="s">
        <v>6962</v>
      </c>
      <c r="J814" s="151" t="s">
        <v>6962</v>
      </c>
      <c r="K814" s="151">
        <f t="shared" si="38"/>
        <v>0</v>
      </c>
      <c r="L814" s="151" t="s">
        <v>9020</v>
      </c>
    </row>
    <row r="815" spans="1:12" x14ac:dyDescent="0.25">
      <c r="A815" s="151" t="s">
        <v>2938</v>
      </c>
      <c r="B815" s="151" t="s">
        <v>2997</v>
      </c>
      <c r="C815" s="151" t="s">
        <v>3865</v>
      </c>
      <c r="D815" s="151">
        <f t="shared" si="36"/>
        <v>0</v>
      </c>
      <c r="E815" s="151" t="str">
        <f t="shared" si="37"/>
        <v>GC-04314</v>
      </c>
      <c r="F815" s="151">
        <f>+IF(AND(C815*1&gt;=200,E815="GC-04314"),IF(D815=0,MAX(F$2:F814)+1,0),0)</f>
        <v>682</v>
      </c>
      <c r="H815" s="151" t="s">
        <v>6690</v>
      </c>
      <c r="I815" s="151" t="s">
        <v>6962</v>
      </c>
      <c r="J815" s="151" t="s">
        <v>6962</v>
      </c>
      <c r="K815" s="151">
        <f t="shared" si="38"/>
        <v>0</v>
      </c>
      <c r="L815" s="151" t="s">
        <v>9020</v>
      </c>
    </row>
    <row r="816" spans="1:12" x14ac:dyDescent="0.25">
      <c r="A816" s="151" t="s">
        <v>2939</v>
      </c>
      <c r="B816" s="151" t="s">
        <v>2997</v>
      </c>
      <c r="C816" s="151" t="s">
        <v>3866</v>
      </c>
      <c r="D816" s="151">
        <f t="shared" si="36"/>
        <v>0</v>
      </c>
      <c r="E816" s="151" t="str">
        <f t="shared" si="37"/>
        <v>GC-04314</v>
      </c>
      <c r="F816" s="151">
        <f>+IF(AND(C816*1&gt;=200,E816="GC-04314"),IF(D816=0,MAX(F$2:F815)+1,0),0)</f>
        <v>683</v>
      </c>
      <c r="H816" s="151" t="s">
        <v>6691</v>
      </c>
      <c r="I816" s="151" t="s">
        <v>6962</v>
      </c>
      <c r="J816" s="151" t="s">
        <v>6962</v>
      </c>
      <c r="K816" s="151">
        <f t="shared" si="38"/>
        <v>0</v>
      </c>
      <c r="L816" s="151" t="s">
        <v>9020</v>
      </c>
    </row>
    <row r="817" spans="1:12" x14ac:dyDescent="0.25">
      <c r="A817" s="151" t="s">
        <v>2940</v>
      </c>
      <c r="B817" s="151" t="s">
        <v>2997</v>
      </c>
      <c r="C817" s="151" t="s">
        <v>3867</v>
      </c>
      <c r="D817" s="151">
        <f t="shared" si="36"/>
        <v>0</v>
      </c>
      <c r="E817" s="151" t="str">
        <f t="shared" si="37"/>
        <v>GC-04314</v>
      </c>
      <c r="F817" s="151">
        <f>+IF(AND(C817*1&gt;=200,E817="GC-04314"),IF(D817=0,MAX(F$2:F816)+1,0),0)</f>
        <v>684</v>
      </c>
      <c r="H817" s="151" t="s">
        <v>6692</v>
      </c>
      <c r="I817" s="151" t="s">
        <v>6962</v>
      </c>
      <c r="J817" s="151" t="s">
        <v>6962</v>
      </c>
      <c r="K817" s="151">
        <f t="shared" si="38"/>
        <v>0</v>
      </c>
      <c r="L817" s="151" t="s">
        <v>9020</v>
      </c>
    </row>
    <row r="818" spans="1:12" x14ac:dyDescent="0.25">
      <c r="A818" s="151" t="s">
        <v>2941</v>
      </c>
      <c r="B818" s="151" t="s">
        <v>2997</v>
      </c>
      <c r="C818" s="151" t="s">
        <v>3868</v>
      </c>
      <c r="D818" s="151">
        <f t="shared" si="36"/>
        <v>0</v>
      </c>
      <c r="E818" s="151" t="str">
        <f t="shared" si="37"/>
        <v>GC-04314</v>
      </c>
      <c r="F818" s="151">
        <f>+IF(AND(C818*1&gt;=200,E818="GC-04314"),IF(D818=0,MAX(F$2:F817)+1,0),0)</f>
        <v>685</v>
      </c>
      <c r="H818" s="151" t="s">
        <v>6693</v>
      </c>
      <c r="I818" s="151" t="s">
        <v>6962</v>
      </c>
      <c r="J818" s="151" t="s">
        <v>6962</v>
      </c>
      <c r="K818" s="151">
        <f t="shared" si="38"/>
        <v>0</v>
      </c>
      <c r="L818" s="151" t="s">
        <v>9020</v>
      </c>
    </row>
    <row r="819" spans="1:12" x14ac:dyDescent="0.25">
      <c r="A819" s="151" t="s">
        <v>2942</v>
      </c>
      <c r="B819" s="151" t="s">
        <v>2997</v>
      </c>
      <c r="C819" s="151" t="s">
        <v>3869</v>
      </c>
      <c r="D819" s="151">
        <f t="shared" si="36"/>
        <v>0</v>
      </c>
      <c r="E819" s="151" t="str">
        <f t="shared" si="37"/>
        <v>GC-04314</v>
      </c>
      <c r="F819" s="151">
        <f>+IF(AND(C819*1&gt;=200,E819="GC-04314"),IF(D819=0,MAX(F$2:F818)+1,0),0)</f>
        <v>686</v>
      </c>
      <c r="H819" s="151" t="s">
        <v>6694</v>
      </c>
      <c r="I819" s="151" t="s">
        <v>6962</v>
      </c>
      <c r="J819" s="151" t="s">
        <v>6962</v>
      </c>
      <c r="K819" s="151">
        <f t="shared" si="38"/>
        <v>0</v>
      </c>
      <c r="L819" s="151" t="s">
        <v>9020</v>
      </c>
    </row>
    <row r="820" spans="1:12" x14ac:dyDescent="0.25">
      <c r="A820" s="151" t="s">
        <v>2943</v>
      </c>
      <c r="B820" s="151" t="s">
        <v>2997</v>
      </c>
      <c r="C820" s="151" t="s">
        <v>3870</v>
      </c>
      <c r="D820" s="151">
        <f t="shared" si="36"/>
        <v>0</v>
      </c>
      <c r="E820" s="151" t="str">
        <f t="shared" si="37"/>
        <v>GC-04314</v>
      </c>
      <c r="F820" s="151">
        <f>+IF(AND(C820*1&gt;=200,E820="GC-04314"),IF(D820=0,MAX(F$2:F819)+1,0),0)</f>
        <v>687</v>
      </c>
      <c r="H820" s="151" t="s">
        <v>6695</v>
      </c>
      <c r="I820" s="151" t="s">
        <v>6962</v>
      </c>
      <c r="J820" s="151" t="s">
        <v>6962</v>
      </c>
      <c r="K820" s="151">
        <f t="shared" si="38"/>
        <v>0</v>
      </c>
      <c r="L820" s="151" t="s">
        <v>9020</v>
      </c>
    </row>
    <row r="821" spans="1:12" x14ac:dyDescent="0.25">
      <c r="A821" s="151" t="s">
        <v>2944</v>
      </c>
      <c r="B821" s="151" t="s">
        <v>2997</v>
      </c>
      <c r="C821" s="151" t="s">
        <v>3871</v>
      </c>
      <c r="D821" s="151">
        <f t="shared" si="36"/>
        <v>0</v>
      </c>
      <c r="E821" s="151" t="str">
        <f t="shared" si="37"/>
        <v>GC-04314</v>
      </c>
      <c r="F821" s="151">
        <f>+IF(AND(C821*1&gt;=200,E821="GC-04314"),IF(D821=0,MAX(F$2:F820)+1,0),0)</f>
        <v>688</v>
      </c>
      <c r="H821" s="151" t="s">
        <v>6696</v>
      </c>
      <c r="I821" s="151" t="s">
        <v>6962</v>
      </c>
      <c r="J821" s="151" t="s">
        <v>6962</v>
      </c>
      <c r="K821" s="151">
        <f t="shared" si="38"/>
        <v>0</v>
      </c>
      <c r="L821" s="151" t="s">
        <v>9020</v>
      </c>
    </row>
    <row r="822" spans="1:12" x14ac:dyDescent="0.25">
      <c r="A822" s="151" t="s">
        <v>2945</v>
      </c>
      <c r="B822" s="151" t="s">
        <v>2997</v>
      </c>
      <c r="C822" s="151" t="s">
        <v>3872</v>
      </c>
      <c r="D822" s="151">
        <f t="shared" si="36"/>
        <v>0</v>
      </c>
      <c r="E822" s="151" t="str">
        <f t="shared" si="37"/>
        <v>GC-04314</v>
      </c>
      <c r="F822" s="151">
        <f>+IF(AND(C822*1&gt;=200,E822="GC-04314"),IF(D822=0,MAX(F$2:F821)+1,0),0)</f>
        <v>689</v>
      </c>
      <c r="H822" s="151" t="s">
        <v>6697</v>
      </c>
      <c r="I822" s="151" t="s">
        <v>6962</v>
      </c>
      <c r="J822" s="151" t="s">
        <v>6962</v>
      </c>
      <c r="K822" s="151">
        <f t="shared" si="38"/>
        <v>0</v>
      </c>
      <c r="L822" s="151" t="s">
        <v>9020</v>
      </c>
    </row>
    <row r="823" spans="1:12" x14ac:dyDescent="0.25">
      <c r="A823" s="151" t="s">
        <v>2946</v>
      </c>
      <c r="B823" s="151" t="s">
        <v>2997</v>
      </c>
      <c r="C823" s="151" t="s">
        <v>3873</v>
      </c>
      <c r="D823" s="151">
        <f t="shared" si="36"/>
        <v>0</v>
      </c>
      <c r="E823" s="151" t="str">
        <f t="shared" si="37"/>
        <v>GC-04314</v>
      </c>
      <c r="F823" s="151">
        <f>+IF(AND(C823*1&gt;=200,E823="GC-04314"),IF(D823=0,MAX(F$2:F822)+1,0),0)</f>
        <v>690</v>
      </c>
      <c r="H823" s="151" t="s">
        <v>6698</v>
      </c>
      <c r="I823" s="151" t="s">
        <v>6962</v>
      </c>
      <c r="J823" s="151" t="s">
        <v>6962</v>
      </c>
      <c r="K823" s="151">
        <f t="shared" si="38"/>
        <v>0</v>
      </c>
      <c r="L823" s="151" t="s">
        <v>9020</v>
      </c>
    </row>
    <row r="824" spans="1:12" x14ac:dyDescent="0.25">
      <c r="A824" s="151" t="s">
        <v>2947</v>
      </c>
      <c r="B824" s="151" t="s">
        <v>2997</v>
      </c>
      <c r="C824" s="151" t="s">
        <v>3874</v>
      </c>
      <c r="D824" s="151">
        <f t="shared" si="36"/>
        <v>0</v>
      </c>
      <c r="E824" s="151" t="str">
        <f t="shared" si="37"/>
        <v>GC-04314</v>
      </c>
      <c r="F824" s="151">
        <f>+IF(AND(C824*1&gt;=200,E824="GC-04314"),IF(D824=0,MAX(F$2:F823)+1,0),0)</f>
        <v>691</v>
      </c>
      <c r="H824" s="151" t="s">
        <v>6699</v>
      </c>
      <c r="I824" s="151" t="s">
        <v>6962</v>
      </c>
      <c r="J824" s="151" t="s">
        <v>6962</v>
      </c>
      <c r="K824" s="151">
        <f t="shared" si="38"/>
        <v>0</v>
      </c>
      <c r="L824" s="151" t="s">
        <v>9020</v>
      </c>
    </row>
    <row r="825" spans="1:12" x14ac:dyDescent="0.25">
      <c r="A825" s="151" t="s">
        <v>2948</v>
      </c>
      <c r="B825" s="151" t="s">
        <v>2997</v>
      </c>
      <c r="C825" s="151" t="s">
        <v>3875</v>
      </c>
      <c r="D825" s="151">
        <f t="shared" si="36"/>
        <v>0</v>
      </c>
      <c r="E825" s="151" t="str">
        <f t="shared" si="37"/>
        <v>GC-04314</v>
      </c>
      <c r="F825" s="151">
        <f>+IF(AND(C825*1&gt;=200,E825="GC-04314"),IF(D825=0,MAX(F$2:F824)+1,0),0)</f>
        <v>692</v>
      </c>
      <c r="H825" s="151" t="s">
        <v>6700</v>
      </c>
      <c r="I825" s="151" t="s">
        <v>6962</v>
      </c>
      <c r="J825" s="151" t="s">
        <v>6962</v>
      </c>
      <c r="K825" s="151">
        <f t="shared" si="38"/>
        <v>0</v>
      </c>
      <c r="L825" s="151" t="s">
        <v>9020</v>
      </c>
    </row>
    <row r="826" spans="1:12" x14ac:dyDescent="0.25">
      <c r="A826" s="151" t="s">
        <v>2949</v>
      </c>
      <c r="B826" s="151" t="s">
        <v>2997</v>
      </c>
      <c r="C826" s="151" t="s">
        <v>3876</v>
      </c>
      <c r="D826" s="151">
        <f t="shared" si="36"/>
        <v>0</v>
      </c>
      <c r="E826" s="151" t="str">
        <f t="shared" si="37"/>
        <v>GC-04314</v>
      </c>
      <c r="F826" s="151">
        <f>+IF(AND(C826*1&gt;=200,E826="GC-04314"),IF(D826=0,MAX(F$2:F825)+1,0),0)</f>
        <v>693</v>
      </c>
      <c r="H826" s="151" t="s">
        <v>6701</v>
      </c>
      <c r="I826" s="151" t="s">
        <v>6962</v>
      </c>
      <c r="J826" s="151" t="s">
        <v>6962</v>
      </c>
      <c r="K826" s="151">
        <f t="shared" si="38"/>
        <v>0</v>
      </c>
      <c r="L826" s="151" t="s">
        <v>9020</v>
      </c>
    </row>
    <row r="827" spans="1:12" x14ac:dyDescent="0.25">
      <c r="A827" s="151" t="s">
        <v>2950</v>
      </c>
      <c r="B827" s="151" t="s">
        <v>2997</v>
      </c>
      <c r="C827" s="151" t="s">
        <v>3877</v>
      </c>
      <c r="D827" s="151">
        <f t="shared" si="36"/>
        <v>0</v>
      </c>
      <c r="E827" s="151" t="str">
        <f t="shared" si="37"/>
        <v>GC-04314</v>
      </c>
      <c r="F827" s="151">
        <f>+IF(AND(C827*1&gt;=200,E827="GC-04314"),IF(D827=0,MAX(F$2:F826)+1,0),0)</f>
        <v>694</v>
      </c>
      <c r="H827" s="151" t="s">
        <v>6702</v>
      </c>
      <c r="I827" s="151" t="s">
        <v>6962</v>
      </c>
      <c r="J827" s="151" t="s">
        <v>6962</v>
      </c>
      <c r="K827" s="151">
        <f t="shared" si="38"/>
        <v>0</v>
      </c>
      <c r="L827" s="151" t="s">
        <v>9020</v>
      </c>
    </row>
    <row r="828" spans="1:12" x14ac:dyDescent="0.25">
      <c r="A828" s="151" t="s">
        <v>2951</v>
      </c>
      <c r="B828" s="151" t="s">
        <v>2997</v>
      </c>
      <c r="C828" s="151" t="s">
        <v>3878</v>
      </c>
      <c r="D828" s="151">
        <f t="shared" si="36"/>
        <v>0</v>
      </c>
      <c r="E828" s="151" t="str">
        <f t="shared" si="37"/>
        <v>GC-04314</v>
      </c>
      <c r="F828" s="151">
        <f>+IF(AND(C828*1&gt;=200,E828="GC-04314"),IF(D828=0,MAX(F$2:F827)+1,0),0)</f>
        <v>695</v>
      </c>
      <c r="H828" s="151" t="s">
        <v>6703</v>
      </c>
      <c r="I828" s="151" t="s">
        <v>6962</v>
      </c>
      <c r="J828" s="151" t="s">
        <v>6962</v>
      </c>
      <c r="K828" s="151">
        <f t="shared" si="38"/>
        <v>0</v>
      </c>
      <c r="L828" s="151" t="s">
        <v>9020</v>
      </c>
    </row>
    <row r="829" spans="1:12" x14ac:dyDescent="0.25">
      <c r="A829" s="151" t="s">
        <v>2952</v>
      </c>
      <c r="B829" s="151" t="s">
        <v>2997</v>
      </c>
      <c r="C829" s="151" t="s">
        <v>3879</v>
      </c>
      <c r="D829" s="151">
        <f t="shared" si="36"/>
        <v>0</v>
      </c>
      <c r="E829" s="151" t="str">
        <f t="shared" si="37"/>
        <v>GC-04314</v>
      </c>
      <c r="F829" s="151">
        <f>+IF(AND(C829*1&gt;=200,E829="GC-04314"),IF(D829=0,MAX(F$2:F828)+1,0),0)</f>
        <v>696</v>
      </c>
      <c r="H829" s="151" t="s">
        <v>6704</v>
      </c>
      <c r="I829" s="151" t="s">
        <v>6962</v>
      </c>
      <c r="J829" s="151" t="s">
        <v>6962</v>
      </c>
      <c r="K829" s="151">
        <f t="shared" si="38"/>
        <v>0</v>
      </c>
      <c r="L829" s="151" t="s">
        <v>9020</v>
      </c>
    </row>
    <row r="830" spans="1:12" x14ac:dyDescent="0.25">
      <c r="A830" s="151" t="s">
        <v>2953</v>
      </c>
      <c r="B830" s="151" t="s">
        <v>2997</v>
      </c>
      <c r="C830" s="151" t="s">
        <v>3880</v>
      </c>
      <c r="D830" s="151">
        <f t="shared" si="36"/>
        <v>0</v>
      </c>
      <c r="E830" s="151" t="str">
        <f t="shared" si="37"/>
        <v>GC-04314</v>
      </c>
      <c r="F830" s="151">
        <f>+IF(AND(C830*1&gt;=200,E830="GC-04314"),IF(D830=0,MAX(F$2:F829)+1,0),0)</f>
        <v>697</v>
      </c>
      <c r="H830" s="151" t="s">
        <v>6705</v>
      </c>
      <c r="I830" s="151" t="s">
        <v>6962</v>
      </c>
      <c r="J830" s="151" t="s">
        <v>6962</v>
      </c>
      <c r="K830" s="151">
        <f t="shared" si="38"/>
        <v>0</v>
      </c>
      <c r="L830" s="151" t="s">
        <v>9020</v>
      </c>
    </row>
    <row r="831" spans="1:12" x14ac:dyDescent="0.25">
      <c r="A831" s="151" t="s">
        <v>2954</v>
      </c>
      <c r="B831" s="151" t="s">
        <v>2997</v>
      </c>
      <c r="C831" s="151" t="s">
        <v>3881</v>
      </c>
      <c r="D831" s="151">
        <f t="shared" si="36"/>
        <v>0</v>
      </c>
      <c r="E831" s="151" t="str">
        <f t="shared" si="37"/>
        <v>GC-04314</v>
      </c>
      <c r="F831" s="151">
        <f>+IF(AND(C831*1&gt;=200,E831="GC-04314"),IF(D831=0,MAX(F$2:F830)+1,0),0)</f>
        <v>698</v>
      </c>
      <c r="H831" s="151" t="s">
        <v>6706</v>
      </c>
      <c r="I831" s="151" t="s">
        <v>6962</v>
      </c>
      <c r="J831" s="151" t="s">
        <v>6962</v>
      </c>
      <c r="K831" s="151">
        <f t="shared" si="38"/>
        <v>0</v>
      </c>
      <c r="L831" s="151" t="s">
        <v>9020</v>
      </c>
    </row>
    <row r="832" spans="1:12" x14ac:dyDescent="0.25">
      <c r="A832" s="151" t="s">
        <v>2955</v>
      </c>
      <c r="B832" s="151" t="s">
        <v>2997</v>
      </c>
      <c r="C832" s="151" t="s">
        <v>3882</v>
      </c>
      <c r="D832" s="151">
        <f t="shared" si="36"/>
        <v>0</v>
      </c>
      <c r="E832" s="151" t="str">
        <f t="shared" si="37"/>
        <v>GC-04314</v>
      </c>
      <c r="F832" s="151">
        <f>+IF(AND(C832*1&gt;=200,E832="GC-04314"),IF(D832=0,MAX(F$2:F831)+1,0),0)</f>
        <v>699</v>
      </c>
      <c r="H832" s="151" t="s">
        <v>6707</v>
      </c>
      <c r="I832" s="151" t="s">
        <v>6962</v>
      </c>
      <c r="J832" s="151" t="s">
        <v>6962</v>
      </c>
      <c r="K832" s="151">
        <f t="shared" si="38"/>
        <v>0</v>
      </c>
      <c r="L832" s="151" t="s">
        <v>9020</v>
      </c>
    </row>
    <row r="833" spans="1:12" x14ac:dyDescent="0.25">
      <c r="A833" s="151" t="s">
        <v>2956</v>
      </c>
      <c r="B833" s="151" t="s">
        <v>2997</v>
      </c>
      <c r="C833" s="151" t="s">
        <v>3883</v>
      </c>
      <c r="D833" s="151">
        <f t="shared" si="36"/>
        <v>0</v>
      </c>
      <c r="E833" s="151" t="str">
        <f t="shared" si="37"/>
        <v>GC-04314</v>
      </c>
      <c r="F833" s="151">
        <f>+IF(AND(C833*1&gt;=200,E833="GC-04314"),IF(D833=0,MAX(F$2:F832)+1,0),0)</f>
        <v>700</v>
      </c>
      <c r="H833" s="151" t="s">
        <v>6708</v>
      </c>
      <c r="I833" s="151" t="s">
        <v>6962</v>
      </c>
      <c r="J833" s="151" t="s">
        <v>6962</v>
      </c>
      <c r="K833" s="151">
        <f t="shared" si="38"/>
        <v>0</v>
      </c>
      <c r="L833" s="151" t="s">
        <v>9020</v>
      </c>
    </row>
    <row r="834" spans="1:12" x14ac:dyDescent="0.25">
      <c r="A834" s="151" t="s">
        <v>2957</v>
      </c>
      <c r="B834" s="151" t="s">
        <v>2997</v>
      </c>
      <c r="C834" s="151" t="s">
        <v>3884</v>
      </c>
      <c r="D834" s="151">
        <f t="shared" ref="D834:D897" si="39">+SUMIFS(K:K,H:H,A834)</f>
        <v>0</v>
      </c>
      <c r="E834" s="151" t="str">
        <f t="shared" ref="E834:E897" si="40">+IF(D834=0,VLOOKUP(A834,$H:$L,5,FALSE),"")</f>
        <v>GC-04314</v>
      </c>
      <c r="F834" s="151">
        <f>+IF(AND(C834*1&gt;=200,E834="GC-04314"),IF(D834=0,MAX(F$2:F833)+1,0),0)</f>
        <v>701</v>
      </c>
      <c r="H834" s="151" t="s">
        <v>6709</v>
      </c>
      <c r="I834" s="151" t="s">
        <v>6962</v>
      </c>
      <c r="J834" s="151" t="s">
        <v>6962</v>
      </c>
      <c r="K834" s="151">
        <f t="shared" si="38"/>
        <v>0</v>
      </c>
      <c r="L834" s="151" t="s">
        <v>9020</v>
      </c>
    </row>
    <row r="835" spans="1:12" x14ac:dyDescent="0.25">
      <c r="A835" s="151" t="s">
        <v>2958</v>
      </c>
      <c r="B835" s="151" t="s">
        <v>2997</v>
      </c>
      <c r="C835" s="151" t="s">
        <v>3885</v>
      </c>
      <c r="D835" s="151">
        <f t="shared" si="39"/>
        <v>0</v>
      </c>
      <c r="E835" s="151" t="str">
        <f t="shared" si="40"/>
        <v>GC-04314</v>
      </c>
      <c r="F835" s="151">
        <f>+IF(AND(C835*1&gt;=200,E835="GC-04314"),IF(D835=0,MAX(F$2:F834)+1,0),0)</f>
        <v>702</v>
      </c>
      <c r="H835" s="151" t="s">
        <v>6710</v>
      </c>
      <c r="I835" s="151" t="s">
        <v>6962</v>
      </c>
      <c r="J835" s="151" t="s">
        <v>6962</v>
      </c>
      <c r="K835" s="151">
        <f t="shared" ref="K835:K898" si="41">+IFERROR(J835*1,0)</f>
        <v>0</v>
      </c>
      <c r="L835" s="151" t="s">
        <v>9020</v>
      </c>
    </row>
    <row r="836" spans="1:12" x14ac:dyDescent="0.25">
      <c r="A836" s="151" t="s">
        <v>2959</v>
      </c>
      <c r="B836" s="151" t="s">
        <v>2997</v>
      </c>
      <c r="C836" s="151" t="s">
        <v>3886</v>
      </c>
      <c r="D836" s="151">
        <f t="shared" si="39"/>
        <v>0</v>
      </c>
      <c r="E836" s="151" t="str">
        <f t="shared" si="40"/>
        <v>GC-04314</v>
      </c>
      <c r="F836" s="151">
        <f>+IF(AND(C836*1&gt;=200,E836="GC-04314"),IF(D836=0,MAX(F$2:F835)+1,0),0)</f>
        <v>703</v>
      </c>
      <c r="H836" s="151" t="s">
        <v>6711</v>
      </c>
      <c r="I836" s="151" t="s">
        <v>6962</v>
      </c>
      <c r="J836" s="151" t="s">
        <v>6962</v>
      </c>
      <c r="K836" s="151">
        <f t="shared" si="41"/>
        <v>0</v>
      </c>
      <c r="L836" s="151" t="s">
        <v>9020</v>
      </c>
    </row>
    <row r="837" spans="1:12" x14ac:dyDescent="0.25">
      <c r="A837" s="151" t="s">
        <v>2960</v>
      </c>
      <c r="B837" s="151" t="s">
        <v>2997</v>
      </c>
      <c r="C837" s="151" t="s">
        <v>3887</v>
      </c>
      <c r="D837" s="151">
        <f t="shared" si="39"/>
        <v>0</v>
      </c>
      <c r="E837" s="151" t="str">
        <f t="shared" si="40"/>
        <v>GC-04314</v>
      </c>
      <c r="F837" s="151">
        <f>+IF(AND(C837*1&gt;=200,E837="GC-04314"),IF(D837=0,MAX(F$2:F836)+1,0),0)</f>
        <v>704</v>
      </c>
      <c r="H837" s="151" t="s">
        <v>6712</v>
      </c>
      <c r="I837" s="151" t="s">
        <v>6962</v>
      </c>
      <c r="J837" s="151" t="s">
        <v>6962</v>
      </c>
      <c r="K837" s="151">
        <f t="shared" si="41"/>
        <v>0</v>
      </c>
      <c r="L837" s="151" t="s">
        <v>9020</v>
      </c>
    </row>
    <row r="838" spans="1:12" x14ac:dyDescent="0.25">
      <c r="A838" s="151" t="s">
        <v>2961</v>
      </c>
      <c r="B838" s="151" t="s">
        <v>2997</v>
      </c>
      <c r="C838" s="151" t="s">
        <v>3888</v>
      </c>
      <c r="D838" s="151">
        <f t="shared" si="39"/>
        <v>0</v>
      </c>
      <c r="E838" s="151" t="str">
        <f t="shared" si="40"/>
        <v>GC-04314</v>
      </c>
      <c r="F838" s="151">
        <f>+IF(AND(C838*1&gt;=200,E838="GC-04314"),IF(D838=0,MAX(F$2:F837)+1,0),0)</f>
        <v>705</v>
      </c>
      <c r="H838" s="151" t="s">
        <v>6713</v>
      </c>
      <c r="I838" s="151" t="s">
        <v>6962</v>
      </c>
      <c r="J838" s="151" t="s">
        <v>6962</v>
      </c>
      <c r="K838" s="151">
        <f t="shared" si="41"/>
        <v>0</v>
      </c>
      <c r="L838" s="151" t="s">
        <v>9020</v>
      </c>
    </row>
    <row r="839" spans="1:12" x14ac:dyDescent="0.25">
      <c r="A839" s="151" t="s">
        <v>2962</v>
      </c>
      <c r="B839" s="151" t="s">
        <v>2997</v>
      </c>
      <c r="C839" s="151" t="s">
        <v>3889</v>
      </c>
      <c r="D839" s="151">
        <f t="shared" si="39"/>
        <v>0</v>
      </c>
      <c r="E839" s="151" t="str">
        <f t="shared" si="40"/>
        <v>GC-04314</v>
      </c>
      <c r="F839" s="151">
        <f>+IF(AND(C839*1&gt;=200,E839="GC-04314"),IF(D839=0,MAX(F$2:F838)+1,0),0)</f>
        <v>706</v>
      </c>
      <c r="H839" s="151" t="s">
        <v>6714</v>
      </c>
      <c r="I839" s="151" t="s">
        <v>6962</v>
      </c>
      <c r="J839" s="151" t="s">
        <v>6962</v>
      </c>
      <c r="K839" s="151">
        <f t="shared" si="41"/>
        <v>0</v>
      </c>
      <c r="L839" s="151" t="s">
        <v>9020</v>
      </c>
    </row>
    <row r="840" spans="1:12" x14ac:dyDescent="0.25">
      <c r="A840" s="151" t="s">
        <v>2963</v>
      </c>
      <c r="B840" s="151" t="s">
        <v>2997</v>
      </c>
      <c r="C840" s="151" t="s">
        <v>3890</v>
      </c>
      <c r="D840" s="151">
        <f t="shared" si="39"/>
        <v>0</v>
      </c>
      <c r="E840" s="151" t="str">
        <f t="shared" si="40"/>
        <v>GC-04314</v>
      </c>
      <c r="F840" s="151">
        <f>+IF(AND(C840*1&gt;=200,E840="GC-04314"),IF(D840=0,MAX(F$2:F839)+1,0),0)</f>
        <v>707</v>
      </c>
      <c r="H840" s="151" t="s">
        <v>6715</v>
      </c>
      <c r="I840" s="151" t="s">
        <v>6962</v>
      </c>
      <c r="J840" s="151" t="s">
        <v>6962</v>
      </c>
      <c r="K840" s="151">
        <f t="shared" si="41"/>
        <v>0</v>
      </c>
      <c r="L840" s="151" t="s">
        <v>9020</v>
      </c>
    </row>
    <row r="841" spans="1:12" x14ac:dyDescent="0.25">
      <c r="A841" s="151" t="s">
        <v>2964</v>
      </c>
      <c r="B841" s="151" t="s">
        <v>2997</v>
      </c>
      <c r="C841" s="151" t="s">
        <v>3891</v>
      </c>
      <c r="D841" s="151">
        <f t="shared" si="39"/>
        <v>0</v>
      </c>
      <c r="E841" s="151" t="str">
        <f t="shared" si="40"/>
        <v>GC-04314</v>
      </c>
      <c r="F841" s="151">
        <f>+IF(AND(C841*1&gt;=200,E841="GC-04314"),IF(D841=0,MAX(F$2:F840)+1,0),0)</f>
        <v>708</v>
      </c>
      <c r="H841" s="151" t="s">
        <v>6716</v>
      </c>
      <c r="I841" s="151" t="s">
        <v>6962</v>
      </c>
      <c r="J841" s="151" t="s">
        <v>6962</v>
      </c>
      <c r="K841" s="151">
        <f t="shared" si="41"/>
        <v>0</v>
      </c>
      <c r="L841" s="151" t="s">
        <v>9020</v>
      </c>
    </row>
    <row r="842" spans="1:12" x14ac:dyDescent="0.25">
      <c r="A842" s="151" t="s">
        <v>2965</v>
      </c>
      <c r="B842" s="151" t="s">
        <v>2997</v>
      </c>
      <c r="C842" s="151" t="s">
        <v>3892</v>
      </c>
      <c r="D842" s="151">
        <f t="shared" si="39"/>
        <v>0</v>
      </c>
      <c r="E842" s="151" t="str">
        <f t="shared" si="40"/>
        <v>GC-04314</v>
      </c>
      <c r="F842" s="151">
        <f>+IF(AND(C842*1&gt;=200,E842="GC-04314"),IF(D842=0,MAX(F$2:F841)+1,0),0)</f>
        <v>709</v>
      </c>
      <c r="H842" s="151" t="s">
        <v>6717</v>
      </c>
      <c r="I842" s="151" t="s">
        <v>6962</v>
      </c>
      <c r="J842" s="151" t="s">
        <v>6962</v>
      </c>
      <c r="K842" s="151">
        <f t="shared" si="41"/>
        <v>0</v>
      </c>
      <c r="L842" s="151" t="s">
        <v>9020</v>
      </c>
    </row>
    <row r="843" spans="1:12" x14ac:dyDescent="0.25">
      <c r="A843" s="151" t="s">
        <v>2966</v>
      </c>
      <c r="B843" s="151" t="s">
        <v>2997</v>
      </c>
      <c r="C843" s="151" t="s">
        <v>3893</v>
      </c>
      <c r="D843" s="151">
        <f t="shared" si="39"/>
        <v>0</v>
      </c>
      <c r="E843" s="151" t="str">
        <f t="shared" si="40"/>
        <v>GC-04314</v>
      </c>
      <c r="F843" s="151">
        <f>+IF(AND(C843*1&gt;=200,E843="GC-04314"),IF(D843=0,MAX(F$2:F842)+1,0),0)</f>
        <v>710</v>
      </c>
      <c r="H843" s="151" t="s">
        <v>6718</v>
      </c>
      <c r="I843" s="151" t="s">
        <v>6962</v>
      </c>
      <c r="J843" s="151" t="s">
        <v>6962</v>
      </c>
      <c r="K843" s="151">
        <f t="shared" si="41"/>
        <v>0</v>
      </c>
      <c r="L843" s="151" t="s">
        <v>9020</v>
      </c>
    </row>
    <row r="844" spans="1:12" x14ac:dyDescent="0.25">
      <c r="A844" s="151" t="s">
        <v>2967</v>
      </c>
      <c r="B844" s="151" t="s">
        <v>2997</v>
      </c>
      <c r="C844" s="151" t="s">
        <v>3894</v>
      </c>
      <c r="D844" s="151">
        <f t="shared" si="39"/>
        <v>0</v>
      </c>
      <c r="E844" s="151" t="str">
        <f t="shared" si="40"/>
        <v>GC-04314</v>
      </c>
      <c r="F844" s="151">
        <f>+IF(AND(C844*1&gt;=200,E844="GC-04314"),IF(D844=0,MAX(F$2:F843)+1,0),0)</f>
        <v>711</v>
      </c>
      <c r="H844" s="151" t="s">
        <v>6719</v>
      </c>
      <c r="I844" s="151" t="s">
        <v>6962</v>
      </c>
      <c r="J844" s="151" t="s">
        <v>6962</v>
      </c>
      <c r="K844" s="151">
        <f t="shared" si="41"/>
        <v>0</v>
      </c>
      <c r="L844" s="151" t="s">
        <v>9020</v>
      </c>
    </row>
    <row r="845" spans="1:12" x14ac:dyDescent="0.25">
      <c r="A845" s="151" t="s">
        <v>2968</v>
      </c>
      <c r="B845" s="151" t="s">
        <v>2997</v>
      </c>
      <c r="C845" s="151" t="s">
        <v>3895</v>
      </c>
      <c r="D845" s="151">
        <f t="shared" si="39"/>
        <v>0</v>
      </c>
      <c r="E845" s="151" t="str">
        <f t="shared" si="40"/>
        <v>GC-04314</v>
      </c>
      <c r="F845" s="151">
        <f>+IF(AND(C845*1&gt;=200,E845="GC-04314"),IF(D845=0,MAX(F$2:F844)+1,0),0)</f>
        <v>712</v>
      </c>
      <c r="H845" s="151" t="s">
        <v>6720</v>
      </c>
      <c r="I845" s="151" t="s">
        <v>6962</v>
      </c>
      <c r="J845" s="151" t="s">
        <v>6962</v>
      </c>
      <c r="K845" s="151">
        <f t="shared" si="41"/>
        <v>0</v>
      </c>
      <c r="L845" s="151" t="s">
        <v>9020</v>
      </c>
    </row>
    <row r="846" spans="1:12" x14ac:dyDescent="0.25">
      <c r="A846" s="151" t="s">
        <v>2969</v>
      </c>
      <c r="B846" s="151" t="s">
        <v>2997</v>
      </c>
      <c r="C846" s="151" t="s">
        <v>3896</v>
      </c>
      <c r="D846" s="151">
        <f t="shared" si="39"/>
        <v>0</v>
      </c>
      <c r="E846" s="151" t="str">
        <f t="shared" si="40"/>
        <v>GC-04314</v>
      </c>
      <c r="F846" s="151">
        <f>+IF(AND(C846*1&gt;=200,E846="GC-04314"),IF(D846=0,MAX(F$2:F845)+1,0),0)</f>
        <v>713</v>
      </c>
      <c r="H846" s="151" t="s">
        <v>6721</v>
      </c>
      <c r="I846" s="151" t="s">
        <v>6962</v>
      </c>
      <c r="J846" s="151" t="s">
        <v>6962</v>
      </c>
      <c r="K846" s="151">
        <f t="shared" si="41"/>
        <v>0</v>
      </c>
      <c r="L846" s="151" t="s">
        <v>9020</v>
      </c>
    </row>
    <row r="847" spans="1:12" x14ac:dyDescent="0.25">
      <c r="A847" s="151" t="s">
        <v>2970</v>
      </c>
      <c r="B847" s="151" t="s">
        <v>2997</v>
      </c>
      <c r="C847" s="151" t="s">
        <v>3897</v>
      </c>
      <c r="D847" s="151">
        <f t="shared" si="39"/>
        <v>0</v>
      </c>
      <c r="E847" s="151" t="str">
        <f t="shared" si="40"/>
        <v>GC-04314</v>
      </c>
      <c r="F847" s="151">
        <f>+IF(AND(C847*1&gt;=200,E847="GC-04314"),IF(D847=0,MAX(F$2:F846)+1,0),0)</f>
        <v>714</v>
      </c>
      <c r="H847" s="151" t="s">
        <v>6722</v>
      </c>
      <c r="I847" s="151" t="s">
        <v>6962</v>
      </c>
      <c r="J847" s="151" t="s">
        <v>6962</v>
      </c>
      <c r="K847" s="151">
        <f t="shared" si="41"/>
        <v>0</v>
      </c>
      <c r="L847" s="151" t="s">
        <v>9020</v>
      </c>
    </row>
    <row r="848" spans="1:12" x14ac:dyDescent="0.25">
      <c r="A848" s="151" t="s">
        <v>2971</v>
      </c>
      <c r="B848" s="151" t="s">
        <v>2997</v>
      </c>
      <c r="C848" s="151" t="s">
        <v>3898</v>
      </c>
      <c r="D848" s="151">
        <f t="shared" si="39"/>
        <v>0</v>
      </c>
      <c r="E848" s="151" t="str">
        <f t="shared" si="40"/>
        <v>GC-04314</v>
      </c>
      <c r="F848" s="151">
        <f>+IF(AND(C848*1&gt;=200,E848="GC-04314"),IF(D848=0,MAX(F$2:F847)+1,0),0)</f>
        <v>715</v>
      </c>
      <c r="H848" s="151" t="s">
        <v>6723</v>
      </c>
      <c r="I848" s="151" t="s">
        <v>6962</v>
      </c>
      <c r="J848" s="151" t="s">
        <v>6962</v>
      </c>
      <c r="K848" s="151">
        <f t="shared" si="41"/>
        <v>0</v>
      </c>
      <c r="L848" s="151" t="s">
        <v>9020</v>
      </c>
    </row>
    <row r="849" spans="1:12" x14ac:dyDescent="0.25">
      <c r="A849" s="151" t="s">
        <v>2972</v>
      </c>
      <c r="B849" s="151" t="s">
        <v>2997</v>
      </c>
      <c r="C849" s="151" t="s">
        <v>3899</v>
      </c>
      <c r="D849" s="151">
        <f t="shared" si="39"/>
        <v>0</v>
      </c>
      <c r="E849" s="151" t="str">
        <f t="shared" si="40"/>
        <v>GC-04314</v>
      </c>
      <c r="F849" s="151">
        <f>+IF(AND(C849*1&gt;=200,E849="GC-04314"),IF(D849=0,MAX(F$2:F848)+1,0),0)</f>
        <v>716</v>
      </c>
      <c r="H849" s="151" t="s">
        <v>6724</v>
      </c>
      <c r="I849" s="151" t="s">
        <v>6962</v>
      </c>
      <c r="J849" s="151" t="s">
        <v>6962</v>
      </c>
      <c r="K849" s="151">
        <f t="shared" si="41"/>
        <v>0</v>
      </c>
      <c r="L849" s="151" t="s">
        <v>9020</v>
      </c>
    </row>
    <row r="850" spans="1:12" x14ac:dyDescent="0.25">
      <c r="A850" s="151" t="s">
        <v>2973</v>
      </c>
      <c r="B850" s="151" t="s">
        <v>2997</v>
      </c>
      <c r="C850" s="151" t="s">
        <v>3900</v>
      </c>
      <c r="D850" s="151">
        <f t="shared" si="39"/>
        <v>0</v>
      </c>
      <c r="E850" s="151" t="str">
        <f t="shared" si="40"/>
        <v>GC-04314</v>
      </c>
      <c r="F850" s="151">
        <f>+IF(AND(C850*1&gt;=200,E850="GC-04314"),IF(D850=0,MAX(F$2:F849)+1,0),0)</f>
        <v>717</v>
      </c>
      <c r="H850" s="151" t="s">
        <v>6725</v>
      </c>
      <c r="I850" s="151" t="s">
        <v>6962</v>
      </c>
      <c r="J850" s="151" t="s">
        <v>6962</v>
      </c>
      <c r="K850" s="151">
        <f t="shared" si="41"/>
        <v>0</v>
      </c>
      <c r="L850" s="151" t="s">
        <v>9020</v>
      </c>
    </row>
    <row r="851" spans="1:12" x14ac:dyDescent="0.25">
      <c r="A851" s="151" t="s">
        <v>2974</v>
      </c>
      <c r="B851" s="151" t="s">
        <v>2997</v>
      </c>
      <c r="C851" s="151" t="s">
        <v>3901</v>
      </c>
      <c r="D851" s="151">
        <f t="shared" si="39"/>
        <v>0</v>
      </c>
      <c r="E851" s="151" t="str">
        <f t="shared" si="40"/>
        <v>GC-04314</v>
      </c>
      <c r="F851" s="151">
        <f>+IF(AND(C851*1&gt;=200,E851="GC-04314"),IF(D851=0,MAX(F$2:F850)+1,0),0)</f>
        <v>718</v>
      </c>
      <c r="H851" s="151" t="s">
        <v>6726</v>
      </c>
      <c r="I851" s="151" t="s">
        <v>6962</v>
      </c>
      <c r="J851" s="151" t="s">
        <v>6962</v>
      </c>
      <c r="K851" s="151">
        <f t="shared" si="41"/>
        <v>0</v>
      </c>
      <c r="L851" s="151" t="s">
        <v>9020</v>
      </c>
    </row>
    <row r="852" spans="1:12" x14ac:dyDescent="0.25">
      <c r="A852" s="151" t="s">
        <v>2975</v>
      </c>
      <c r="B852" s="151" t="s">
        <v>2997</v>
      </c>
      <c r="C852" s="151" t="s">
        <v>3902</v>
      </c>
      <c r="D852" s="151">
        <f t="shared" si="39"/>
        <v>0</v>
      </c>
      <c r="E852" s="151" t="str">
        <f t="shared" si="40"/>
        <v>GC-04314</v>
      </c>
      <c r="F852" s="151">
        <f>+IF(AND(C852*1&gt;=200,E852="GC-04314"),IF(D852=0,MAX(F$2:F851)+1,0),0)</f>
        <v>719</v>
      </c>
      <c r="H852" s="151" t="s">
        <v>6727</v>
      </c>
      <c r="I852" s="151" t="s">
        <v>6962</v>
      </c>
      <c r="J852" s="151" t="s">
        <v>6962</v>
      </c>
      <c r="K852" s="151">
        <f t="shared" si="41"/>
        <v>0</v>
      </c>
      <c r="L852" s="151" t="s">
        <v>9020</v>
      </c>
    </row>
    <row r="853" spans="1:12" x14ac:dyDescent="0.25">
      <c r="A853" s="151" t="s">
        <v>2976</v>
      </c>
      <c r="B853" s="151" t="s">
        <v>2997</v>
      </c>
      <c r="C853" s="151" t="s">
        <v>3903</v>
      </c>
      <c r="D853" s="151">
        <f t="shared" si="39"/>
        <v>0</v>
      </c>
      <c r="E853" s="151" t="str">
        <f t="shared" si="40"/>
        <v>GC-04314</v>
      </c>
      <c r="F853" s="151">
        <f>+IF(AND(C853*1&gt;=200,E853="GC-04314"),IF(D853=0,MAX(F$2:F852)+1,0),0)</f>
        <v>720</v>
      </c>
      <c r="H853" s="151" t="s">
        <v>6728</v>
      </c>
      <c r="I853" s="151" t="s">
        <v>6962</v>
      </c>
      <c r="J853" s="151" t="s">
        <v>6962</v>
      </c>
      <c r="K853" s="151">
        <f t="shared" si="41"/>
        <v>0</v>
      </c>
      <c r="L853" s="151" t="s">
        <v>9020</v>
      </c>
    </row>
    <row r="854" spans="1:12" x14ac:dyDescent="0.25">
      <c r="A854" s="151" t="s">
        <v>2977</v>
      </c>
      <c r="B854" s="151" t="s">
        <v>2997</v>
      </c>
      <c r="C854" s="151" t="s">
        <v>3904</v>
      </c>
      <c r="D854" s="151">
        <f t="shared" si="39"/>
        <v>0</v>
      </c>
      <c r="E854" s="151" t="str">
        <f t="shared" si="40"/>
        <v>GC-04314</v>
      </c>
      <c r="F854" s="151">
        <f>+IF(AND(C854*1&gt;=200,E854="GC-04314"),IF(D854=0,MAX(F$2:F853)+1,0),0)</f>
        <v>721</v>
      </c>
      <c r="H854" s="151" t="s">
        <v>6729</v>
      </c>
      <c r="I854" s="151" t="s">
        <v>6962</v>
      </c>
      <c r="J854" s="151" t="s">
        <v>6962</v>
      </c>
      <c r="K854" s="151">
        <f t="shared" si="41"/>
        <v>0</v>
      </c>
      <c r="L854" s="151" t="s">
        <v>9020</v>
      </c>
    </row>
    <row r="855" spans="1:12" x14ac:dyDescent="0.25">
      <c r="A855" s="151" t="s">
        <v>2978</v>
      </c>
      <c r="B855" s="151" t="s">
        <v>2997</v>
      </c>
      <c r="C855" s="151" t="s">
        <v>3905</v>
      </c>
      <c r="D855" s="151">
        <f t="shared" si="39"/>
        <v>0</v>
      </c>
      <c r="E855" s="151" t="str">
        <f t="shared" si="40"/>
        <v>GC-04314</v>
      </c>
      <c r="F855" s="151">
        <f>+IF(AND(C855*1&gt;=200,E855="GC-04314"),IF(D855=0,MAX(F$2:F854)+1,0),0)</f>
        <v>722</v>
      </c>
      <c r="H855" s="151" t="s">
        <v>6730</v>
      </c>
      <c r="I855" s="151" t="s">
        <v>6962</v>
      </c>
      <c r="J855" s="151" t="s">
        <v>6962</v>
      </c>
      <c r="K855" s="151">
        <f t="shared" si="41"/>
        <v>0</v>
      </c>
      <c r="L855" s="151" t="s">
        <v>9020</v>
      </c>
    </row>
    <row r="856" spans="1:12" x14ac:dyDescent="0.25">
      <c r="A856" s="151" t="s">
        <v>2979</v>
      </c>
      <c r="B856" s="151" t="s">
        <v>2997</v>
      </c>
      <c r="C856" s="151" t="s">
        <v>3906</v>
      </c>
      <c r="D856" s="151">
        <f t="shared" si="39"/>
        <v>0</v>
      </c>
      <c r="E856" s="151" t="str">
        <f t="shared" si="40"/>
        <v>GC-04314</v>
      </c>
      <c r="F856" s="151">
        <f>+IF(AND(C856*1&gt;=200,E856="GC-04314"),IF(D856=0,MAX(F$2:F855)+1,0),0)</f>
        <v>723</v>
      </c>
      <c r="H856" s="151" t="s">
        <v>6731</v>
      </c>
      <c r="I856" s="151" t="s">
        <v>6962</v>
      </c>
      <c r="J856" s="151" t="s">
        <v>6962</v>
      </c>
      <c r="K856" s="151">
        <f t="shared" si="41"/>
        <v>0</v>
      </c>
      <c r="L856" s="151" t="s">
        <v>9020</v>
      </c>
    </row>
    <row r="857" spans="1:12" x14ac:dyDescent="0.25">
      <c r="A857" s="151" t="s">
        <v>2980</v>
      </c>
      <c r="B857" s="151" t="s">
        <v>2997</v>
      </c>
      <c r="C857" s="151" t="s">
        <v>3907</v>
      </c>
      <c r="D857" s="151">
        <f t="shared" si="39"/>
        <v>0</v>
      </c>
      <c r="E857" s="151" t="str">
        <f t="shared" si="40"/>
        <v>GC-04314</v>
      </c>
      <c r="F857" s="151">
        <f>+IF(AND(C857*1&gt;=200,E857="GC-04314"),IF(D857=0,MAX(F$2:F856)+1,0),0)</f>
        <v>724</v>
      </c>
      <c r="H857" s="151" t="s">
        <v>6732</v>
      </c>
      <c r="I857" s="151" t="s">
        <v>6962</v>
      </c>
      <c r="J857" s="151" t="s">
        <v>6962</v>
      </c>
      <c r="K857" s="151">
        <f t="shared" si="41"/>
        <v>0</v>
      </c>
      <c r="L857" s="151" t="s">
        <v>9020</v>
      </c>
    </row>
    <row r="858" spans="1:12" x14ac:dyDescent="0.25">
      <c r="A858" s="151" t="s">
        <v>2981</v>
      </c>
      <c r="B858" s="151" t="s">
        <v>2997</v>
      </c>
      <c r="C858" s="151" t="s">
        <v>3908</v>
      </c>
      <c r="D858" s="151">
        <f t="shared" si="39"/>
        <v>0</v>
      </c>
      <c r="E858" s="151" t="str">
        <f t="shared" si="40"/>
        <v>GC-04314</v>
      </c>
      <c r="F858" s="151">
        <f>+IF(AND(C858*1&gt;=200,E858="GC-04314"),IF(D858=0,MAX(F$2:F857)+1,0),0)</f>
        <v>725</v>
      </c>
      <c r="H858" s="151" t="s">
        <v>6733</v>
      </c>
      <c r="I858" s="151" t="s">
        <v>6962</v>
      </c>
      <c r="J858" s="151" t="s">
        <v>6962</v>
      </c>
      <c r="K858" s="151">
        <f t="shared" si="41"/>
        <v>0</v>
      </c>
      <c r="L858" s="151" t="s">
        <v>9020</v>
      </c>
    </row>
    <row r="859" spans="1:12" x14ac:dyDescent="0.25">
      <c r="A859" s="151" t="s">
        <v>2982</v>
      </c>
      <c r="B859" s="151" t="s">
        <v>2997</v>
      </c>
      <c r="C859" s="151" t="s">
        <v>3909</v>
      </c>
      <c r="D859" s="151">
        <f t="shared" si="39"/>
        <v>0</v>
      </c>
      <c r="E859" s="151" t="str">
        <f t="shared" si="40"/>
        <v>GC-04314</v>
      </c>
      <c r="F859" s="151">
        <f>+IF(AND(C859*1&gt;=200,E859="GC-04314"),IF(D859=0,MAX(F$2:F858)+1,0),0)</f>
        <v>726</v>
      </c>
      <c r="H859" s="151" t="s">
        <v>6734</v>
      </c>
      <c r="I859" s="151" t="s">
        <v>6962</v>
      </c>
      <c r="J859" s="151" t="s">
        <v>6962</v>
      </c>
      <c r="K859" s="151">
        <f t="shared" si="41"/>
        <v>0</v>
      </c>
      <c r="L859" s="151" t="s">
        <v>9020</v>
      </c>
    </row>
    <row r="860" spans="1:12" x14ac:dyDescent="0.25">
      <c r="A860" s="151" t="s">
        <v>2983</v>
      </c>
      <c r="B860" s="151" t="s">
        <v>2997</v>
      </c>
      <c r="C860" s="151" t="s">
        <v>3910</v>
      </c>
      <c r="D860" s="151">
        <f t="shared" si="39"/>
        <v>0</v>
      </c>
      <c r="E860" s="151" t="str">
        <f t="shared" si="40"/>
        <v>GC-04314</v>
      </c>
      <c r="F860" s="151">
        <f>+IF(AND(C860*1&gt;=200,E860="GC-04314"),IF(D860=0,MAX(F$2:F859)+1,0),0)</f>
        <v>727</v>
      </c>
      <c r="H860" s="151" t="s">
        <v>6735</v>
      </c>
      <c r="I860" s="151" t="s">
        <v>6962</v>
      </c>
      <c r="J860" s="151" t="s">
        <v>6962</v>
      </c>
      <c r="K860" s="151">
        <f t="shared" si="41"/>
        <v>0</v>
      </c>
      <c r="L860" s="151" t="s">
        <v>9020</v>
      </c>
    </row>
    <row r="861" spans="1:12" x14ac:dyDescent="0.25">
      <c r="A861" s="151" t="s">
        <v>2984</v>
      </c>
      <c r="B861" s="151" t="s">
        <v>2997</v>
      </c>
      <c r="C861" s="151" t="s">
        <v>3911</v>
      </c>
      <c r="D861" s="151">
        <f t="shared" si="39"/>
        <v>0</v>
      </c>
      <c r="E861" s="151" t="str">
        <f t="shared" si="40"/>
        <v>GC-04314</v>
      </c>
      <c r="F861" s="151">
        <f>+IF(AND(C861*1&gt;=200,E861="GC-04314"),IF(D861=0,MAX(F$2:F860)+1,0),0)</f>
        <v>728</v>
      </c>
      <c r="H861" s="151" t="s">
        <v>6736</v>
      </c>
      <c r="I861" s="151" t="s">
        <v>6962</v>
      </c>
      <c r="J861" s="151" t="s">
        <v>6962</v>
      </c>
      <c r="K861" s="151">
        <f t="shared" si="41"/>
        <v>0</v>
      </c>
      <c r="L861" s="151" t="s">
        <v>9020</v>
      </c>
    </row>
    <row r="862" spans="1:12" x14ac:dyDescent="0.25">
      <c r="A862" s="151" t="s">
        <v>2985</v>
      </c>
      <c r="B862" s="151" t="s">
        <v>2997</v>
      </c>
      <c r="C862" s="151" t="s">
        <v>3912</v>
      </c>
      <c r="D862" s="151">
        <f t="shared" si="39"/>
        <v>0</v>
      </c>
      <c r="E862" s="151" t="str">
        <f t="shared" si="40"/>
        <v>GC-04314</v>
      </c>
      <c r="F862" s="151">
        <f>+IF(AND(C862*1&gt;=200,E862="GC-04314"),IF(D862=0,MAX(F$2:F861)+1,0),0)</f>
        <v>729</v>
      </c>
      <c r="H862" s="151" t="s">
        <v>6737</v>
      </c>
      <c r="I862" s="151" t="s">
        <v>6962</v>
      </c>
      <c r="J862" s="151" t="s">
        <v>6962</v>
      </c>
      <c r="K862" s="151">
        <f t="shared" si="41"/>
        <v>0</v>
      </c>
      <c r="L862" s="151" t="s">
        <v>9020</v>
      </c>
    </row>
    <row r="863" spans="1:12" x14ac:dyDescent="0.25">
      <c r="A863" s="151" t="s">
        <v>2986</v>
      </c>
      <c r="B863" s="151" t="s">
        <v>2997</v>
      </c>
      <c r="C863" s="151" t="s">
        <v>3913</v>
      </c>
      <c r="D863" s="151">
        <f t="shared" si="39"/>
        <v>0</v>
      </c>
      <c r="E863" s="151" t="str">
        <f t="shared" si="40"/>
        <v>GC-04314</v>
      </c>
      <c r="F863" s="151">
        <f>+IF(AND(C863*1&gt;=200,E863="GC-04314"),IF(D863=0,MAX(F$2:F862)+1,0),0)</f>
        <v>730</v>
      </c>
      <c r="H863" s="151" t="s">
        <v>6738</v>
      </c>
      <c r="I863" s="151" t="s">
        <v>6962</v>
      </c>
      <c r="J863" s="151" t="s">
        <v>6962</v>
      </c>
      <c r="K863" s="151">
        <f t="shared" si="41"/>
        <v>0</v>
      </c>
      <c r="L863" s="151" t="s">
        <v>9020</v>
      </c>
    </row>
    <row r="864" spans="1:12" x14ac:dyDescent="0.25">
      <c r="A864" s="151" t="s">
        <v>2987</v>
      </c>
      <c r="B864" s="151" t="s">
        <v>2997</v>
      </c>
      <c r="C864" s="151" t="s">
        <v>3914</v>
      </c>
      <c r="D864" s="151">
        <f t="shared" si="39"/>
        <v>0</v>
      </c>
      <c r="E864" s="151" t="str">
        <f t="shared" si="40"/>
        <v>GC-04314</v>
      </c>
      <c r="F864" s="151">
        <f>+IF(AND(C864*1&gt;=200,E864="GC-04314"),IF(D864=0,MAX(F$2:F863)+1,0),0)</f>
        <v>731</v>
      </c>
      <c r="H864" s="151" t="s">
        <v>6739</v>
      </c>
      <c r="I864" s="151" t="s">
        <v>6962</v>
      </c>
      <c r="J864" s="151" t="s">
        <v>6962</v>
      </c>
      <c r="K864" s="151">
        <f t="shared" si="41"/>
        <v>0</v>
      </c>
      <c r="L864" s="151" t="s">
        <v>9020</v>
      </c>
    </row>
    <row r="865" spans="1:12" x14ac:dyDescent="0.25">
      <c r="A865" s="151" t="s">
        <v>2988</v>
      </c>
      <c r="B865" s="151" t="s">
        <v>2997</v>
      </c>
      <c r="C865" s="151" t="s">
        <v>3915</v>
      </c>
      <c r="D865" s="151">
        <f t="shared" si="39"/>
        <v>0</v>
      </c>
      <c r="E865" s="151" t="str">
        <f t="shared" si="40"/>
        <v>GC-04314</v>
      </c>
      <c r="F865" s="151">
        <f>+IF(AND(C865*1&gt;=200,E865="GC-04314"),IF(D865=0,MAX(F$2:F864)+1,0),0)</f>
        <v>732</v>
      </c>
      <c r="H865" s="151" t="s">
        <v>6740</v>
      </c>
      <c r="I865" s="151" t="s">
        <v>6962</v>
      </c>
      <c r="J865" s="151" t="s">
        <v>6962</v>
      </c>
      <c r="K865" s="151">
        <f t="shared" si="41"/>
        <v>0</v>
      </c>
      <c r="L865" s="151" t="s">
        <v>9020</v>
      </c>
    </row>
    <row r="866" spans="1:12" x14ac:dyDescent="0.25">
      <c r="A866" s="151" t="s">
        <v>2989</v>
      </c>
      <c r="B866" s="151" t="s">
        <v>2997</v>
      </c>
      <c r="C866" s="151" t="s">
        <v>3916</v>
      </c>
      <c r="D866" s="151">
        <f t="shared" si="39"/>
        <v>0</v>
      </c>
      <c r="E866" s="151" t="str">
        <f t="shared" si="40"/>
        <v>GC-04314</v>
      </c>
      <c r="F866" s="151">
        <f>+IF(AND(C866*1&gt;=200,E866="GC-04314"),IF(D866=0,MAX(F$2:F865)+1,0),0)</f>
        <v>733</v>
      </c>
      <c r="H866" s="151" t="s">
        <v>6741</v>
      </c>
      <c r="I866" s="151" t="s">
        <v>6962</v>
      </c>
      <c r="J866" s="151" t="s">
        <v>6962</v>
      </c>
      <c r="K866" s="151">
        <f t="shared" si="41"/>
        <v>0</v>
      </c>
      <c r="L866" s="151" t="s">
        <v>9020</v>
      </c>
    </row>
    <row r="867" spans="1:12" x14ac:dyDescent="0.25">
      <c r="A867" s="151" t="s">
        <v>2990</v>
      </c>
      <c r="B867" s="151" t="s">
        <v>2997</v>
      </c>
      <c r="C867" s="151" t="s">
        <v>3917</v>
      </c>
      <c r="D867" s="151">
        <f t="shared" si="39"/>
        <v>0</v>
      </c>
      <c r="E867" s="151" t="str">
        <f t="shared" si="40"/>
        <v>GC-04314</v>
      </c>
      <c r="F867" s="151">
        <f>+IF(AND(C867*1&gt;=200,E867="GC-04314"),IF(D867=0,MAX(F$2:F866)+1,0),0)</f>
        <v>734</v>
      </c>
      <c r="H867" s="151" t="s">
        <v>6742</v>
      </c>
      <c r="I867" s="151" t="s">
        <v>6962</v>
      </c>
      <c r="J867" s="151" t="s">
        <v>6962</v>
      </c>
      <c r="K867" s="151">
        <f t="shared" si="41"/>
        <v>0</v>
      </c>
      <c r="L867" s="151" t="s">
        <v>9020</v>
      </c>
    </row>
    <row r="868" spans="1:12" x14ac:dyDescent="0.25">
      <c r="A868" s="151" t="s">
        <v>2991</v>
      </c>
      <c r="B868" s="151" t="s">
        <v>2997</v>
      </c>
      <c r="C868" s="151" t="s">
        <v>3918</v>
      </c>
      <c r="D868" s="151">
        <f t="shared" si="39"/>
        <v>0</v>
      </c>
      <c r="E868" s="151" t="str">
        <f t="shared" si="40"/>
        <v>GC-04314</v>
      </c>
      <c r="F868" s="151">
        <f>+IF(AND(C868*1&gt;=200,E868="GC-04314"),IF(D868=0,MAX(F$2:F867)+1,0),0)</f>
        <v>735</v>
      </c>
      <c r="H868" s="151" t="s">
        <v>6743</v>
      </c>
      <c r="I868" s="151" t="s">
        <v>6962</v>
      </c>
      <c r="J868" s="151" t="s">
        <v>6962</v>
      </c>
      <c r="K868" s="151">
        <f t="shared" si="41"/>
        <v>0</v>
      </c>
      <c r="L868" s="151" t="s">
        <v>9020</v>
      </c>
    </row>
    <row r="869" spans="1:12" x14ac:dyDescent="0.25">
      <c r="A869" s="151" t="s">
        <v>2992</v>
      </c>
      <c r="B869" s="151" t="s">
        <v>2997</v>
      </c>
      <c r="C869" s="151" t="s">
        <v>3919</v>
      </c>
      <c r="D869" s="151">
        <f t="shared" si="39"/>
        <v>0</v>
      </c>
      <c r="E869" s="151" t="str">
        <f t="shared" si="40"/>
        <v>GC-04314</v>
      </c>
      <c r="F869" s="151">
        <f>+IF(AND(C869*1&gt;=200,E869="GC-04314"),IF(D869=0,MAX(F$2:F868)+1,0),0)</f>
        <v>736</v>
      </c>
      <c r="H869" s="151" t="s">
        <v>6744</v>
      </c>
      <c r="I869" s="151" t="s">
        <v>6962</v>
      </c>
      <c r="J869" s="151" t="s">
        <v>6962</v>
      </c>
      <c r="K869" s="151">
        <f t="shared" si="41"/>
        <v>0</v>
      </c>
      <c r="L869" s="151" t="s">
        <v>9020</v>
      </c>
    </row>
    <row r="870" spans="1:12" x14ac:dyDescent="0.25">
      <c r="A870" s="151" t="s">
        <v>2993</v>
      </c>
      <c r="B870" s="151" t="s">
        <v>2997</v>
      </c>
      <c r="C870" s="151" t="s">
        <v>3920</v>
      </c>
      <c r="D870" s="151">
        <f t="shared" si="39"/>
        <v>0</v>
      </c>
      <c r="E870" s="151" t="str">
        <f t="shared" si="40"/>
        <v>GC-04314</v>
      </c>
      <c r="F870" s="151">
        <f>+IF(AND(C870*1&gt;=200,E870="GC-04314"),IF(D870=0,MAX(F$2:F869)+1,0),0)</f>
        <v>737</v>
      </c>
      <c r="H870" s="151" t="s">
        <v>6745</v>
      </c>
      <c r="I870" s="151" t="s">
        <v>6962</v>
      </c>
      <c r="J870" s="151" t="s">
        <v>6962</v>
      </c>
      <c r="K870" s="151">
        <f t="shared" si="41"/>
        <v>0</v>
      </c>
      <c r="L870" s="151" t="s">
        <v>9020</v>
      </c>
    </row>
    <row r="871" spans="1:12" x14ac:dyDescent="0.25">
      <c r="A871" s="151" t="s">
        <v>2994</v>
      </c>
      <c r="B871" s="151" t="s">
        <v>2997</v>
      </c>
      <c r="C871" s="151" t="s">
        <v>3921</v>
      </c>
      <c r="D871" s="151">
        <f t="shared" si="39"/>
        <v>0</v>
      </c>
      <c r="E871" s="151" t="str">
        <f t="shared" si="40"/>
        <v>GC-04314</v>
      </c>
      <c r="F871" s="151">
        <f>+IF(AND(C871*1&gt;=200,E871="GC-04314"),IF(D871=0,MAX(F$2:F870)+1,0),0)</f>
        <v>738</v>
      </c>
      <c r="H871" s="151" t="s">
        <v>6746</v>
      </c>
      <c r="I871" s="151" t="s">
        <v>6962</v>
      </c>
      <c r="J871" s="151" t="s">
        <v>6962</v>
      </c>
      <c r="K871" s="151">
        <f t="shared" si="41"/>
        <v>0</v>
      </c>
      <c r="L871" s="151" t="s">
        <v>9020</v>
      </c>
    </row>
    <row r="872" spans="1:12" x14ac:dyDescent="0.25">
      <c r="A872" s="151" t="s">
        <v>2087</v>
      </c>
      <c r="B872" s="151" t="s">
        <v>2997</v>
      </c>
      <c r="C872" s="151" t="s">
        <v>3015</v>
      </c>
      <c r="D872" s="151">
        <f t="shared" si="39"/>
        <v>0</v>
      </c>
      <c r="E872" s="151" t="str">
        <f t="shared" si="40"/>
        <v>GC-04311</v>
      </c>
      <c r="F872" s="151">
        <f>+IF(AND(C872*1&gt;=200,E872="GC-04314"),IF(D872=0,MAX(F$2:F871)+1,0),0)</f>
        <v>0</v>
      </c>
      <c r="H872" s="151" t="s">
        <v>6747</v>
      </c>
      <c r="I872" s="151" t="s">
        <v>6962</v>
      </c>
      <c r="J872" s="151" t="s">
        <v>6962</v>
      </c>
      <c r="K872" s="151">
        <f t="shared" si="41"/>
        <v>0</v>
      </c>
      <c r="L872" s="151" t="s">
        <v>9020</v>
      </c>
    </row>
    <row r="873" spans="1:12" x14ac:dyDescent="0.25">
      <c r="A873" s="151" t="s">
        <v>2125</v>
      </c>
      <c r="B873" s="151" t="s">
        <v>2997</v>
      </c>
      <c r="C873" s="151" t="s">
        <v>3053</v>
      </c>
      <c r="D873" s="151">
        <f t="shared" si="39"/>
        <v>650000000000042</v>
      </c>
      <c r="E873" s="151" t="str">
        <f t="shared" si="40"/>
        <v/>
      </c>
      <c r="F873" s="151">
        <f>+IF(AND(C873*1&gt;=200,E873="GC-04314"),IF(D873=0,MAX(F$2:F872)+1,0),0)</f>
        <v>0</v>
      </c>
      <c r="H873" s="151" t="s">
        <v>6748</v>
      </c>
      <c r="I873" s="151" t="s">
        <v>6962</v>
      </c>
      <c r="J873" s="151" t="s">
        <v>6962</v>
      </c>
      <c r="K873" s="151">
        <f t="shared" si="41"/>
        <v>0</v>
      </c>
      <c r="L873" s="151" t="s">
        <v>9020</v>
      </c>
    </row>
    <row r="874" spans="1:12" x14ac:dyDescent="0.25">
      <c r="A874" s="151" t="s">
        <v>2104</v>
      </c>
      <c r="B874" s="151" t="s">
        <v>2997</v>
      </c>
      <c r="C874" s="151" t="s">
        <v>3032</v>
      </c>
      <c r="D874" s="151">
        <f t="shared" si="39"/>
        <v>0</v>
      </c>
      <c r="E874" s="151" t="str">
        <f t="shared" si="40"/>
        <v>GC-04311</v>
      </c>
      <c r="F874" s="151">
        <f>+IF(AND(C874*1&gt;=200,E874="GC-04314"),IF(D874=0,MAX(F$2:F873)+1,0),0)</f>
        <v>0</v>
      </c>
      <c r="H874" s="151" t="s">
        <v>6749</v>
      </c>
      <c r="I874" s="151" t="s">
        <v>6962</v>
      </c>
      <c r="J874" s="151" t="s">
        <v>6962</v>
      </c>
      <c r="K874" s="151">
        <f t="shared" si="41"/>
        <v>0</v>
      </c>
      <c r="L874" s="151" t="s">
        <v>9020</v>
      </c>
    </row>
    <row r="875" spans="1:12" x14ac:dyDescent="0.25">
      <c r="A875" s="151" t="s">
        <v>2088</v>
      </c>
      <c r="B875" s="151" t="s">
        <v>2997</v>
      </c>
      <c r="C875" s="151" t="s">
        <v>3016</v>
      </c>
      <c r="D875" s="151">
        <f t="shared" si="39"/>
        <v>650000000000168</v>
      </c>
      <c r="E875" s="151" t="str">
        <f t="shared" si="40"/>
        <v/>
      </c>
      <c r="F875" s="151">
        <f>+IF(AND(C875*1&gt;=200,E875="GC-04314"),IF(D875=0,MAX(F$2:F874)+1,0),0)</f>
        <v>0</v>
      </c>
      <c r="H875" s="151" t="s">
        <v>6750</v>
      </c>
      <c r="I875" s="151" t="s">
        <v>6962</v>
      </c>
      <c r="J875" s="151" t="s">
        <v>6962</v>
      </c>
      <c r="K875" s="151">
        <f t="shared" si="41"/>
        <v>0</v>
      </c>
      <c r="L875" s="151" t="s">
        <v>9020</v>
      </c>
    </row>
    <row r="876" spans="1:12" x14ac:dyDescent="0.25">
      <c r="A876" s="151" t="s">
        <v>2113</v>
      </c>
      <c r="B876" s="151" t="s">
        <v>2997</v>
      </c>
      <c r="C876" s="151" t="s">
        <v>3041</v>
      </c>
      <c r="D876" s="151">
        <f t="shared" si="39"/>
        <v>0</v>
      </c>
      <c r="E876" s="151" t="str">
        <f t="shared" si="40"/>
        <v>GC-04311</v>
      </c>
      <c r="F876" s="151">
        <f>+IF(AND(C876*1&gt;=200,E876="GC-04314"),IF(D876=0,MAX(F$2:F875)+1,0),0)</f>
        <v>0</v>
      </c>
      <c r="H876" s="151" t="s">
        <v>6751</v>
      </c>
      <c r="I876" s="151" t="s">
        <v>6962</v>
      </c>
      <c r="J876" s="151" t="s">
        <v>6962</v>
      </c>
      <c r="K876" s="151">
        <f t="shared" si="41"/>
        <v>0</v>
      </c>
      <c r="L876" s="151" t="s">
        <v>9020</v>
      </c>
    </row>
    <row r="877" spans="1:12" x14ac:dyDescent="0.25">
      <c r="A877" s="151" t="s">
        <v>2114</v>
      </c>
      <c r="B877" s="151" t="s">
        <v>2997</v>
      </c>
      <c r="C877" s="151" t="s">
        <v>3042</v>
      </c>
      <c r="D877" s="151">
        <f t="shared" si="39"/>
        <v>650000000000048</v>
      </c>
      <c r="E877" s="151" t="str">
        <f t="shared" si="40"/>
        <v/>
      </c>
      <c r="F877" s="151">
        <f>+IF(AND(C877*1&gt;=200,E877="GC-04314"),IF(D877=0,MAX(F$2:F876)+1,0),0)</f>
        <v>0</v>
      </c>
      <c r="H877" s="151" t="s">
        <v>6752</v>
      </c>
      <c r="I877" s="151" t="s">
        <v>6962</v>
      </c>
      <c r="J877" s="151" t="s">
        <v>6962</v>
      </c>
      <c r="K877" s="151">
        <f t="shared" si="41"/>
        <v>0</v>
      </c>
      <c r="L877" s="151" t="s">
        <v>9020</v>
      </c>
    </row>
    <row r="878" spans="1:12" x14ac:dyDescent="0.25">
      <c r="A878" s="151" t="s">
        <v>2126</v>
      </c>
      <c r="B878" s="151" t="s">
        <v>2997</v>
      </c>
      <c r="C878" s="151" t="s">
        <v>3054</v>
      </c>
      <c r="D878" s="151">
        <f t="shared" si="39"/>
        <v>650000000000022</v>
      </c>
      <c r="E878" s="151" t="str">
        <f t="shared" si="40"/>
        <v/>
      </c>
      <c r="F878" s="151">
        <f>+IF(AND(C878*1&gt;=200,E878="GC-04314"),IF(D878=0,MAX(F$2:F877)+1,0),0)</f>
        <v>0</v>
      </c>
      <c r="H878" s="151" t="s">
        <v>6753</v>
      </c>
      <c r="I878" s="151" t="s">
        <v>6962</v>
      </c>
      <c r="J878" s="151" t="s">
        <v>6962</v>
      </c>
      <c r="K878" s="151">
        <f t="shared" si="41"/>
        <v>0</v>
      </c>
      <c r="L878" s="151" t="s">
        <v>9020</v>
      </c>
    </row>
    <row r="879" spans="1:12" x14ac:dyDescent="0.25">
      <c r="A879" s="151" t="s">
        <v>2089</v>
      </c>
      <c r="B879" s="151" t="s">
        <v>2997</v>
      </c>
      <c r="C879" s="151" t="s">
        <v>3017</v>
      </c>
      <c r="D879" s="151">
        <f t="shared" si="39"/>
        <v>650000000000043</v>
      </c>
      <c r="E879" s="151" t="str">
        <f t="shared" si="40"/>
        <v/>
      </c>
      <c r="F879" s="151">
        <f>+IF(AND(C879*1&gt;=200,E879="GC-04314"),IF(D879=0,MAX(F$2:F878)+1,0),0)</f>
        <v>0</v>
      </c>
      <c r="H879" s="151" t="s">
        <v>6754</v>
      </c>
      <c r="I879" s="151" t="s">
        <v>6962</v>
      </c>
      <c r="J879" s="151" t="s">
        <v>6962</v>
      </c>
      <c r="K879" s="151">
        <f t="shared" si="41"/>
        <v>0</v>
      </c>
      <c r="L879" s="151" t="s">
        <v>9020</v>
      </c>
    </row>
    <row r="880" spans="1:12" x14ac:dyDescent="0.25">
      <c r="A880" s="151" t="s">
        <v>2127</v>
      </c>
      <c r="B880" s="151" t="s">
        <v>2997</v>
      </c>
      <c r="C880" s="151" t="s">
        <v>3055</v>
      </c>
      <c r="D880" s="151">
        <f t="shared" si="39"/>
        <v>650000000000035</v>
      </c>
      <c r="E880" s="151" t="str">
        <f t="shared" si="40"/>
        <v/>
      </c>
      <c r="F880" s="151">
        <f>+IF(AND(C880*1&gt;=200,E880="GC-04314"),IF(D880=0,MAX(F$2:F879)+1,0),0)</f>
        <v>0</v>
      </c>
      <c r="H880" s="151" t="s">
        <v>6755</v>
      </c>
      <c r="I880" s="151" t="s">
        <v>6962</v>
      </c>
      <c r="J880" s="151" t="s">
        <v>6962</v>
      </c>
      <c r="K880" s="151">
        <f t="shared" si="41"/>
        <v>0</v>
      </c>
      <c r="L880" s="151" t="s">
        <v>9020</v>
      </c>
    </row>
    <row r="881" spans="1:12" x14ac:dyDescent="0.25">
      <c r="A881" s="151" t="s">
        <v>2128</v>
      </c>
      <c r="B881" s="151" t="s">
        <v>2997</v>
      </c>
      <c r="C881" s="151" t="s">
        <v>3056</v>
      </c>
      <c r="D881" s="151">
        <f t="shared" si="39"/>
        <v>650000000000030</v>
      </c>
      <c r="E881" s="151" t="str">
        <f t="shared" si="40"/>
        <v/>
      </c>
      <c r="F881" s="151">
        <f>+IF(AND(C881*1&gt;=200,E881="GC-04314"),IF(D881=0,MAX(F$2:F880)+1,0),0)</f>
        <v>0</v>
      </c>
      <c r="H881" s="151" t="s">
        <v>6756</v>
      </c>
      <c r="I881" s="151" t="s">
        <v>6962</v>
      </c>
      <c r="J881" s="151" t="s">
        <v>6962</v>
      </c>
      <c r="K881" s="151">
        <f t="shared" si="41"/>
        <v>0</v>
      </c>
      <c r="L881" s="151" t="s">
        <v>9020</v>
      </c>
    </row>
    <row r="882" spans="1:12" x14ac:dyDescent="0.25">
      <c r="A882" s="151" t="s">
        <v>2115</v>
      </c>
      <c r="B882" s="151" t="s">
        <v>2997</v>
      </c>
      <c r="C882" s="151" t="s">
        <v>3043</v>
      </c>
      <c r="D882" s="151">
        <f t="shared" si="39"/>
        <v>0</v>
      </c>
      <c r="E882" s="151" t="str">
        <f t="shared" si="40"/>
        <v>GC-04311</v>
      </c>
      <c r="F882" s="151">
        <f>+IF(AND(C882*1&gt;=200,E882="GC-04314"),IF(D882=0,MAX(F$2:F881)+1,0),0)</f>
        <v>0</v>
      </c>
      <c r="H882" s="151" t="s">
        <v>6757</v>
      </c>
      <c r="I882" s="151" t="s">
        <v>6962</v>
      </c>
      <c r="J882" s="151" t="s">
        <v>6962</v>
      </c>
      <c r="K882" s="151">
        <f t="shared" si="41"/>
        <v>0</v>
      </c>
      <c r="L882" s="151" t="s">
        <v>9020</v>
      </c>
    </row>
    <row r="883" spans="1:12" x14ac:dyDescent="0.25">
      <c r="A883" s="151" t="s">
        <v>2116</v>
      </c>
      <c r="B883" s="151" t="s">
        <v>2997</v>
      </c>
      <c r="C883" s="151" t="s">
        <v>3044</v>
      </c>
      <c r="D883" s="151">
        <f t="shared" si="39"/>
        <v>0</v>
      </c>
      <c r="E883" s="151" t="str">
        <f t="shared" si="40"/>
        <v>GC-04311</v>
      </c>
      <c r="F883" s="151">
        <f>+IF(AND(C883*1&gt;=200,E883="GC-04314"),IF(D883=0,MAX(F$2:F882)+1,0),0)</f>
        <v>0</v>
      </c>
      <c r="H883" s="151" t="s">
        <v>6758</v>
      </c>
      <c r="I883" s="151" t="s">
        <v>6962</v>
      </c>
      <c r="J883" s="151" t="s">
        <v>6962</v>
      </c>
      <c r="K883" s="151">
        <f t="shared" si="41"/>
        <v>0</v>
      </c>
      <c r="L883" s="151" t="s">
        <v>9020</v>
      </c>
    </row>
    <row r="884" spans="1:12" x14ac:dyDescent="0.25">
      <c r="A884" s="151" t="s">
        <v>2129</v>
      </c>
      <c r="B884" s="151" t="s">
        <v>2997</v>
      </c>
      <c r="C884" s="151" t="s">
        <v>3057</v>
      </c>
      <c r="D884" s="151">
        <f t="shared" si="39"/>
        <v>650000000000029</v>
      </c>
      <c r="E884" s="151" t="str">
        <f t="shared" si="40"/>
        <v/>
      </c>
      <c r="F884" s="151">
        <f>+IF(AND(C884*1&gt;=200,E884="GC-04314"),IF(D884=0,MAX(F$2:F883)+1,0),0)</f>
        <v>0</v>
      </c>
      <c r="H884" s="151" t="s">
        <v>6759</v>
      </c>
      <c r="I884" s="151" t="s">
        <v>6962</v>
      </c>
      <c r="J884" s="151" t="s">
        <v>6962</v>
      </c>
      <c r="K884" s="151">
        <f t="shared" si="41"/>
        <v>0</v>
      </c>
      <c r="L884" s="151" t="s">
        <v>9020</v>
      </c>
    </row>
    <row r="885" spans="1:12" x14ac:dyDescent="0.25">
      <c r="A885" s="151" t="s">
        <v>2105</v>
      </c>
      <c r="B885" s="151" t="s">
        <v>2997</v>
      </c>
      <c r="C885" s="151" t="s">
        <v>3033</v>
      </c>
      <c r="D885" s="151">
        <f t="shared" si="39"/>
        <v>0</v>
      </c>
      <c r="E885" s="151" t="str">
        <f t="shared" si="40"/>
        <v>GC-04311</v>
      </c>
      <c r="F885" s="151">
        <f>+IF(AND(C885*1&gt;=200,E885="GC-04314"),IF(D885=0,MAX(F$2:F884)+1,0),0)</f>
        <v>0</v>
      </c>
      <c r="H885" s="151" t="s">
        <v>6760</v>
      </c>
      <c r="I885" s="151" t="s">
        <v>6962</v>
      </c>
      <c r="J885" s="151" t="s">
        <v>6962</v>
      </c>
      <c r="K885" s="151">
        <f t="shared" si="41"/>
        <v>0</v>
      </c>
      <c r="L885" s="151" t="s">
        <v>9020</v>
      </c>
    </row>
    <row r="886" spans="1:12" x14ac:dyDescent="0.25">
      <c r="A886" s="151" t="s">
        <v>2090</v>
      </c>
      <c r="B886" s="151" t="s">
        <v>2997</v>
      </c>
      <c r="C886" s="151" t="s">
        <v>3018</v>
      </c>
      <c r="D886" s="151">
        <f t="shared" si="39"/>
        <v>650000000000155</v>
      </c>
      <c r="E886" s="151" t="str">
        <f t="shared" si="40"/>
        <v/>
      </c>
      <c r="F886" s="151">
        <f>+IF(AND(C886*1&gt;=200,E886="GC-04314"),IF(D886=0,MAX(F$2:F885)+1,0),0)</f>
        <v>0</v>
      </c>
      <c r="H886" s="151" t="s">
        <v>6761</v>
      </c>
      <c r="I886" s="151" t="s">
        <v>6962</v>
      </c>
      <c r="J886" s="151" t="s">
        <v>6962</v>
      </c>
      <c r="K886" s="151">
        <f t="shared" si="41"/>
        <v>0</v>
      </c>
      <c r="L886" s="151" t="s">
        <v>9020</v>
      </c>
    </row>
    <row r="887" spans="1:12" x14ac:dyDescent="0.25">
      <c r="A887" s="151" t="s">
        <v>2091</v>
      </c>
      <c r="B887" s="151" t="s">
        <v>2997</v>
      </c>
      <c r="C887" s="151" t="s">
        <v>3019</v>
      </c>
      <c r="D887" s="151">
        <f t="shared" si="39"/>
        <v>0</v>
      </c>
      <c r="E887" s="151" t="str">
        <f t="shared" si="40"/>
        <v>GC-04311</v>
      </c>
      <c r="F887" s="151">
        <f>+IF(AND(C887*1&gt;=200,E887="GC-04314"),IF(D887=0,MAX(F$2:F886)+1,0),0)</f>
        <v>0</v>
      </c>
      <c r="H887" s="151" t="s">
        <v>6762</v>
      </c>
      <c r="I887" s="151" t="s">
        <v>6962</v>
      </c>
      <c r="J887" s="151" t="s">
        <v>6962</v>
      </c>
      <c r="K887" s="151">
        <f t="shared" si="41"/>
        <v>0</v>
      </c>
      <c r="L887" s="151" t="s">
        <v>9020</v>
      </c>
    </row>
    <row r="888" spans="1:12" x14ac:dyDescent="0.25">
      <c r="A888" s="151" t="s">
        <v>2130</v>
      </c>
      <c r="B888" s="151" t="s">
        <v>2997</v>
      </c>
      <c r="C888" s="151" t="s">
        <v>3058</v>
      </c>
      <c r="D888" s="151">
        <f t="shared" si="39"/>
        <v>650000000000033</v>
      </c>
      <c r="E888" s="151" t="str">
        <f t="shared" si="40"/>
        <v/>
      </c>
      <c r="F888" s="151">
        <f>+IF(AND(C888*1&gt;=200,E888="GC-04314"),IF(D888=0,MAX(F$2:F887)+1,0),0)</f>
        <v>0</v>
      </c>
      <c r="H888" s="151" t="s">
        <v>6763</v>
      </c>
      <c r="I888" s="151" t="s">
        <v>6962</v>
      </c>
      <c r="J888" s="151" t="s">
        <v>6962</v>
      </c>
      <c r="K888" s="151">
        <f t="shared" si="41"/>
        <v>0</v>
      </c>
      <c r="L888" s="151" t="s">
        <v>9020</v>
      </c>
    </row>
    <row r="889" spans="1:12" x14ac:dyDescent="0.25">
      <c r="A889" s="151" t="s">
        <v>2092</v>
      </c>
      <c r="B889" s="151" t="s">
        <v>2997</v>
      </c>
      <c r="C889" s="151" t="s">
        <v>3020</v>
      </c>
      <c r="D889" s="151">
        <f t="shared" si="39"/>
        <v>650000000000065</v>
      </c>
      <c r="E889" s="151" t="str">
        <f t="shared" si="40"/>
        <v/>
      </c>
      <c r="F889" s="151">
        <f>+IF(AND(C889*1&gt;=200,E889="GC-04314"),IF(D889=0,MAX(F$2:F888)+1,0),0)</f>
        <v>0</v>
      </c>
      <c r="H889" s="151" t="s">
        <v>6764</v>
      </c>
      <c r="I889" s="151" t="s">
        <v>6962</v>
      </c>
      <c r="J889" s="151" t="s">
        <v>6962</v>
      </c>
      <c r="K889" s="151">
        <f t="shared" si="41"/>
        <v>0</v>
      </c>
      <c r="L889" s="151" t="s">
        <v>9020</v>
      </c>
    </row>
    <row r="890" spans="1:12" x14ac:dyDescent="0.25">
      <c r="A890" s="151" t="s">
        <v>2117</v>
      </c>
      <c r="B890" s="151" t="s">
        <v>2997</v>
      </c>
      <c r="C890" s="151" t="s">
        <v>3045</v>
      </c>
      <c r="D890" s="151">
        <f t="shared" si="39"/>
        <v>0</v>
      </c>
      <c r="E890" s="151" t="str">
        <f t="shared" si="40"/>
        <v>GC-04311</v>
      </c>
      <c r="F890" s="151">
        <f>+IF(AND(C890*1&gt;=200,E890="GC-04314"),IF(D890=0,MAX(F$2:F889)+1,0),0)</f>
        <v>0</v>
      </c>
      <c r="H890" s="151" t="s">
        <v>6765</v>
      </c>
      <c r="I890" s="151" t="s">
        <v>6962</v>
      </c>
      <c r="J890" s="151" t="s">
        <v>6962</v>
      </c>
      <c r="K890" s="151">
        <f t="shared" si="41"/>
        <v>0</v>
      </c>
      <c r="L890" s="151" t="s">
        <v>9020</v>
      </c>
    </row>
    <row r="891" spans="1:12" x14ac:dyDescent="0.25">
      <c r="A891" s="151" t="s">
        <v>2093</v>
      </c>
      <c r="B891" s="151" t="s">
        <v>2997</v>
      </c>
      <c r="C891" s="151" t="s">
        <v>3021</v>
      </c>
      <c r="D891" s="151">
        <f t="shared" si="39"/>
        <v>650000000000157</v>
      </c>
      <c r="E891" s="151" t="str">
        <f t="shared" si="40"/>
        <v/>
      </c>
      <c r="F891" s="151">
        <f>+IF(AND(C891*1&gt;=200,E891="GC-04314"),IF(D891=0,MAX(F$2:F890)+1,0),0)</f>
        <v>0</v>
      </c>
      <c r="H891" s="151" t="s">
        <v>6766</v>
      </c>
      <c r="I891" s="151" t="s">
        <v>6962</v>
      </c>
      <c r="J891" s="151" t="s">
        <v>6962</v>
      </c>
      <c r="K891" s="151">
        <f t="shared" si="41"/>
        <v>0</v>
      </c>
      <c r="L891" s="151" t="s">
        <v>9020</v>
      </c>
    </row>
    <row r="892" spans="1:12" x14ac:dyDescent="0.25">
      <c r="A892" s="151" t="s">
        <v>2118</v>
      </c>
      <c r="B892" s="151" t="s">
        <v>2997</v>
      </c>
      <c r="C892" s="151" t="s">
        <v>3046</v>
      </c>
      <c r="D892" s="151">
        <f t="shared" si="39"/>
        <v>0</v>
      </c>
      <c r="E892" s="151" t="str">
        <f t="shared" si="40"/>
        <v>GC-04311</v>
      </c>
      <c r="F892" s="151">
        <f>+IF(AND(C892*1&gt;=200,E892="GC-04314"),IF(D892=0,MAX(F$2:F891)+1,0),0)</f>
        <v>0</v>
      </c>
      <c r="H892" s="151" t="s">
        <v>6767</v>
      </c>
      <c r="I892" s="151" t="s">
        <v>6962</v>
      </c>
      <c r="J892" s="151" t="s">
        <v>6962</v>
      </c>
      <c r="K892" s="151">
        <f t="shared" si="41"/>
        <v>0</v>
      </c>
      <c r="L892" s="151" t="s">
        <v>9020</v>
      </c>
    </row>
    <row r="893" spans="1:12" x14ac:dyDescent="0.25">
      <c r="A893" s="151" t="s">
        <v>2094</v>
      </c>
      <c r="B893" s="151" t="s">
        <v>2997</v>
      </c>
      <c r="C893" s="151" t="s">
        <v>3022</v>
      </c>
      <c r="D893" s="151">
        <f t="shared" si="39"/>
        <v>650000000000154</v>
      </c>
      <c r="E893" s="151" t="str">
        <f t="shared" si="40"/>
        <v/>
      </c>
      <c r="F893" s="151">
        <f>+IF(AND(C893*1&gt;=200,E893="GC-04314"),IF(D893=0,MAX(F$2:F892)+1,0),0)</f>
        <v>0</v>
      </c>
      <c r="H893" s="151" t="s">
        <v>6768</v>
      </c>
      <c r="I893" s="151" t="s">
        <v>6962</v>
      </c>
      <c r="J893" s="151" t="s">
        <v>6962</v>
      </c>
      <c r="K893" s="151">
        <f t="shared" si="41"/>
        <v>0</v>
      </c>
      <c r="L893" s="151" t="s">
        <v>9020</v>
      </c>
    </row>
    <row r="894" spans="1:12" x14ac:dyDescent="0.25">
      <c r="A894" s="151" t="s">
        <v>2106</v>
      </c>
      <c r="B894" s="151" t="s">
        <v>2997</v>
      </c>
      <c r="C894" s="151" t="s">
        <v>3034</v>
      </c>
      <c r="D894" s="151">
        <f t="shared" si="39"/>
        <v>0</v>
      </c>
      <c r="E894" s="151" t="str">
        <f t="shared" si="40"/>
        <v>GC-04311</v>
      </c>
      <c r="F894" s="151">
        <f>+IF(AND(C894*1&gt;=200,E894="GC-04314"),IF(D894=0,MAX(F$2:F893)+1,0),0)</f>
        <v>0</v>
      </c>
      <c r="H894" s="151" t="s">
        <v>6769</v>
      </c>
      <c r="I894" s="151" t="s">
        <v>6962</v>
      </c>
      <c r="J894" s="151" t="s">
        <v>6962</v>
      </c>
      <c r="K894" s="151">
        <f t="shared" si="41"/>
        <v>0</v>
      </c>
      <c r="L894" s="151" t="s">
        <v>9020</v>
      </c>
    </row>
    <row r="895" spans="1:12" x14ac:dyDescent="0.25">
      <c r="A895" s="151" t="s">
        <v>2080</v>
      </c>
      <c r="B895" s="151" t="s">
        <v>2997</v>
      </c>
      <c r="C895" s="151" t="s">
        <v>3008</v>
      </c>
      <c r="D895" s="151">
        <f t="shared" si="39"/>
        <v>650000000000057</v>
      </c>
      <c r="E895" s="151" t="str">
        <f t="shared" si="40"/>
        <v/>
      </c>
      <c r="F895" s="151">
        <f>+IF(AND(C895*1&gt;=200,E895="GC-04314"),IF(D895=0,MAX(F$2:F894)+1,0),0)</f>
        <v>0</v>
      </c>
      <c r="H895" s="151" t="s">
        <v>6770</v>
      </c>
      <c r="I895" s="151" t="s">
        <v>6962</v>
      </c>
      <c r="J895" s="151" t="s">
        <v>6962</v>
      </c>
      <c r="K895" s="151">
        <f t="shared" si="41"/>
        <v>0</v>
      </c>
      <c r="L895" s="151" t="s">
        <v>9020</v>
      </c>
    </row>
    <row r="896" spans="1:12" x14ac:dyDescent="0.25">
      <c r="A896" s="151" t="s">
        <v>2142</v>
      </c>
      <c r="B896" s="151" t="s">
        <v>2997</v>
      </c>
      <c r="C896" s="151" t="s">
        <v>3070</v>
      </c>
      <c r="D896" s="151">
        <f t="shared" si="39"/>
        <v>650000000000027</v>
      </c>
      <c r="E896" s="151" t="str">
        <f t="shared" si="40"/>
        <v/>
      </c>
      <c r="F896" s="151">
        <f>+IF(AND(C896*1&gt;=200,E896="GC-04314"),IF(D896=0,MAX(F$2:F895)+1,0),0)</f>
        <v>0</v>
      </c>
      <c r="H896" s="151" t="s">
        <v>6771</v>
      </c>
      <c r="I896" s="151" t="s">
        <v>6962</v>
      </c>
      <c r="J896" s="151" t="s">
        <v>6962</v>
      </c>
      <c r="K896" s="151">
        <f t="shared" si="41"/>
        <v>0</v>
      </c>
      <c r="L896" s="151" t="s">
        <v>9020</v>
      </c>
    </row>
    <row r="897" spans="1:12" x14ac:dyDescent="0.25">
      <c r="A897" s="151" t="s">
        <v>2131</v>
      </c>
      <c r="B897" s="151" t="s">
        <v>2997</v>
      </c>
      <c r="C897" s="151" t="s">
        <v>3059</v>
      </c>
      <c r="D897" s="151">
        <f t="shared" si="39"/>
        <v>650000000000034</v>
      </c>
      <c r="E897" s="151" t="str">
        <f t="shared" si="40"/>
        <v/>
      </c>
      <c r="F897" s="151">
        <f>+IF(AND(C897*1&gt;=200,E897="GC-04314"),IF(D897=0,MAX(F$2:F896)+1,0),0)</f>
        <v>0</v>
      </c>
      <c r="H897" s="151" t="s">
        <v>6772</v>
      </c>
      <c r="I897" s="151" t="s">
        <v>6962</v>
      </c>
      <c r="J897" s="151" t="s">
        <v>6962</v>
      </c>
      <c r="K897" s="151">
        <f t="shared" si="41"/>
        <v>0</v>
      </c>
      <c r="L897" s="151" t="s">
        <v>9020</v>
      </c>
    </row>
    <row r="898" spans="1:12" x14ac:dyDescent="0.25">
      <c r="A898" s="151" t="s">
        <v>2081</v>
      </c>
      <c r="B898" s="151" t="s">
        <v>2997</v>
      </c>
      <c r="C898" s="151" t="s">
        <v>3009</v>
      </c>
      <c r="D898" s="151">
        <f t="shared" ref="D898:D926" si="42">+SUMIFS(K:K,H:H,A898)</f>
        <v>650000000000020</v>
      </c>
      <c r="E898" s="151" t="str">
        <f t="shared" ref="E898:E926" si="43">+IF(D898=0,VLOOKUP(A898,$H:$L,5,FALSE),"")</f>
        <v/>
      </c>
      <c r="F898" s="151">
        <f>+IF(AND(C898*1&gt;=200,E898="GC-04314"),IF(D898=0,MAX(F$2:F897)+1,0),0)</f>
        <v>0</v>
      </c>
      <c r="H898" s="151" t="s">
        <v>6773</v>
      </c>
      <c r="I898" s="151" t="s">
        <v>6962</v>
      </c>
      <c r="J898" s="151" t="s">
        <v>6962</v>
      </c>
      <c r="K898" s="151">
        <f t="shared" si="41"/>
        <v>0</v>
      </c>
      <c r="L898" s="151" t="s">
        <v>9020</v>
      </c>
    </row>
    <row r="899" spans="1:12" x14ac:dyDescent="0.25">
      <c r="A899" s="151" t="s">
        <v>2132</v>
      </c>
      <c r="B899" s="151" t="s">
        <v>2997</v>
      </c>
      <c r="C899" s="151" t="s">
        <v>3060</v>
      </c>
      <c r="D899" s="151">
        <f t="shared" si="42"/>
        <v>650000000000032</v>
      </c>
      <c r="E899" s="151" t="str">
        <f t="shared" si="43"/>
        <v/>
      </c>
      <c r="F899" s="151">
        <f>+IF(AND(C899*1&gt;=200,E899="GC-04314"),IF(D899=0,MAX(F$2:F898)+1,0),0)</f>
        <v>0</v>
      </c>
      <c r="H899" s="151" t="s">
        <v>6774</v>
      </c>
      <c r="I899" s="151" t="s">
        <v>6962</v>
      </c>
      <c r="J899" s="151" t="s">
        <v>6962</v>
      </c>
      <c r="K899" s="151">
        <f t="shared" ref="K899:K962" si="44">+IFERROR(J899*1,0)</f>
        <v>0</v>
      </c>
      <c r="L899" s="151" t="s">
        <v>9020</v>
      </c>
    </row>
    <row r="900" spans="1:12" x14ac:dyDescent="0.25">
      <c r="A900" s="151" t="s">
        <v>2107</v>
      </c>
      <c r="B900" s="151" t="s">
        <v>2997</v>
      </c>
      <c r="C900" s="151" t="s">
        <v>3035</v>
      </c>
      <c r="D900" s="151">
        <f t="shared" si="42"/>
        <v>0</v>
      </c>
      <c r="E900" s="151" t="str">
        <f t="shared" si="43"/>
        <v>GC-04311</v>
      </c>
      <c r="F900" s="151">
        <f>+IF(AND(C900*1&gt;=200,E900="GC-04314"),IF(D900=0,MAX(F$2:F899)+1,0),0)</f>
        <v>0</v>
      </c>
      <c r="H900" s="151" t="s">
        <v>6775</v>
      </c>
      <c r="I900" s="151" t="s">
        <v>6962</v>
      </c>
      <c r="J900" s="151" t="s">
        <v>6962</v>
      </c>
      <c r="K900" s="151">
        <f t="shared" si="44"/>
        <v>0</v>
      </c>
      <c r="L900" s="151" t="s">
        <v>9020</v>
      </c>
    </row>
    <row r="901" spans="1:12" x14ac:dyDescent="0.25">
      <c r="A901" s="151" t="s">
        <v>2133</v>
      </c>
      <c r="B901" s="151" t="s">
        <v>2997</v>
      </c>
      <c r="C901" s="151" t="s">
        <v>3061</v>
      </c>
      <c r="D901" s="151">
        <f t="shared" si="42"/>
        <v>650000000000028</v>
      </c>
      <c r="E901" s="151" t="str">
        <f t="shared" si="43"/>
        <v/>
      </c>
      <c r="F901" s="151">
        <f>+IF(AND(C901*1&gt;=200,E901="GC-04314"),IF(D901=0,MAX(F$2:F900)+1,0),0)</f>
        <v>0</v>
      </c>
      <c r="H901" s="151" t="s">
        <v>6776</v>
      </c>
      <c r="I901" s="151" t="s">
        <v>6962</v>
      </c>
      <c r="J901" s="151" t="s">
        <v>6962</v>
      </c>
      <c r="K901" s="151">
        <f t="shared" si="44"/>
        <v>0</v>
      </c>
      <c r="L901" s="151" t="s">
        <v>9020</v>
      </c>
    </row>
    <row r="902" spans="1:12" x14ac:dyDescent="0.25">
      <c r="A902" s="151" t="s">
        <v>2095</v>
      </c>
      <c r="B902" s="151" t="s">
        <v>2997</v>
      </c>
      <c r="C902" s="151" t="s">
        <v>3023</v>
      </c>
      <c r="D902" s="151">
        <f t="shared" si="42"/>
        <v>650000000000164</v>
      </c>
      <c r="E902" s="151" t="str">
        <f t="shared" si="43"/>
        <v/>
      </c>
      <c r="F902" s="151">
        <f>+IF(AND(C902*1&gt;=200,E902="GC-04314"),IF(D902=0,MAX(F$2:F901)+1,0),0)</f>
        <v>0</v>
      </c>
      <c r="H902" s="151" t="s">
        <v>6777</v>
      </c>
      <c r="I902" s="151" t="s">
        <v>6962</v>
      </c>
      <c r="J902" s="151" t="s">
        <v>6962</v>
      </c>
      <c r="K902" s="151">
        <f t="shared" si="44"/>
        <v>0</v>
      </c>
      <c r="L902" s="151" t="s">
        <v>9020</v>
      </c>
    </row>
    <row r="903" spans="1:12" x14ac:dyDescent="0.25">
      <c r="A903" s="151" t="s">
        <v>2096</v>
      </c>
      <c r="B903" s="151" t="s">
        <v>2997</v>
      </c>
      <c r="C903" s="151" t="s">
        <v>3024</v>
      </c>
      <c r="D903" s="151">
        <f t="shared" si="42"/>
        <v>0</v>
      </c>
      <c r="E903" s="151" t="str">
        <f t="shared" si="43"/>
        <v>GC-04311</v>
      </c>
      <c r="F903" s="151">
        <f>+IF(AND(C903*1&gt;=200,E903="GC-04314"),IF(D903=0,MAX(F$2:F902)+1,0),0)</f>
        <v>0</v>
      </c>
      <c r="H903" s="151" t="s">
        <v>6778</v>
      </c>
      <c r="I903" s="151" t="s">
        <v>6962</v>
      </c>
      <c r="J903" s="151" t="s">
        <v>6962</v>
      </c>
      <c r="K903" s="151">
        <f t="shared" si="44"/>
        <v>0</v>
      </c>
      <c r="L903" s="151" t="s">
        <v>9020</v>
      </c>
    </row>
    <row r="904" spans="1:12" x14ac:dyDescent="0.25">
      <c r="A904" s="151" t="s">
        <v>2119</v>
      </c>
      <c r="B904" s="151" t="s">
        <v>2997</v>
      </c>
      <c r="C904" s="151" t="s">
        <v>3047</v>
      </c>
      <c r="D904" s="151">
        <f t="shared" si="42"/>
        <v>650000000000047</v>
      </c>
      <c r="E904" s="151" t="str">
        <f t="shared" si="43"/>
        <v/>
      </c>
      <c r="F904" s="151">
        <f>+IF(AND(C904*1&gt;=200,E904="GC-04314"),IF(D904=0,MAX(F$2:F903)+1,0),0)</f>
        <v>0</v>
      </c>
      <c r="H904" s="151" t="s">
        <v>6779</v>
      </c>
      <c r="I904" s="151" t="s">
        <v>6962</v>
      </c>
      <c r="J904" s="151" t="s">
        <v>6962</v>
      </c>
      <c r="K904" s="151">
        <f t="shared" si="44"/>
        <v>0</v>
      </c>
      <c r="L904" s="151" t="s">
        <v>9020</v>
      </c>
    </row>
    <row r="905" spans="1:12" x14ac:dyDescent="0.25">
      <c r="A905" s="151" t="s">
        <v>2097</v>
      </c>
      <c r="B905" s="151" t="s">
        <v>2997</v>
      </c>
      <c r="C905" s="151" t="s">
        <v>3025</v>
      </c>
      <c r="D905" s="151">
        <f t="shared" si="42"/>
        <v>650000000000156</v>
      </c>
      <c r="E905" s="151" t="str">
        <f t="shared" si="43"/>
        <v/>
      </c>
      <c r="F905" s="151">
        <f>+IF(AND(C905*1&gt;=200,E905="GC-04314"),IF(D905=0,MAX(F$2:F904)+1,0),0)</f>
        <v>0</v>
      </c>
      <c r="H905" s="151" t="s">
        <v>6780</v>
      </c>
      <c r="I905" s="151" t="s">
        <v>6962</v>
      </c>
      <c r="J905" s="151" t="s">
        <v>6962</v>
      </c>
      <c r="K905" s="151">
        <f t="shared" si="44"/>
        <v>0</v>
      </c>
      <c r="L905" s="151" t="s">
        <v>9020</v>
      </c>
    </row>
    <row r="906" spans="1:12" x14ac:dyDescent="0.25">
      <c r="A906" s="151" t="s">
        <v>2098</v>
      </c>
      <c r="B906" s="151" t="s">
        <v>2997</v>
      </c>
      <c r="C906" s="151" t="s">
        <v>3026</v>
      </c>
      <c r="D906" s="151">
        <f t="shared" si="42"/>
        <v>0</v>
      </c>
      <c r="E906" s="151" t="str">
        <f t="shared" si="43"/>
        <v>GC-04311</v>
      </c>
      <c r="F906" s="151">
        <f>+IF(AND(C906*1&gt;=200,E906="GC-04314"),IF(D906=0,MAX(F$2:F905)+1,0),0)</f>
        <v>0</v>
      </c>
      <c r="H906" s="151" t="s">
        <v>6781</v>
      </c>
      <c r="I906" s="151" t="s">
        <v>6962</v>
      </c>
      <c r="J906" s="151" t="s">
        <v>6962</v>
      </c>
      <c r="K906" s="151">
        <f t="shared" si="44"/>
        <v>0</v>
      </c>
      <c r="L906" s="151" t="s">
        <v>9020</v>
      </c>
    </row>
    <row r="907" spans="1:12" x14ac:dyDescent="0.25">
      <c r="A907" s="151" t="s">
        <v>2099</v>
      </c>
      <c r="B907" s="151" t="s">
        <v>2997</v>
      </c>
      <c r="C907" s="151" t="s">
        <v>3027</v>
      </c>
      <c r="D907" s="151">
        <f t="shared" si="42"/>
        <v>0</v>
      </c>
      <c r="E907" s="151" t="str">
        <f t="shared" si="43"/>
        <v>GC-04311</v>
      </c>
      <c r="F907" s="151">
        <f>+IF(AND(C907*1&gt;=200,E907="GC-04314"),IF(D907=0,MAX(F$2:F906)+1,0),0)</f>
        <v>0</v>
      </c>
      <c r="H907" s="151" t="s">
        <v>6782</v>
      </c>
      <c r="I907" s="151" t="s">
        <v>6962</v>
      </c>
      <c r="J907" s="151" t="s">
        <v>6962</v>
      </c>
      <c r="K907" s="151">
        <f t="shared" si="44"/>
        <v>0</v>
      </c>
      <c r="L907" s="151" t="s">
        <v>9020</v>
      </c>
    </row>
    <row r="908" spans="1:12" x14ac:dyDescent="0.25">
      <c r="A908" s="151" t="s">
        <v>2100</v>
      </c>
      <c r="B908" s="151" t="s">
        <v>2997</v>
      </c>
      <c r="C908" s="151" t="s">
        <v>3028</v>
      </c>
      <c r="D908" s="151">
        <f t="shared" si="42"/>
        <v>650000000000157</v>
      </c>
      <c r="E908" s="151" t="str">
        <f t="shared" si="43"/>
        <v/>
      </c>
      <c r="F908" s="151">
        <f>+IF(AND(C908*1&gt;=200,E908="GC-04314"),IF(D908=0,MAX(F$2:F907)+1,0),0)</f>
        <v>0</v>
      </c>
      <c r="H908" s="151" t="s">
        <v>6783</v>
      </c>
      <c r="I908" s="151" t="s">
        <v>6962</v>
      </c>
      <c r="J908" s="151" t="s">
        <v>6962</v>
      </c>
      <c r="K908" s="151">
        <f t="shared" si="44"/>
        <v>0</v>
      </c>
      <c r="L908" s="151" t="s">
        <v>9020</v>
      </c>
    </row>
    <row r="909" spans="1:12" x14ac:dyDescent="0.25">
      <c r="A909" s="151" t="s">
        <v>2085</v>
      </c>
      <c r="B909" s="151" t="s">
        <v>2997</v>
      </c>
      <c r="C909" s="151" t="s">
        <v>3013</v>
      </c>
      <c r="D909" s="151">
        <f t="shared" si="42"/>
        <v>650000000000046</v>
      </c>
      <c r="E909" s="151" t="str">
        <f t="shared" si="43"/>
        <v/>
      </c>
      <c r="F909" s="151">
        <f>+IF(AND(C909*1&gt;=200,E909="GC-04314"),IF(D909=0,MAX(F$2:F908)+1,0),0)</f>
        <v>0</v>
      </c>
      <c r="H909" s="151" t="s">
        <v>6784</v>
      </c>
      <c r="I909" s="151" t="s">
        <v>6962</v>
      </c>
      <c r="J909" s="151" t="s">
        <v>6962</v>
      </c>
      <c r="K909" s="151">
        <f t="shared" si="44"/>
        <v>0</v>
      </c>
      <c r="L909" s="151" t="s">
        <v>9020</v>
      </c>
    </row>
    <row r="910" spans="1:12" x14ac:dyDescent="0.25">
      <c r="A910" s="151" t="s">
        <v>2101</v>
      </c>
      <c r="B910" s="151" t="s">
        <v>2997</v>
      </c>
      <c r="C910" s="151" t="s">
        <v>3029</v>
      </c>
      <c r="D910" s="151">
        <f t="shared" si="42"/>
        <v>0</v>
      </c>
      <c r="E910" s="151" t="str">
        <f t="shared" si="43"/>
        <v>GC-04311</v>
      </c>
      <c r="F910" s="151">
        <f>+IF(AND(C910*1&gt;=200,E910="GC-04314"),IF(D910=0,MAX(F$2:F909)+1,0),0)</f>
        <v>0</v>
      </c>
      <c r="H910" s="151" t="s">
        <v>6785</v>
      </c>
      <c r="I910" s="151" t="s">
        <v>6962</v>
      </c>
      <c r="J910" s="151" t="s">
        <v>6962</v>
      </c>
      <c r="K910" s="151">
        <f t="shared" si="44"/>
        <v>0</v>
      </c>
      <c r="L910" s="151" t="s">
        <v>9020</v>
      </c>
    </row>
    <row r="911" spans="1:12" x14ac:dyDescent="0.25">
      <c r="A911" s="151" t="s">
        <v>2134</v>
      </c>
      <c r="B911" s="151" t="s">
        <v>2997</v>
      </c>
      <c r="C911" s="151" t="s">
        <v>3062</v>
      </c>
      <c r="D911" s="151">
        <f t="shared" si="42"/>
        <v>650000000000040</v>
      </c>
      <c r="E911" s="151" t="str">
        <f t="shared" si="43"/>
        <v/>
      </c>
      <c r="F911" s="151">
        <f>+IF(AND(C911*1&gt;=200,E911="GC-04314"),IF(D911=0,MAX(F$2:F910)+1,0),0)</f>
        <v>0</v>
      </c>
      <c r="H911" s="151" t="s">
        <v>6786</v>
      </c>
      <c r="I911" s="151" t="s">
        <v>6962</v>
      </c>
      <c r="J911" s="151" t="s">
        <v>6962</v>
      </c>
      <c r="K911" s="151">
        <f t="shared" si="44"/>
        <v>0</v>
      </c>
      <c r="L911" s="151" t="s">
        <v>9020</v>
      </c>
    </row>
    <row r="912" spans="1:12" x14ac:dyDescent="0.25">
      <c r="A912" s="151" t="s">
        <v>2135</v>
      </c>
      <c r="B912" s="151" t="s">
        <v>2997</v>
      </c>
      <c r="C912" s="151" t="s">
        <v>3063</v>
      </c>
      <c r="D912" s="151">
        <f t="shared" si="42"/>
        <v>650000000000039</v>
      </c>
      <c r="E912" s="151" t="str">
        <f t="shared" si="43"/>
        <v/>
      </c>
      <c r="F912" s="151">
        <f>+IF(AND(C912*1&gt;=200,E912="GC-04314"),IF(D912=0,MAX(F$2:F911)+1,0),0)</f>
        <v>0</v>
      </c>
      <c r="H912" s="151" t="s">
        <v>6787</v>
      </c>
      <c r="I912" s="151" t="s">
        <v>6962</v>
      </c>
      <c r="J912" s="151" t="s">
        <v>6962</v>
      </c>
      <c r="K912" s="151">
        <f t="shared" si="44"/>
        <v>0</v>
      </c>
      <c r="L912" s="151" t="s">
        <v>9020</v>
      </c>
    </row>
    <row r="913" spans="1:12" x14ac:dyDescent="0.25">
      <c r="A913" s="151" t="s">
        <v>2136</v>
      </c>
      <c r="B913" s="151" t="s">
        <v>2997</v>
      </c>
      <c r="C913" s="151" t="s">
        <v>3064</v>
      </c>
      <c r="D913" s="151">
        <f t="shared" si="42"/>
        <v>650000000000021</v>
      </c>
      <c r="E913" s="151" t="str">
        <f t="shared" si="43"/>
        <v/>
      </c>
      <c r="F913" s="151">
        <f>+IF(AND(C913*1&gt;=200,E913="GC-04314"),IF(D913=0,MAX(F$2:F912)+1,0),0)</f>
        <v>0</v>
      </c>
      <c r="H913" s="151" t="s">
        <v>6788</v>
      </c>
      <c r="I913" s="151" t="s">
        <v>6962</v>
      </c>
      <c r="J913" s="151" t="s">
        <v>6962</v>
      </c>
      <c r="K913" s="151">
        <f t="shared" si="44"/>
        <v>0</v>
      </c>
      <c r="L913" s="151" t="s">
        <v>9020</v>
      </c>
    </row>
    <row r="914" spans="1:12" x14ac:dyDescent="0.25">
      <c r="A914" s="151" t="s">
        <v>2120</v>
      </c>
      <c r="B914" s="151" t="s">
        <v>2997</v>
      </c>
      <c r="C914" s="151" t="s">
        <v>3048</v>
      </c>
      <c r="D914" s="151">
        <f t="shared" si="42"/>
        <v>0</v>
      </c>
      <c r="E914" s="151" t="str">
        <f t="shared" si="43"/>
        <v>GC-04311</v>
      </c>
      <c r="F914" s="151">
        <f>+IF(AND(C914*1&gt;=200,E914="GC-04314"),IF(D914=0,MAX(F$2:F913)+1,0),0)</f>
        <v>0</v>
      </c>
      <c r="H914" s="151" t="s">
        <v>6789</v>
      </c>
      <c r="I914" s="151" t="s">
        <v>6962</v>
      </c>
      <c r="J914" s="151" t="s">
        <v>6962</v>
      </c>
      <c r="K914" s="151">
        <f t="shared" si="44"/>
        <v>0</v>
      </c>
      <c r="L914" s="151" t="s">
        <v>9020</v>
      </c>
    </row>
    <row r="915" spans="1:12" x14ac:dyDescent="0.25">
      <c r="A915" s="151" t="s">
        <v>2121</v>
      </c>
      <c r="B915" s="151" t="s">
        <v>2997</v>
      </c>
      <c r="C915" s="151" t="s">
        <v>3049</v>
      </c>
      <c r="D915" s="151">
        <f t="shared" si="42"/>
        <v>0</v>
      </c>
      <c r="E915" s="151" t="str">
        <f t="shared" si="43"/>
        <v>GC-04311</v>
      </c>
      <c r="F915" s="151">
        <f>+IF(AND(C915*1&gt;=200,E915="GC-04314"),IF(D915=0,MAX(F$2:F914)+1,0),0)</f>
        <v>0</v>
      </c>
      <c r="H915" s="151" t="s">
        <v>6790</v>
      </c>
      <c r="I915" s="151" t="s">
        <v>6962</v>
      </c>
      <c r="J915" s="151" t="s">
        <v>6962</v>
      </c>
      <c r="K915" s="151">
        <f t="shared" si="44"/>
        <v>0</v>
      </c>
      <c r="L915" s="151" t="s">
        <v>9020</v>
      </c>
    </row>
    <row r="916" spans="1:12" x14ac:dyDescent="0.25">
      <c r="A916" s="151" t="s">
        <v>2137</v>
      </c>
      <c r="B916" s="151" t="s">
        <v>2997</v>
      </c>
      <c r="C916" s="151" t="s">
        <v>3065</v>
      </c>
      <c r="D916" s="151">
        <f t="shared" si="42"/>
        <v>650000000000038</v>
      </c>
      <c r="E916" s="151" t="str">
        <f t="shared" si="43"/>
        <v/>
      </c>
      <c r="F916" s="151">
        <f>+IF(AND(C916*1&gt;=200,E916="GC-04314"),IF(D916=0,MAX(F$2:F915)+1,0),0)</f>
        <v>0</v>
      </c>
      <c r="H916" s="151" t="s">
        <v>6791</v>
      </c>
      <c r="I916" s="151" t="s">
        <v>6962</v>
      </c>
      <c r="J916" s="151" t="s">
        <v>6962</v>
      </c>
      <c r="K916" s="151">
        <f t="shared" si="44"/>
        <v>0</v>
      </c>
      <c r="L916" s="151" t="s">
        <v>9020</v>
      </c>
    </row>
    <row r="917" spans="1:12" x14ac:dyDescent="0.25">
      <c r="A917" s="151" t="s">
        <v>2108</v>
      </c>
      <c r="B917" s="151" t="s">
        <v>2997</v>
      </c>
      <c r="C917" s="151" t="s">
        <v>3036</v>
      </c>
      <c r="D917" s="151">
        <f t="shared" si="42"/>
        <v>650000000000160</v>
      </c>
      <c r="E917" s="151" t="str">
        <f t="shared" si="43"/>
        <v/>
      </c>
      <c r="F917" s="151">
        <f>+IF(AND(C917*1&gt;=200,E917="GC-04314"),IF(D917=0,MAX(F$2:F916)+1,0),0)</f>
        <v>0</v>
      </c>
      <c r="H917" s="151" t="s">
        <v>6792</v>
      </c>
      <c r="I917" s="151" t="s">
        <v>6962</v>
      </c>
      <c r="J917" s="151" t="s">
        <v>6962</v>
      </c>
      <c r="K917" s="151">
        <f t="shared" si="44"/>
        <v>0</v>
      </c>
      <c r="L917" s="151" t="s">
        <v>9020</v>
      </c>
    </row>
    <row r="918" spans="1:12" x14ac:dyDescent="0.25">
      <c r="A918" s="151" t="s">
        <v>2084</v>
      </c>
      <c r="B918" s="151" t="s">
        <v>2997</v>
      </c>
      <c r="C918" s="151" t="s">
        <v>3012</v>
      </c>
      <c r="D918" s="151">
        <f t="shared" si="42"/>
        <v>650000000000169</v>
      </c>
      <c r="E918" s="151" t="str">
        <f t="shared" si="43"/>
        <v/>
      </c>
      <c r="F918" s="151">
        <f>+IF(AND(C918*1&gt;=200,E918="GC-04314"),IF(D918=0,MAX(F$2:F917)+1,0),0)</f>
        <v>0</v>
      </c>
      <c r="H918" s="151" t="s">
        <v>6793</v>
      </c>
      <c r="I918" s="151" t="s">
        <v>6962</v>
      </c>
      <c r="J918" s="151" t="s">
        <v>6962</v>
      </c>
      <c r="K918" s="151">
        <f t="shared" si="44"/>
        <v>0</v>
      </c>
      <c r="L918" s="151" t="s">
        <v>9020</v>
      </c>
    </row>
    <row r="919" spans="1:12" x14ac:dyDescent="0.25">
      <c r="A919" s="151" t="s">
        <v>2109</v>
      </c>
      <c r="B919" s="151" t="s">
        <v>2997</v>
      </c>
      <c r="C919" s="151" t="s">
        <v>3037</v>
      </c>
      <c r="D919" s="151">
        <f t="shared" si="42"/>
        <v>0</v>
      </c>
      <c r="E919" s="151" t="str">
        <f t="shared" si="43"/>
        <v>GC-04311</v>
      </c>
      <c r="F919" s="151">
        <f>+IF(AND(C919*1&gt;=200,E919="GC-04314"),IF(D919=0,MAX(F$2:F918)+1,0),0)</f>
        <v>0</v>
      </c>
      <c r="H919" s="151" t="s">
        <v>6794</v>
      </c>
      <c r="I919" s="151" t="s">
        <v>6962</v>
      </c>
      <c r="J919" s="151" t="s">
        <v>6962</v>
      </c>
      <c r="K919" s="151">
        <f t="shared" si="44"/>
        <v>0</v>
      </c>
      <c r="L919" s="151" t="s">
        <v>9020</v>
      </c>
    </row>
    <row r="920" spans="1:12" x14ac:dyDescent="0.25">
      <c r="A920" s="151" t="s">
        <v>2102</v>
      </c>
      <c r="B920" s="151" t="s">
        <v>2997</v>
      </c>
      <c r="C920" s="151" t="s">
        <v>3030</v>
      </c>
      <c r="D920" s="151">
        <f t="shared" si="42"/>
        <v>650000000000167</v>
      </c>
      <c r="E920" s="151" t="str">
        <f t="shared" si="43"/>
        <v/>
      </c>
      <c r="F920" s="151">
        <f>+IF(AND(C920*1&gt;=200,E920="GC-04314"),IF(D920=0,MAX(F$2:F919)+1,0),0)</f>
        <v>0</v>
      </c>
      <c r="H920" s="151" t="s">
        <v>6795</v>
      </c>
      <c r="I920" s="151" t="s">
        <v>6962</v>
      </c>
      <c r="J920" s="151" t="s">
        <v>6962</v>
      </c>
      <c r="K920" s="151">
        <f t="shared" si="44"/>
        <v>0</v>
      </c>
      <c r="L920" s="151" t="s">
        <v>9020</v>
      </c>
    </row>
    <row r="921" spans="1:12" x14ac:dyDescent="0.25">
      <c r="A921" s="151" t="s">
        <v>2103</v>
      </c>
      <c r="B921" s="151" t="s">
        <v>2997</v>
      </c>
      <c r="C921" s="151" t="s">
        <v>3031</v>
      </c>
      <c r="D921" s="151">
        <f t="shared" si="42"/>
        <v>650000000000166</v>
      </c>
      <c r="E921" s="151" t="str">
        <f t="shared" si="43"/>
        <v/>
      </c>
      <c r="F921" s="151">
        <f>+IF(AND(C921*1&gt;=200,E921="GC-04314"),IF(D921=0,MAX(F$2:F920)+1,0),0)</f>
        <v>0</v>
      </c>
      <c r="H921" s="151" t="s">
        <v>6796</v>
      </c>
      <c r="I921" s="151" t="s">
        <v>6962</v>
      </c>
      <c r="J921" s="151" t="s">
        <v>6962</v>
      </c>
      <c r="K921" s="151">
        <f t="shared" si="44"/>
        <v>0</v>
      </c>
      <c r="L921" s="151" t="s">
        <v>9020</v>
      </c>
    </row>
    <row r="922" spans="1:12" x14ac:dyDescent="0.25">
      <c r="A922" s="151" t="s">
        <v>2138</v>
      </c>
      <c r="B922" s="151" t="s">
        <v>2997</v>
      </c>
      <c r="C922" s="151" t="s">
        <v>3066</v>
      </c>
      <c r="D922" s="151">
        <f t="shared" si="42"/>
        <v>650000000000025</v>
      </c>
      <c r="E922" s="151" t="str">
        <f t="shared" si="43"/>
        <v/>
      </c>
      <c r="F922" s="151">
        <f>+IF(AND(C922*1&gt;=200,E922="GC-04314"),IF(D922=0,MAX(F$2:F921)+1,0),0)</f>
        <v>0</v>
      </c>
      <c r="H922" s="151" t="s">
        <v>6797</v>
      </c>
      <c r="I922" s="151" t="s">
        <v>6962</v>
      </c>
      <c r="J922" s="151" t="s">
        <v>6962</v>
      </c>
      <c r="K922" s="151">
        <f t="shared" si="44"/>
        <v>0</v>
      </c>
      <c r="L922" s="151" t="s">
        <v>9020</v>
      </c>
    </row>
    <row r="923" spans="1:12" x14ac:dyDescent="0.25">
      <c r="A923" s="151" t="s">
        <v>2110</v>
      </c>
      <c r="B923" s="151" t="s">
        <v>2997</v>
      </c>
      <c r="C923" s="151" t="s">
        <v>3038</v>
      </c>
      <c r="D923" s="151">
        <f t="shared" si="42"/>
        <v>0</v>
      </c>
      <c r="E923" s="151" t="str">
        <f t="shared" si="43"/>
        <v>GC-04311</v>
      </c>
      <c r="F923" s="151">
        <f>+IF(AND(C923*1&gt;=200,E923="GC-04314"),IF(D923=0,MAX(F$2:F922)+1,0),0)</f>
        <v>0</v>
      </c>
      <c r="H923" s="151" t="s">
        <v>6798</v>
      </c>
      <c r="I923" s="151" t="s">
        <v>6962</v>
      </c>
      <c r="J923" s="151" t="s">
        <v>6962</v>
      </c>
      <c r="K923" s="151">
        <f t="shared" si="44"/>
        <v>0</v>
      </c>
      <c r="L923" s="151" t="s">
        <v>9020</v>
      </c>
    </row>
    <row r="924" spans="1:12" x14ac:dyDescent="0.25">
      <c r="A924" s="151" t="s">
        <v>2111</v>
      </c>
      <c r="B924" s="151" t="s">
        <v>2997</v>
      </c>
      <c r="C924" s="151" t="s">
        <v>3039</v>
      </c>
      <c r="D924" s="151">
        <f t="shared" si="42"/>
        <v>0</v>
      </c>
      <c r="E924" s="151" t="str">
        <f t="shared" si="43"/>
        <v>GC-04311</v>
      </c>
      <c r="F924" s="151">
        <f>+IF(AND(C924*1&gt;=200,E924="GC-04314"),IF(D924=0,MAX(F$2:F923)+1,0),0)</f>
        <v>0</v>
      </c>
      <c r="H924" s="151" t="s">
        <v>6799</v>
      </c>
      <c r="I924" s="151" t="s">
        <v>6962</v>
      </c>
      <c r="J924" s="151" t="s">
        <v>6962</v>
      </c>
      <c r="K924" s="151">
        <f t="shared" si="44"/>
        <v>0</v>
      </c>
      <c r="L924" s="151" t="s">
        <v>9020</v>
      </c>
    </row>
    <row r="925" spans="1:12" x14ac:dyDescent="0.25">
      <c r="A925" s="151" t="s">
        <v>2139</v>
      </c>
      <c r="B925" s="151" t="s">
        <v>2997</v>
      </c>
      <c r="C925" s="151" t="s">
        <v>3067</v>
      </c>
      <c r="D925" s="151">
        <f t="shared" si="42"/>
        <v>650000000000002</v>
      </c>
      <c r="E925" s="151" t="str">
        <f t="shared" si="43"/>
        <v/>
      </c>
      <c r="F925" s="151">
        <f>+IF(AND(C925*1&gt;=200,E925="GC-04314"),IF(D925=0,MAX(F$2:F924)+1,0),0)</f>
        <v>0</v>
      </c>
      <c r="H925" s="151" t="s">
        <v>6800</v>
      </c>
      <c r="I925" s="151" t="s">
        <v>6962</v>
      </c>
      <c r="J925" s="151" t="s">
        <v>6962</v>
      </c>
      <c r="K925" s="151">
        <f t="shared" si="44"/>
        <v>0</v>
      </c>
      <c r="L925" s="151" t="s">
        <v>9020</v>
      </c>
    </row>
    <row r="926" spans="1:12" x14ac:dyDescent="0.25">
      <c r="A926" s="151" t="s">
        <v>2140</v>
      </c>
      <c r="B926" s="151" t="s">
        <v>2997</v>
      </c>
      <c r="C926" s="151" t="s">
        <v>3068</v>
      </c>
      <c r="D926" s="151">
        <f t="shared" si="42"/>
        <v>650000000000037</v>
      </c>
      <c r="E926" s="151" t="str">
        <f t="shared" si="43"/>
        <v/>
      </c>
      <c r="F926" s="151">
        <f>+IF(AND(C926*1&gt;=200,E926="GC-04314"),IF(D926=0,MAX(F$2:F925)+1,0),0)</f>
        <v>0</v>
      </c>
      <c r="H926" s="151" t="s">
        <v>6801</v>
      </c>
      <c r="I926" s="151" t="s">
        <v>6962</v>
      </c>
      <c r="J926" s="151" t="s">
        <v>6962</v>
      </c>
      <c r="K926" s="151">
        <f t="shared" si="44"/>
        <v>0</v>
      </c>
      <c r="L926" s="151" t="s">
        <v>9020</v>
      </c>
    </row>
    <row r="927" spans="1:12" x14ac:dyDescent="0.25">
      <c r="H927" s="151" t="s">
        <v>6802</v>
      </c>
      <c r="I927" s="151" t="s">
        <v>6962</v>
      </c>
      <c r="J927" s="151" t="s">
        <v>6962</v>
      </c>
      <c r="K927" s="151">
        <f t="shared" si="44"/>
        <v>0</v>
      </c>
      <c r="L927" s="151" t="s">
        <v>9020</v>
      </c>
    </row>
    <row r="928" spans="1:12" x14ac:dyDescent="0.25">
      <c r="H928" s="151" t="s">
        <v>6803</v>
      </c>
      <c r="I928" s="151" t="s">
        <v>6962</v>
      </c>
      <c r="J928" s="151" t="s">
        <v>6962</v>
      </c>
      <c r="K928" s="151">
        <f t="shared" si="44"/>
        <v>0</v>
      </c>
      <c r="L928" s="151" t="s">
        <v>9020</v>
      </c>
    </row>
    <row r="929" spans="8:12" x14ac:dyDescent="0.25">
      <c r="H929" s="151" t="s">
        <v>6804</v>
      </c>
      <c r="I929" s="151" t="s">
        <v>6962</v>
      </c>
      <c r="J929" s="151" t="s">
        <v>6962</v>
      </c>
      <c r="K929" s="151">
        <f t="shared" si="44"/>
        <v>0</v>
      </c>
      <c r="L929" s="151" t="s">
        <v>9020</v>
      </c>
    </row>
    <row r="930" spans="8:12" x14ac:dyDescent="0.25">
      <c r="H930" s="151" t="s">
        <v>6805</v>
      </c>
      <c r="I930" s="151" t="s">
        <v>6962</v>
      </c>
      <c r="J930" s="151" t="s">
        <v>6962</v>
      </c>
      <c r="K930" s="151">
        <f t="shared" si="44"/>
        <v>0</v>
      </c>
      <c r="L930" s="151" t="s">
        <v>9020</v>
      </c>
    </row>
    <row r="931" spans="8:12" x14ac:dyDescent="0.25">
      <c r="H931" s="151" t="s">
        <v>6806</v>
      </c>
      <c r="I931" s="151" t="s">
        <v>6962</v>
      </c>
      <c r="J931" s="151" t="s">
        <v>6962</v>
      </c>
      <c r="K931" s="151">
        <f t="shared" si="44"/>
        <v>0</v>
      </c>
      <c r="L931" s="151" t="s">
        <v>9020</v>
      </c>
    </row>
    <row r="932" spans="8:12" x14ac:dyDescent="0.25">
      <c r="H932" s="151" t="s">
        <v>6807</v>
      </c>
      <c r="I932" s="151" t="s">
        <v>6962</v>
      </c>
      <c r="J932" s="151" t="s">
        <v>6962</v>
      </c>
      <c r="K932" s="151">
        <f t="shared" si="44"/>
        <v>0</v>
      </c>
      <c r="L932" s="151" t="s">
        <v>9020</v>
      </c>
    </row>
    <row r="933" spans="8:12" x14ac:dyDescent="0.25">
      <c r="H933" s="151" t="s">
        <v>6808</v>
      </c>
      <c r="I933" s="151" t="s">
        <v>6962</v>
      </c>
      <c r="J933" s="151" t="s">
        <v>6962</v>
      </c>
      <c r="K933" s="151">
        <f t="shared" si="44"/>
        <v>0</v>
      </c>
      <c r="L933" s="151" t="s">
        <v>9020</v>
      </c>
    </row>
    <row r="934" spans="8:12" x14ac:dyDescent="0.25">
      <c r="H934" s="151" t="s">
        <v>6809</v>
      </c>
      <c r="I934" s="151" t="s">
        <v>6962</v>
      </c>
      <c r="J934" s="151" t="s">
        <v>6962</v>
      </c>
      <c r="K934" s="151">
        <f t="shared" si="44"/>
        <v>0</v>
      </c>
      <c r="L934" s="151" t="s">
        <v>9020</v>
      </c>
    </row>
    <row r="935" spans="8:12" x14ac:dyDescent="0.25">
      <c r="H935" s="151" t="s">
        <v>6810</v>
      </c>
      <c r="I935" s="151" t="s">
        <v>6962</v>
      </c>
      <c r="J935" s="151" t="s">
        <v>6962</v>
      </c>
      <c r="K935" s="151">
        <f t="shared" si="44"/>
        <v>0</v>
      </c>
      <c r="L935" s="151" t="s">
        <v>9020</v>
      </c>
    </row>
    <row r="936" spans="8:12" x14ac:dyDescent="0.25">
      <c r="H936" s="151" t="s">
        <v>6811</v>
      </c>
      <c r="I936" s="151" t="s">
        <v>6962</v>
      </c>
      <c r="J936" s="151" t="s">
        <v>6962</v>
      </c>
      <c r="K936" s="151">
        <f t="shared" si="44"/>
        <v>0</v>
      </c>
      <c r="L936" s="151" t="s">
        <v>9020</v>
      </c>
    </row>
    <row r="937" spans="8:12" x14ac:dyDescent="0.25">
      <c r="H937" s="151" t="s">
        <v>6812</v>
      </c>
      <c r="I937" s="151" t="s">
        <v>6962</v>
      </c>
      <c r="J937" s="151" t="s">
        <v>6962</v>
      </c>
      <c r="K937" s="151">
        <f t="shared" si="44"/>
        <v>0</v>
      </c>
      <c r="L937" s="151" t="s">
        <v>9020</v>
      </c>
    </row>
    <row r="938" spans="8:12" x14ac:dyDescent="0.25">
      <c r="H938" s="151" t="s">
        <v>6813</v>
      </c>
      <c r="I938" s="151" t="s">
        <v>6962</v>
      </c>
      <c r="J938" s="151" t="s">
        <v>6962</v>
      </c>
      <c r="K938" s="151">
        <f t="shared" si="44"/>
        <v>0</v>
      </c>
      <c r="L938" s="151" t="s">
        <v>9020</v>
      </c>
    </row>
    <row r="939" spans="8:12" x14ac:dyDescent="0.25">
      <c r="H939" s="151" t="s">
        <v>6814</v>
      </c>
      <c r="I939" s="151" t="s">
        <v>6962</v>
      </c>
      <c r="J939" s="151" t="s">
        <v>6962</v>
      </c>
      <c r="K939" s="151">
        <f t="shared" si="44"/>
        <v>0</v>
      </c>
      <c r="L939" s="151" t="s">
        <v>9020</v>
      </c>
    </row>
    <row r="940" spans="8:12" x14ac:dyDescent="0.25">
      <c r="H940" s="151" t="s">
        <v>6815</v>
      </c>
      <c r="I940" s="151" t="s">
        <v>6962</v>
      </c>
      <c r="J940" s="151" t="s">
        <v>6962</v>
      </c>
      <c r="K940" s="151">
        <f t="shared" si="44"/>
        <v>0</v>
      </c>
      <c r="L940" s="151" t="s">
        <v>9020</v>
      </c>
    </row>
    <row r="941" spans="8:12" x14ac:dyDescent="0.25">
      <c r="H941" s="151" t="s">
        <v>6816</v>
      </c>
      <c r="I941" s="151" t="s">
        <v>6962</v>
      </c>
      <c r="J941" s="151" t="s">
        <v>6962</v>
      </c>
      <c r="K941" s="151">
        <f t="shared" si="44"/>
        <v>0</v>
      </c>
      <c r="L941" s="151" t="s">
        <v>9020</v>
      </c>
    </row>
    <row r="942" spans="8:12" x14ac:dyDescent="0.25">
      <c r="H942" s="151" t="s">
        <v>6817</v>
      </c>
      <c r="I942" s="151" t="s">
        <v>6962</v>
      </c>
      <c r="J942" s="151" t="s">
        <v>6962</v>
      </c>
      <c r="K942" s="151">
        <f t="shared" si="44"/>
        <v>0</v>
      </c>
      <c r="L942" s="151" t="s">
        <v>9020</v>
      </c>
    </row>
    <row r="943" spans="8:12" x14ac:dyDescent="0.25">
      <c r="H943" s="151" t="s">
        <v>6818</v>
      </c>
      <c r="I943" s="151" t="s">
        <v>6962</v>
      </c>
      <c r="J943" s="151" t="s">
        <v>6962</v>
      </c>
      <c r="K943" s="151">
        <f t="shared" si="44"/>
        <v>0</v>
      </c>
      <c r="L943" s="151" t="s">
        <v>9020</v>
      </c>
    </row>
    <row r="944" spans="8:12" x14ac:dyDescent="0.25">
      <c r="H944" s="151" t="s">
        <v>6819</v>
      </c>
      <c r="I944" s="151" t="s">
        <v>6962</v>
      </c>
      <c r="J944" s="151" t="s">
        <v>6962</v>
      </c>
      <c r="K944" s="151">
        <f t="shared" si="44"/>
        <v>0</v>
      </c>
      <c r="L944" s="151" t="s">
        <v>9020</v>
      </c>
    </row>
    <row r="945" spans="8:12" x14ac:dyDescent="0.25">
      <c r="H945" s="151" t="s">
        <v>6820</v>
      </c>
      <c r="I945" s="151" t="s">
        <v>6962</v>
      </c>
      <c r="J945" s="151" t="s">
        <v>6962</v>
      </c>
      <c r="K945" s="151">
        <f t="shared" si="44"/>
        <v>0</v>
      </c>
      <c r="L945" s="151" t="s">
        <v>9020</v>
      </c>
    </row>
    <row r="946" spans="8:12" x14ac:dyDescent="0.25">
      <c r="H946" s="151" t="s">
        <v>6821</v>
      </c>
      <c r="I946" s="151" t="s">
        <v>6962</v>
      </c>
      <c r="J946" s="151" t="s">
        <v>6962</v>
      </c>
      <c r="K946" s="151">
        <f t="shared" si="44"/>
        <v>0</v>
      </c>
      <c r="L946" s="151" t="s">
        <v>9020</v>
      </c>
    </row>
    <row r="947" spans="8:12" x14ac:dyDescent="0.25">
      <c r="H947" s="151" t="s">
        <v>6822</v>
      </c>
      <c r="I947" s="151" t="s">
        <v>6962</v>
      </c>
      <c r="J947" s="151" t="s">
        <v>6962</v>
      </c>
      <c r="K947" s="151">
        <f t="shared" si="44"/>
        <v>0</v>
      </c>
      <c r="L947" s="151" t="s">
        <v>9020</v>
      </c>
    </row>
    <row r="948" spans="8:12" x14ac:dyDescent="0.25">
      <c r="H948" s="151" t="s">
        <v>6823</v>
      </c>
      <c r="I948" s="151" t="s">
        <v>6962</v>
      </c>
      <c r="J948" s="151" t="s">
        <v>6962</v>
      </c>
      <c r="K948" s="151">
        <f t="shared" si="44"/>
        <v>0</v>
      </c>
      <c r="L948" s="151" t="s">
        <v>9020</v>
      </c>
    </row>
    <row r="949" spans="8:12" x14ac:dyDescent="0.25">
      <c r="H949" s="151" t="s">
        <v>6824</v>
      </c>
      <c r="I949" s="151" t="s">
        <v>6962</v>
      </c>
      <c r="J949" s="151" t="s">
        <v>6962</v>
      </c>
      <c r="K949" s="151">
        <f t="shared" si="44"/>
        <v>0</v>
      </c>
      <c r="L949" s="151" t="s">
        <v>9020</v>
      </c>
    </row>
    <row r="950" spans="8:12" x14ac:dyDescent="0.25">
      <c r="H950" s="151" t="s">
        <v>6825</v>
      </c>
      <c r="I950" s="151" t="s">
        <v>6962</v>
      </c>
      <c r="J950" s="151" t="s">
        <v>6962</v>
      </c>
      <c r="K950" s="151">
        <f t="shared" si="44"/>
        <v>0</v>
      </c>
      <c r="L950" s="151" t="s">
        <v>9020</v>
      </c>
    </row>
    <row r="951" spans="8:12" x14ac:dyDescent="0.25">
      <c r="H951" s="151" t="s">
        <v>6826</v>
      </c>
      <c r="I951" s="151" t="s">
        <v>6962</v>
      </c>
      <c r="J951" s="151" t="s">
        <v>6962</v>
      </c>
      <c r="K951" s="151">
        <f t="shared" si="44"/>
        <v>0</v>
      </c>
      <c r="L951" s="151" t="s">
        <v>9020</v>
      </c>
    </row>
    <row r="952" spans="8:12" x14ac:dyDescent="0.25">
      <c r="H952" s="151" t="s">
        <v>6827</v>
      </c>
      <c r="I952" s="151" t="s">
        <v>6962</v>
      </c>
      <c r="J952" s="151" t="s">
        <v>6962</v>
      </c>
      <c r="K952" s="151">
        <f t="shared" si="44"/>
        <v>0</v>
      </c>
      <c r="L952" s="151" t="s">
        <v>9020</v>
      </c>
    </row>
    <row r="953" spans="8:12" x14ac:dyDescent="0.25">
      <c r="H953" s="151" t="s">
        <v>2070</v>
      </c>
      <c r="I953" s="151" t="s">
        <v>6962</v>
      </c>
      <c r="J953" s="151" t="s">
        <v>6962</v>
      </c>
      <c r="K953" s="151">
        <f t="shared" si="44"/>
        <v>0</v>
      </c>
      <c r="L953" s="151" t="s">
        <v>9022</v>
      </c>
    </row>
    <row r="954" spans="8:12" x14ac:dyDescent="0.25">
      <c r="H954" s="151" t="s">
        <v>2071</v>
      </c>
      <c r="I954" s="151" t="s">
        <v>6962</v>
      </c>
      <c r="J954" s="151" t="s">
        <v>6962</v>
      </c>
      <c r="K954" s="151">
        <f t="shared" si="44"/>
        <v>0</v>
      </c>
      <c r="L954" s="151" t="s">
        <v>9020</v>
      </c>
    </row>
    <row r="955" spans="8:12" x14ac:dyDescent="0.25">
      <c r="H955" s="151" t="s">
        <v>2072</v>
      </c>
      <c r="I955" s="151" t="s">
        <v>6962</v>
      </c>
      <c r="J955" s="151" t="s">
        <v>6962</v>
      </c>
      <c r="K955" s="151">
        <f t="shared" si="44"/>
        <v>0</v>
      </c>
      <c r="L955" s="151" t="s">
        <v>9020</v>
      </c>
    </row>
    <row r="956" spans="8:12" x14ac:dyDescent="0.25">
      <c r="H956" s="151" t="s">
        <v>2073</v>
      </c>
      <c r="I956" s="151" t="s">
        <v>6962</v>
      </c>
      <c r="J956" s="151" t="s">
        <v>6962</v>
      </c>
      <c r="K956" s="151">
        <f t="shared" si="44"/>
        <v>0</v>
      </c>
      <c r="L956" s="151" t="s">
        <v>9020</v>
      </c>
    </row>
    <row r="957" spans="8:12" x14ac:dyDescent="0.25">
      <c r="H957" s="151" t="s">
        <v>2074</v>
      </c>
      <c r="I957" s="151" t="s">
        <v>6962</v>
      </c>
      <c r="J957" s="151" t="s">
        <v>6962</v>
      </c>
      <c r="K957" s="151">
        <f t="shared" si="44"/>
        <v>0</v>
      </c>
      <c r="L957" s="151" t="s">
        <v>9020</v>
      </c>
    </row>
    <row r="958" spans="8:12" x14ac:dyDescent="0.25">
      <c r="H958" s="151" t="s">
        <v>2075</v>
      </c>
      <c r="I958" s="151" t="s">
        <v>6962</v>
      </c>
      <c r="J958" s="151" t="s">
        <v>6962</v>
      </c>
      <c r="K958" s="151">
        <f t="shared" si="44"/>
        <v>0</v>
      </c>
      <c r="L958" s="151" t="s">
        <v>9020</v>
      </c>
    </row>
    <row r="959" spans="8:12" x14ac:dyDescent="0.25">
      <c r="H959" s="151" t="s">
        <v>2076</v>
      </c>
      <c r="I959" s="151" t="s">
        <v>6962</v>
      </c>
      <c r="J959" s="151" t="s">
        <v>6962</v>
      </c>
      <c r="K959" s="151">
        <f t="shared" si="44"/>
        <v>0</v>
      </c>
      <c r="L959" s="151" t="s">
        <v>9020</v>
      </c>
    </row>
    <row r="960" spans="8:12" x14ac:dyDescent="0.25">
      <c r="H960" s="151" t="s">
        <v>2077</v>
      </c>
      <c r="I960" s="151" t="s">
        <v>6962</v>
      </c>
      <c r="J960" s="151" t="s">
        <v>6962</v>
      </c>
      <c r="K960" s="151">
        <f t="shared" si="44"/>
        <v>0</v>
      </c>
      <c r="L960" s="151" t="s">
        <v>9020</v>
      </c>
    </row>
    <row r="961" spans="8:12" x14ac:dyDescent="0.25">
      <c r="H961" s="151" t="s">
        <v>2078</v>
      </c>
      <c r="I961" s="151" t="s">
        <v>6962</v>
      </c>
      <c r="J961" s="151" t="s">
        <v>6962</v>
      </c>
      <c r="K961" s="151">
        <f t="shared" si="44"/>
        <v>0</v>
      </c>
      <c r="L961" s="151" t="s">
        <v>9020</v>
      </c>
    </row>
    <row r="962" spans="8:12" x14ac:dyDescent="0.25">
      <c r="H962" s="151" t="s">
        <v>2079</v>
      </c>
      <c r="I962" s="151" t="s">
        <v>6962</v>
      </c>
      <c r="J962" s="151" t="s">
        <v>6962</v>
      </c>
      <c r="K962" s="151">
        <f t="shared" si="44"/>
        <v>0</v>
      </c>
      <c r="L962" s="151" t="s">
        <v>9020</v>
      </c>
    </row>
    <row r="963" spans="8:12" x14ac:dyDescent="0.25">
      <c r="H963" s="151" t="s">
        <v>2080</v>
      </c>
      <c r="I963" s="151" t="s">
        <v>6962</v>
      </c>
      <c r="J963" s="151" t="s">
        <v>6962</v>
      </c>
      <c r="K963" s="151">
        <f t="shared" ref="K963:K1026" si="45">+IFERROR(J963*1,0)</f>
        <v>0</v>
      </c>
      <c r="L963" s="151" t="s">
        <v>9021</v>
      </c>
    </row>
    <row r="964" spans="8:12" x14ac:dyDescent="0.25">
      <c r="H964" s="151" t="s">
        <v>2080</v>
      </c>
      <c r="I964" s="151" t="s">
        <v>391</v>
      </c>
      <c r="J964" s="151" t="s">
        <v>6980</v>
      </c>
      <c r="K964" s="151">
        <f t="shared" si="45"/>
        <v>650000000000057</v>
      </c>
      <c r="L964" s="151" t="s">
        <v>9021</v>
      </c>
    </row>
    <row r="965" spans="8:12" x14ac:dyDescent="0.25">
      <c r="H965" s="151" t="s">
        <v>2080</v>
      </c>
      <c r="I965" s="151" t="s">
        <v>381</v>
      </c>
      <c r="J965" s="151" t="s">
        <v>6962</v>
      </c>
      <c r="K965" s="151">
        <f t="shared" si="45"/>
        <v>0</v>
      </c>
      <c r="L965" s="151" t="s">
        <v>9021</v>
      </c>
    </row>
    <row r="966" spans="8:12" x14ac:dyDescent="0.25">
      <c r="H966" s="151" t="s">
        <v>2081</v>
      </c>
      <c r="I966" s="151" t="s">
        <v>6962</v>
      </c>
      <c r="J966" s="151" t="s">
        <v>6962</v>
      </c>
      <c r="K966" s="151">
        <f t="shared" si="45"/>
        <v>0</v>
      </c>
      <c r="L966" s="151" t="s">
        <v>9021</v>
      </c>
    </row>
    <row r="967" spans="8:12" x14ac:dyDescent="0.25">
      <c r="H967" s="151" t="s">
        <v>2081</v>
      </c>
      <c r="I967" s="151" t="s">
        <v>391</v>
      </c>
      <c r="J967" s="151" t="s">
        <v>6981</v>
      </c>
      <c r="K967" s="151">
        <f t="shared" si="45"/>
        <v>650000000000020</v>
      </c>
      <c r="L967" s="151" t="s">
        <v>9021</v>
      </c>
    </row>
    <row r="968" spans="8:12" x14ac:dyDescent="0.25">
      <c r="H968" s="151" t="s">
        <v>2081</v>
      </c>
      <c r="I968" s="151" t="s">
        <v>381</v>
      </c>
      <c r="J968" s="151" t="s">
        <v>6962</v>
      </c>
      <c r="K968" s="151">
        <f t="shared" si="45"/>
        <v>0</v>
      </c>
      <c r="L968" s="151" t="s">
        <v>9021</v>
      </c>
    </row>
    <row r="969" spans="8:12" x14ac:dyDescent="0.25">
      <c r="H969" s="151" t="s">
        <v>2082</v>
      </c>
      <c r="I969" s="151" t="s">
        <v>6962</v>
      </c>
      <c r="J969" s="151" t="s">
        <v>6962</v>
      </c>
      <c r="K969" s="151">
        <f t="shared" si="45"/>
        <v>0</v>
      </c>
      <c r="L969" s="151" t="s">
        <v>9020</v>
      </c>
    </row>
    <row r="970" spans="8:12" x14ac:dyDescent="0.25">
      <c r="H970" s="151" t="s">
        <v>2083</v>
      </c>
      <c r="I970" s="151" t="s">
        <v>6962</v>
      </c>
      <c r="J970" s="151" t="s">
        <v>6962</v>
      </c>
      <c r="K970" s="151">
        <f t="shared" si="45"/>
        <v>0</v>
      </c>
      <c r="L970" s="151" t="s">
        <v>9020</v>
      </c>
    </row>
    <row r="971" spans="8:12" x14ac:dyDescent="0.25">
      <c r="H971" s="151" t="s">
        <v>2084</v>
      </c>
      <c r="I971" s="151" t="s">
        <v>391</v>
      </c>
      <c r="J971" s="151" t="s">
        <v>6982</v>
      </c>
      <c r="K971" s="151">
        <f t="shared" si="45"/>
        <v>650000000000169</v>
      </c>
      <c r="L971" s="151" t="s">
        <v>9021</v>
      </c>
    </row>
    <row r="972" spans="8:12" x14ac:dyDescent="0.25">
      <c r="H972" s="151" t="s">
        <v>2085</v>
      </c>
      <c r="I972" s="151" t="s">
        <v>391</v>
      </c>
      <c r="J972" s="151" t="s">
        <v>6983</v>
      </c>
      <c r="K972" s="151">
        <f t="shared" si="45"/>
        <v>650000000000046</v>
      </c>
      <c r="L972" s="151" t="s">
        <v>9021</v>
      </c>
    </row>
    <row r="973" spans="8:12" x14ac:dyDescent="0.25">
      <c r="H973" s="151" t="s">
        <v>2086</v>
      </c>
      <c r="I973" s="151" t="s">
        <v>6962</v>
      </c>
      <c r="J973" s="151" t="s">
        <v>6962</v>
      </c>
      <c r="K973" s="151">
        <f t="shared" si="45"/>
        <v>0</v>
      </c>
      <c r="L973" s="151" t="s">
        <v>9022</v>
      </c>
    </row>
    <row r="974" spans="8:12" x14ac:dyDescent="0.25">
      <c r="H974" s="151" t="s">
        <v>2087</v>
      </c>
      <c r="I974" s="151" t="s">
        <v>6962</v>
      </c>
      <c r="J974" s="151" t="s">
        <v>6962</v>
      </c>
      <c r="K974" s="151">
        <f t="shared" si="45"/>
        <v>0</v>
      </c>
      <c r="L974" s="151" t="s">
        <v>9021</v>
      </c>
    </row>
    <row r="975" spans="8:12" x14ac:dyDescent="0.25">
      <c r="H975" s="151" t="s">
        <v>2088</v>
      </c>
      <c r="I975" s="151" t="s">
        <v>6962</v>
      </c>
      <c r="J975" s="151" t="s">
        <v>6984</v>
      </c>
      <c r="K975" s="151">
        <f t="shared" si="45"/>
        <v>650000000000168</v>
      </c>
      <c r="L975" s="151" t="s">
        <v>9021</v>
      </c>
    </row>
    <row r="976" spans="8:12" x14ac:dyDescent="0.25">
      <c r="H976" s="151" t="s">
        <v>2089</v>
      </c>
      <c r="I976" s="151" t="s">
        <v>391</v>
      </c>
      <c r="J976" s="151" t="s">
        <v>6985</v>
      </c>
      <c r="K976" s="151">
        <f t="shared" si="45"/>
        <v>650000000000043</v>
      </c>
      <c r="L976" s="151" t="s">
        <v>9021</v>
      </c>
    </row>
    <row r="977" spans="8:12" x14ac:dyDescent="0.25">
      <c r="H977" s="151" t="s">
        <v>2090</v>
      </c>
      <c r="I977" s="151" t="s">
        <v>391</v>
      </c>
      <c r="J977" s="151" t="s">
        <v>6986</v>
      </c>
      <c r="K977" s="151">
        <f t="shared" si="45"/>
        <v>650000000000155</v>
      </c>
      <c r="L977" s="151" t="s">
        <v>9021</v>
      </c>
    </row>
    <row r="978" spans="8:12" x14ac:dyDescent="0.25">
      <c r="H978" s="151" t="s">
        <v>2091</v>
      </c>
      <c r="I978" s="151" t="s">
        <v>6962</v>
      </c>
      <c r="J978" s="151" t="s">
        <v>6962</v>
      </c>
      <c r="K978" s="151">
        <f t="shared" si="45"/>
        <v>0</v>
      </c>
      <c r="L978" s="151" t="s">
        <v>9021</v>
      </c>
    </row>
    <row r="979" spans="8:12" x14ac:dyDescent="0.25">
      <c r="H979" s="151" t="s">
        <v>2092</v>
      </c>
      <c r="I979" s="151" t="s">
        <v>6962</v>
      </c>
      <c r="J979" s="151" t="s">
        <v>6987</v>
      </c>
      <c r="K979" s="151">
        <f t="shared" si="45"/>
        <v>650000000000065</v>
      </c>
      <c r="L979" s="151" t="s">
        <v>9021</v>
      </c>
    </row>
    <row r="980" spans="8:12" x14ac:dyDescent="0.25">
      <c r="H980" s="151" t="s">
        <v>2093</v>
      </c>
      <c r="I980" s="151" t="s">
        <v>391</v>
      </c>
      <c r="J980" s="151" t="s">
        <v>6988</v>
      </c>
      <c r="K980" s="151">
        <f t="shared" si="45"/>
        <v>650000000000157</v>
      </c>
      <c r="L980" s="151" t="s">
        <v>9021</v>
      </c>
    </row>
    <row r="981" spans="8:12" x14ac:dyDescent="0.25">
      <c r="H981" s="151" t="s">
        <v>2094</v>
      </c>
      <c r="I981" s="151" t="s">
        <v>391</v>
      </c>
      <c r="J981" s="151" t="s">
        <v>6989</v>
      </c>
      <c r="K981" s="151">
        <f t="shared" si="45"/>
        <v>650000000000154</v>
      </c>
      <c r="L981" s="151" t="s">
        <v>9021</v>
      </c>
    </row>
    <row r="982" spans="8:12" x14ac:dyDescent="0.25">
      <c r="H982" s="151" t="s">
        <v>2095</v>
      </c>
      <c r="I982" s="151" t="s">
        <v>6962</v>
      </c>
      <c r="J982" s="151" t="s">
        <v>6962</v>
      </c>
      <c r="K982" s="151">
        <f t="shared" si="45"/>
        <v>0</v>
      </c>
      <c r="L982" s="151" t="s">
        <v>9021</v>
      </c>
    </row>
    <row r="983" spans="8:12" x14ac:dyDescent="0.25">
      <c r="H983" s="151" t="s">
        <v>2095</v>
      </c>
      <c r="I983" s="151" t="s">
        <v>391</v>
      </c>
      <c r="J983" s="151" t="s">
        <v>6990</v>
      </c>
      <c r="K983" s="151">
        <f t="shared" si="45"/>
        <v>650000000000164</v>
      </c>
      <c r="L983" s="151" t="s">
        <v>9021</v>
      </c>
    </row>
    <row r="984" spans="8:12" x14ac:dyDescent="0.25">
      <c r="H984" s="151" t="s">
        <v>2096</v>
      </c>
      <c r="I984" s="151" t="s">
        <v>6962</v>
      </c>
      <c r="J984" s="151" t="s">
        <v>6962</v>
      </c>
      <c r="K984" s="151">
        <f t="shared" si="45"/>
        <v>0</v>
      </c>
      <c r="L984" s="151" t="s">
        <v>9021</v>
      </c>
    </row>
    <row r="985" spans="8:12" x14ac:dyDescent="0.25">
      <c r="H985" s="151" t="s">
        <v>2097</v>
      </c>
      <c r="I985" s="151" t="s">
        <v>391</v>
      </c>
      <c r="J985" s="151" t="s">
        <v>6991</v>
      </c>
      <c r="K985" s="151">
        <f t="shared" si="45"/>
        <v>650000000000156</v>
      </c>
      <c r="L985" s="151" t="s">
        <v>9021</v>
      </c>
    </row>
    <row r="986" spans="8:12" x14ac:dyDescent="0.25">
      <c r="H986" s="151" t="s">
        <v>2098</v>
      </c>
      <c r="I986" s="151" t="s">
        <v>6962</v>
      </c>
      <c r="J986" s="151" t="s">
        <v>6962</v>
      </c>
      <c r="K986" s="151">
        <f t="shared" si="45"/>
        <v>0</v>
      </c>
      <c r="L986" s="151" t="s">
        <v>9021</v>
      </c>
    </row>
    <row r="987" spans="8:12" x14ac:dyDescent="0.25">
      <c r="H987" s="151" t="s">
        <v>2099</v>
      </c>
      <c r="I987" s="151" t="s">
        <v>6962</v>
      </c>
      <c r="J987" s="151" t="s">
        <v>6962</v>
      </c>
      <c r="K987" s="151">
        <f t="shared" si="45"/>
        <v>0</v>
      </c>
      <c r="L987" s="151" t="s">
        <v>9021</v>
      </c>
    </row>
    <row r="988" spans="8:12" x14ac:dyDescent="0.25">
      <c r="H988" s="151" t="s">
        <v>2100</v>
      </c>
      <c r="I988" s="151" t="s">
        <v>391</v>
      </c>
      <c r="J988" s="151" t="s">
        <v>6988</v>
      </c>
      <c r="K988" s="151">
        <f t="shared" si="45"/>
        <v>650000000000157</v>
      </c>
      <c r="L988" s="151" t="s">
        <v>9021</v>
      </c>
    </row>
    <row r="989" spans="8:12" x14ac:dyDescent="0.25">
      <c r="H989" s="151" t="s">
        <v>2101</v>
      </c>
      <c r="I989" s="151" t="s">
        <v>6962</v>
      </c>
      <c r="J989" s="151" t="s">
        <v>6962</v>
      </c>
      <c r="K989" s="151">
        <f t="shared" si="45"/>
        <v>0</v>
      </c>
      <c r="L989" s="151" t="s">
        <v>9021</v>
      </c>
    </row>
    <row r="990" spans="8:12" x14ac:dyDescent="0.25">
      <c r="H990" s="151" t="s">
        <v>2102</v>
      </c>
      <c r="I990" s="151" t="s">
        <v>391</v>
      </c>
      <c r="J990" s="151" t="s">
        <v>6992</v>
      </c>
      <c r="K990" s="151">
        <f t="shared" si="45"/>
        <v>650000000000167</v>
      </c>
      <c r="L990" s="151" t="s">
        <v>9021</v>
      </c>
    </row>
    <row r="991" spans="8:12" x14ac:dyDescent="0.25">
      <c r="H991" s="151" t="s">
        <v>2103</v>
      </c>
      <c r="I991" s="151" t="s">
        <v>6962</v>
      </c>
      <c r="J991" s="151" t="s">
        <v>6993</v>
      </c>
      <c r="K991" s="151">
        <f t="shared" si="45"/>
        <v>650000000000166</v>
      </c>
      <c r="L991" s="151" t="s">
        <v>9021</v>
      </c>
    </row>
    <row r="992" spans="8:12" x14ac:dyDescent="0.25">
      <c r="H992" s="151" t="s">
        <v>2104</v>
      </c>
      <c r="I992" s="151" t="s">
        <v>6962</v>
      </c>
      <c r="J992" s="151" t="s">
        <v>6962</v>
      </c>
      <c r="K992" s="151">
        <f t="shared" si="45"/>
        <v>0</v>
      </c>
      <c r="L992" s="151" t="s">
        <v>9021</v>
      </c>
    </row>
    <row r="993" spans="8:12" x14ac:dyDescent="0.25">
      <c r="H993" s="151" t="s">
        <v>2105</v>
      </c>
      <c r="I993" s="151" t="s">
        <v>6962</v>
      </c>
      <c r="J993" s="151" t="s">
        <v>6962</v>
      </c>
      <c r="K993" s="151">
        <f t="shared" si="45"/>
        <v>0</v>
      </c>
      <c r="L993" s="151" t="s">
        <v>9021</v>
      </c>
    </row>
    <row r="994" spans="8:12" x14ac:dyDescent="0.25">
      <c r="H994" s="151" t="s">
        <v>2106</v>
      </c>
      <c r="I994" s="151" t="s">
        <v>6962</v>
      </c>
      <c r="J994" s="151" t="s">
        <v>6962</v>
      </c>
      <c r="K994" s="151">
        <f t="shared" si="45"/>
        <v>0</v>
      </c>
      <c r="L994" s="151" t="s">
        <v>9021</v>
      </c>
    </row>
    <row r="995" spans="8:12" x14ac:dyDescent="0.25">
      <c r="H995" s="151" t="s">
        <v>2107</v>
      </c>
      <c r="I995" s="151" t="s">
        <v>6962</v>
      </c>
      <c r="J995" s="151" t="s">
        <v>6962</v>
      </c>
      <c r="K995" s="151">
        <f t="shared" si="45"/>
        <v>0</v>
      </c>
      <c r="L995" s="151" t="s">
        <v>9021</v>
      </c>
    </row>
    <row r="996" spans="8:12" x14ac:dyDescent="0.25">
      <c r="H996" s="151" t="s">
        <v>2108</v>
      </c>
      <c r="I996" s="151" t="s">
        <v>6962</v>
      </c>
      <c r="J996" s="151" t="s">
        <v>6962</v>
      </c>
      <c r="K996" s="151">
        <f t="shared" si="45"/>
        <v>0</v>
      </c>
      <c r="L996" s="151" t="s">
        <v>9021</v>
      </c>
    </row>
    <row r="997" spans="8:12" x14ac:dyDescent="0.25">
      <c r="H997" s="151" t="s">
        <v>2108</v>
      </c>
      <c r="I997" s="151" t="s">
        <v>391</v>
      </c>
      <c r="J997" s="151" t="s">
        <v>6994</v>
      </c>
      <c r="K997" s="151">
        <f t="shared" si="45"/>
        <v>650000000000160</v>
      </c>
      <c r="L997" s="151" t="s">
        <v>9021</v>
      </c>
    </row>
    <row r="998" spans="8:12" x14ac:dyDescent="0.25">
      <c r="H998" s="151" t="s">
        <v>2109</v>
      </c>
      <c r="I998" s="151" t="s">
        <v>6962</v>
      </c>
      <c r="J998" s="151" t="s">
        <v>6962</v>
      </c>
      <c r="K998" s="151">
        <f t="shared" si="45"/>
        <v>0</v>
      </c>
      <c r="L998" s="151" t="s">
        <v>9021</v>
      </c>
    </row>
    <row r="999" spans="8:12" x14ac:dyDescent="0.25">
      <c r="H999" s="151" t="s">
        <v>2110</v>
      </c>
      <c r="I999" s="151" t="s">
        <v>6962</v>
      </c>
      <c r="J999" s="151" t="s">
        <v>6962</v>
      </c>
      <c r="K999" s="151">
        <f t="shared" si="45"/>
        <v>0</v>
      </c>
      <c r="L999" s="151" t="s">
        <v>9021</v>
      </c>
    </row>
    <row r="1000" spans="8:12" x14ac:dyDescent="0.25">
      <c r="H1000" s="151" t="s">
        <v>2111</v>
      </c>
      <c r="I1000" s="151" t="s">
        <v>6962</v>
      </c>
      <c r="J1000" s="151" t="s">
        <v>6962</v>
      </c>
      <c r="K1000" s="151">
        <f t="shared" si="45"/>
        <v>0</v>
      </c>
      <c r="L1000" s="151" t="s">
        <v>9021</v>
      </c>
    </row>
    <row r="1001" spans="8:12" x14ac:dyDescent="0.25">
      <c r="H1001" s="151" t="s">
        <v>2112</v>
      </c>
      <c r="I1001" s="151" t="s">
        <v>391</v>
      </c>
      <c r="J1001" s="151" t="s">
        <v>6995</v>
      </c>
      <c r="K1001" s="151">
        <f t="shared" si="45"/>
        <v>650000000000159</v>
      </c>
      <c r="L1001" s="151" t="s">
        <v>9023</v>
      </c>
    </row>
    <row r="1002" spans="8:12" x14ac:dyDescent="0.25">
      <c r="H1002" s="151" t="s">
        <v>2113</v>
      </c>
      <c r="I1002" s="151" t="s">
        <v>6962</v>
      </c>
      <c r="J1002" s="151" t="s">
        <v>6962</v>
      </c>
      <c r="K1002" s="151">
        <f t="shared" si="45"/>
        <v>0</v>
      </c>
      <c r="L1002" s="151" t="s">
        <v>9021</v>
      </c>
    </row>
    <row r="1003" spans="8:12" x14ac:dyDescent="0.25">
      <c r="H1003" s="151" t="s">
        <v>2114</v>
      </c>
      <c r="I1003" s="151" t="s">
        <v>391</v>
      </c>
      <c r="J1003" s="151" t="s">
        <v>6996</v>
      </c>
      <c r="K1003" s="151">
        <f t="shared" si="45"/>
        <v>650000000000048</v>
      </c>
      <c r="L1003" s="151" t="s">
        <v>9021</v>
      </c>
    </row>
    <row r="1004" spans="8:12" x14ac:dyDescent="0.25">
      <c r="H1004" s="151" t="s">
        <v>2115</v>
      </c>
      <c r="I1004" s="151" t="s">
        <v>6962</v>
      </c>
      <c r="J1004" s="151" t="s">
        <v>6962</v>
      </c>
      <c r="K1004" s="151">
        <f t="shared" si="45"/>
        <v>0</v>
      </c>
      <c r="L1004" s="151" t="s">
        <v>9021</v>
      </c>
    </row>
    <row r="1005" spans="8:12" x14ac:dyDescent="0.25">
      <c r="H1005" s="151" t="s">
        <v>2116</v>
      </c>
      <c r="I1005" s="151" t="s">
        <v>6962</v>
      </c>
      <c r="J1005" s="151" t="s">
        <v>6962</v>
      </c>
      <c r="K1005" s="151">
        <f t="shared" si="45"/>
        <v>0</v>
      </c>
      <c r="L1005" s="151" t="s">
        <v>9021</v>
      </c>
    </row>
    <row r="1006" spans="8:12" x14ac:dyDescent="0.25">
      <c r="H1006" s="151" t="s">
        <v>2117</v>
      </c>
      <c r="I1006" s="151" t="s">
        <v>6962</v>
      </c>
      <c r="J1006" s="151" t="s">
        <v>6962</v>
      </c>
      <c r="K1006" s="151">
        <f t="shared" si="45"/>
        <v>0</v>
      </c>
      <c r="L1006" s="151" t="s">
        <v>9021</v>
      </c>
    </row>
    <row r="1007" spans="8:12" x14ac:dyDescent="0.25">
      <c r="H1007" s="151" t="s">
        <v>2118</v>
      </c>
      <c r="I1007" s="151" t="s">
        <v>6962</v>
      </c>
      <c r="J1007" s="151" t="s">
        <v>6962</v>
      </c>
      <c r="K1007" s="151">
        <f t="shared" si="45"/>
        <v>0</v>
      </c>
      <c r="L1007" s="151" t="s">
        <v>9021</v>
      </c>
    </row>
    <row r="1008" spans="8:12" x14ac:dyDescent="0.25">
      <c r="H1008" s="151" t="s">
        <v>2119</v>
      </c>
      <c r="I1008" s="151" t="s">
        <v>391</v>
      </c>
      <c r="J1008" s="151" t="s">
        <v>6997</v>
      </c>
      <c r="K1008" s="151">
        <f t="shared" si="45"/>
        <v>650000000000047</v>
      </c>
      <c r="L1008" s="151" t="s">
        <v>9021</v>
      </c>
    </row>
    <row r="1009" spans="8:12" x14ac:dyDescent="0.25">
      <c r="H1009" s="151" t="s">
        <v>2120</v>
      </c>
      <c r="I1009" s="151" t="s">
        <v>6962</v>
      </c>
      <c r="J1009" s="151" t="s">
        <v>6962</v>
      </c>
      <c r="K1009" s="151">
        <f t="shared" si="45"/>
        <v>0</v>
      </c>
      <c r="L1009" s="151" t="s">
        <v>9021</v>
      </c>
    </row>
    <row r="1010" spans="8:12" x14ac:dyDescent="0.25">
      <c r="H1010" s="151" t="s">
        <v>2121</v>
      </c>
      <c r="I1010" s="151" t="s">
        <v>6962</v>
      </c>
      <c r="J1010" s="151" t="s">
        <v>6962</v>
      </c>
      <c r="K1010" s="151">
        <f t="shared" si="45"/>
        <v>0</v>
      </c>
      <c r="L1010" s="151" t="s">
        <v>9021</v>
      </c>
    </row>
    <row r="1011" spans="8:12" x14ac:dyDescent="0.25">
      <c r="H1011" s="151" t="s">
        <v>2122</v>
      </c>
      <c r="I1011" s="151" t="s">
        <v>391</v>
      </c>
      <c r="J1011" s="151" t="s">
        <v>6998</v>
      </c>
      <c r="K1011" s="151">
        <f t="shared" si="45"/>
        <v>650000000000044</v>
      </c>
      <c r="L1011" s="151" t="s">
        <v>9022</v>
      </c>
    </row>
    <row r="1012" spans="8:12" x14ac:dyDescent="0.25">
      <c r="H1012" s="151" t="s">
        <v>2123</v>
      </c>
      <c r="I1012" s="151" t="s">
        <v>391</v>
      </c>
      <c r="J1012" s="151" t="s">
        <v>6999</v>
      </c>
      <c r="K1012" s="151">
        <f t="shared" si="45"/>
        <v>650000000000045</v>
      </c>
      <c r="L1012" s="151" t="s">
        <v>9022</v>
      </c>
    </row>
    <row r="1013" spans="8:12" x14ac:dyDescent="0.25">
      <c r="H1013" s="151" t="s">
        <v>2124</v>
      </c>
      <c r="I1013" s="151" t="s">
        <v>6962</v>
      </c>
      <c r="J1013" s="151" t="s">
        <v>6962</v>
      </c>
      <c r="K1013" s="151">
        <f t="shared" si="45"/>
        <v>0</v>
      </c>
      <c r="L1013" s="151" t="s">
        <v>9023</v>
      </c>
    </row>
    <row r="1014" spans="8:12" x14ac:dyDescent="0.25">
      <c r="H1014" s="151" t="s">
        <v>2125</v>
      </c>
      <c r="I1014" s="151" t="s">
        <v>391</v>
      </c>
      <c r="J1014" s="151" t="s">
        <v>7000</v>
      </c>
      <c r="K1014" s="151">
        <f t="shared" si="45"/>
        <v>650000000000042</v>
      </c>
      <c r="L1014" s="151" t="s">
        <v>9021</v>
      </c>
    </row>
    <row r="1015" spans="8:12" x14ac:dyDescent="0.25">
      <c r="H1015" s="151" t="s">
        <v>2126</v>
      </c>
      <c r="I1015" s="151" t="s">
        <v>6962</v>
      </c>
      <c r="J1015" s="151" t="s">
        <v>7001</v>
      </c>
      <c r="K1015" s="151">
        <f t="shared" si="45"/>
        <v>650000000000022</v>
      </c>
      <c r="L1015" s="151" t="s">
        <v>9021</v>
      </c>
    </row>
    <row r="1016" spans="8:12" x14ac:dyDescent="0.25">
      <c r="H1016" s="151" t="s">
        <v>2127</v>
      </c>
      <c r="I1016" s="151" t="s">
        <v>391</v>
      </c>
      <c r="J1016" s="151" t="s">
        <v>7002</v>
      </c>
      <c r="K1016" s="151">
        <f t="shared" si="45"/>
        <v>650000000000035</v>
      </c>
      <c r="L1016" s="151" t="s">
        <v>9021</v>
      </c>
    </row>
    <row r="1017" spans="8:12" x14ac:dyDescent="0.25">
      <c r="H1017" s="151" t="s">
        <v>2128</v>
      </c>
      <c r="I1017" s="151" t="s">
        <v>6962</v>
      </c>
      <c r="J1017" s="151" t="s">
        <v>7003</v>
      </c>
      <c r="K1017" s="151">
        <f t="shared" si="45"/>
        <v>650000000000030</v>
      </c>
      <c r="L1017" s="151" t="s">
        <v>9021</v>
      </c>
    </row>
    <row r="1018" spans="8:12" x14ac:dyDescent="0.25">
      <c r="H1018" s="151" t="s">
        <v>2129</v>
      </c>
      <c r="I1018" s="151" t="s">
        <v>391</v>
      </c>
      <c r="J1018" s="151" t="s">
        <v>7004</v>
      </c>
      <c r="K1018" s="151">
        <f t="shared" si="45"/>
        <v>650000000000029</v>
      </c>
      <c r="L1018" s="151" t="s">
        <v>9021</v>
      </c>
    </row>
    <row r="1019" spans="8:12" x14ac:dyDescent="0.25">
      <c r="H1019" s="151" t="s">
        <v>2130</v>
      </c>
      <c r="I1019" s="151" t="s">
        <v>391</v>
      </c>
      <c r="J1019" s="151" t="s">
        <v>7005</v>
      </c>
      <c r="K1019" s="151">
        <f t="shared" si="45"/>
        <v>650000000000033</v>
      </c>
      <c r="L1019" s="151" t="s">
        <v>9021</v>
      </c>
    </row>
    <row r="1020" spans="8:12" x14ac:dyDescent="0.25">
      <c r="H1020" s="151" t="s">
        <v>2131</v>
      </c>
      <c r="I1020" s="151" t="s">
        <v>6962</v>
      </c>
      <c r="J1020" s="151" t="s">
        <v>7006</v>
      </c>
      <c r="K1020" s="151">
        <f t="shared" si="45"/>
        <v>650000000000034</v>
      </c>
      <c r="L1020" s="151" t="s">
        <v>9021</v>
      </c>
    </row>
    <row r="1021" spans="8:12" x14ac:dyDescent="0.25">
      <c r="H1021" s="151" t="s">
        <v>2132</v>
      </c>
      <c r="I1021" s="151" t="s">
        <v>6962</v>
      </c>
      <c r="J1021" s="151" t="s">
        <v>7007</v>
      </c>
      <c r="K1021" s="151">
        <f t="shared" si="45"/>
        <v>650000000000032</v>
      </c>
      <c r="L1021" s="151" t="s">
        <v>9021</v>
      </c>
    </row>
    <row r="1022" spans="8:12" x14ac:dyDescent="0.25">
      <c r="H1022" s="151" t="s">
        <v>2133</v>
      </c>
      <c r="I1022" s="151" t="s">
        <v>6962</v>
      </c>
      <c r="J1022" s="151" t="s">
        <v>7008</v>
      </c>
      <c r="K1022" s="151">
        <f t="shared" si="45"/>
        <v>650000000000028</v>
      </c>
      <c r="L1022" s="151" t="s">
        <v>9021</v>
      </c>
    </row>
    <row r="1023" spans="8:12" x14ac:dyDescent="0.25">
      <c r="H1023" s="151" t="s">
        <v>2134</v>
      </c>
      <c r="I1023" s="151" t="s">
        <v>391</v>
      </c>
      <c r="J1023" s="151" t="s">
        <v>7009</v>
      </c>
      <c r="K1023" s="151">
        <f t="shared" si="45"/>
        <v>650000000000040</v>
      </c>
      <c r="L1023" s="151" t="s">
        <v>9021</v>
      </c>
    </row>
    <row r="1024" spans="8:12" x14ac:dyDescent="0.25">
      <c r="H1024" s="151" t="s">
        <v>2135</v>
      </c>
      <c r="I1024" s="151" t="s">
        <v>391</v>
      </c>
      <c r="J1024" s="151" t="s">
        <v>7010</v>
      </c>
      <c r="K1024" s="151">
        <f t="shared" si="45"/>
        <v>650000000000039</v>
      </c>
      <c r="L1024" s="151" t="s">
        <v>9021</v>
      </c>
    </row>
    <row r="1025" spans="8:12" x14ac:dyDescent="0.25">
      <c r="H1025" s="151" t="s">
        <v>2136</v>
      </c>
      <c r="I1025" s="151" t="s">
        <v>6962</v>
      </c>
      <c r="J1025" s="151" t="s">
        <v>7011</v>
      </c>
      <c r="K1025" s="151">
        <f t="shared" si="45"/>
        <v>650000000000021</v>
      </c>
      <c r="L1025" s="151" t="s">
        <v>9021</v>
      </c>
    </row>
    <row r="1026" spans="8:12" x14ac:dyDescent="0.25">
      <c r="H1026" s="151" t="s">
        <v>2137</v>
      </c>
      <c r="I1026" s="151" t="s">
        <v>6962</v>
      </c>
      <c r="J1026" s="151" t="s">
        <v>7012</v>
      </c>
      <c r="K1026" s="151">
        <f t="shared" si="45"/>
        <v>650000000000038</v>
      </c>
      <c r="L1026" s="151" t="s">
        <v>9021</v>
      </c>
    </row>
    <row r="1027" spans="8:12" x14ac:dyDescent="0.25">
      <c r="H1027" s="151" t="s">
        <v>2138</v>
      </c>
      <c r="I1027" s="151" t="s">
        <v>6962</v>
      </c>
      <c r="J1027" s="151" t="s">
        <v>7013</v>
      </c>
      <c r="K1027" s="151">
        <f t="shared" ref="K1027:K1090" si="46">+IFERROR(J1027*1,0)</f>
        <v>650000000000025</v>
      </c>
      <c r="L1027" s="151" t="s">
        <v>9021</v>
      </c>
    </row>
    <row r="1028" spans="8:12" x14ac:dyDescent="0.25">
      <c r="H1028" s="151" t="s">
        <v>2139</v>
      </c>
      <c r="I1028" s="151" t="s">
        <v>6962</v>
      </c>
      <c r="J1028" s="151" t="s">
        <v>6964</v>
      </c>
      <c r="K1028" s="151">
        <f t="shared" si="46"/>
        <v>650000000000002</v>
      </c>
      <c r="L1028" s="151" t="s">
        <v>9021</v>
      </c>
    </row>
    <row r="1029" spans="8:12" x14ac:dyDescent="0.25">
      <c r="H1029" s="151" t="s">
        <v>2140</v>
      </c>
      <c r="I1029" s="151" t="s">
        <v>391</v>
      </c>
      <c r="J1029" s="151" t="s">
        <v>7014</v>
      </c>
      <c r="K1029" s="151">
        <f t="shared" si="46"/>
        <v>650000000000037</v>
      </c>
      <c r="L1029" s="151" t="s">
        <v>9021</v>
      </c>
    </row>
    <row r="1030" spans="8:12" x14ac:dyDescent="0.25">
      <c r="H1030" s="151" t="s">
        <v>2141</v>
      </c>
      <c r="I1030" s="151" t="s">
        <v>391</v>
      </c>
      <c r="J1030" s="151" t="s">
        <v>7015</v>
      </c>
      <c r="K1030" s="151">
        <f t="shared" si="46"/>
        <v>650000000000026</v>
      </c>
      <c r="L1030" s="151" t="s">
        <v>9023</v>
      </c>
    </row>
    <row r="1031" spans="8:12" x14ac:dyDescent="0.25">
      <c r="H1031" s="151" t="s">
        <v>2142</v>
      </c>
      <c r="I1031" s="151" t="s">
        <v>391</v>
      </c>
      <c r="J1031" s="151" t="s">
        <v>7016</v>
      </c>
      <c r="K1031" s="151">
        <f t="shared" si="46"/>
        <v>650000000000027</v>
      </c>
      <c r="L1031" s="151" t="s">
        <v>9021</v>
      </c>
    </row>
    <row r="1032" spans="8:12" x14ac:dyDescent="0.25">
      <c r="H1032" s="151" t="s">
        <v>2143</v>
      </c>
      <c r="I1032" s="151" t="s">
        <v>6962</v>
      </c>
      <c r="J1032" s="151" t="s">
        <v>6962</v>
      </c>
      <c r="K1032" s="151">
        <f t="shared" si="46"/>
        <v>0</v>
      </c>
      <c r="L1032" s="151" t="s">
        <v>9021</v>
      </c>
    </row>
    <row r="1033" spans="8:12" x14ac:dyDescent="0.25">
      <c r="H1033" s="151" t="s">
        <v>2143</v>
      </c>
      <c r="I1033" s="151" t="s">
        <v>391</v>
      </c>
      <c r="J1033" s="151" t="s">
        <v>7017</v>
      </c>
      <c r="K1033" s="151">
        <f t="shared" si="46"/>
        <v>650000000000175</v>
      </c>
      <c r="L1033" s="151" t="s">
        <v>9021</v>
      </c>
    </row>
    <row r="1034" spans="8:12" x14ac:dyDescent="0.25">
      <c r="H1034" s="151" t="s">
        <v>2144</v>
      </c>
      <c r="I1034" s="151" t="s">
        <v>6962</v>
      </c>
      <c r="J1034" s="151" t="s">
        <v>6962</v>
      </c>
      <c r="K1034" s="151">
        <f t="shared" si="46"/>
        <v>0</v>
      </c>
      <c r="L1034" s="151" t="s">
        <v>9021</v>
      </c>
    </row>
    <row r="1035" spans="8:12" x14ac:dyDescent="0.25">
      <c r="H1035" s="151" t="s">
        <v>2144</v>
      </c>
      <c r="I1035" s="151" t="s">
        <v>391</v>
      </c>
      <c r="J1035" s="151" t="s">
        <v>7018</v>
      </c>
      <c r="K1035" s="151">
        <f t="shared" si="46"/>
        <v>650000000000117</v>
      </c>
      <c r="L1035" s="151" t="s">
        <v>9021</v>
      </c>
    </row>
    <row r="1036" spans="8:12" x14ac:dyDescent="0.25">
      <c r="H1036" s="151" t="s">
        <v>2145</v>
      </c>
      <c r="I1036" s="151" t="s">
        <v>6962</v>
      </c>
      <c r="J1036" s="151" t="s">
        <v>6962</v>
      </c>
      <c r="K1036" s="151">
        <f t="shared" si="46"/>
        <v>0</v>
      </c>
      <c r="L1036" s="151" t="s">
        <v>9021</v>
      </c>
    </row>
    <row r="1037" spans="8:12" x14ac:dyDescent="0.25">
      <c r="H1037" s="151" t="s">
        <v>2145</v>
      </c>
      <c r="I1037" s="151" t="s">
        <v>391</v>
      </c>
      <c r="J1037" s="151" t="s">
        <v>7019</v>
      </c>
      <c r="K1037" s="151">
        <f t="shared" si="46"/>
        <v>650000000000129</v>
      </c>
      <c r="L1037" s="151" t="s">
        <v>9021</v>
      </c>
    </row>
    <row r="1038" spans="8:12" x14ac:dyDescent="0.25">
      <c r="H1038" s="151" t="s">
        <v>2146</v>
      </c>
      <c r="I1038" s="151" t="s">
        <v>6962</v>
      </c>
      <c r="J1038" s="151" t="s">
        <v>6962</v>
      </c>
      <c r="K1038" s="151">
        <f t="shared" si="46"/>
        <v>0</v>
      </c>
      <c r="L1038" s="151" t="s">
        <v>9021</v>
      </c>
    </row>
    <row r="1039" spans="8:12" x14ac:dyDescent="0.25">
      <c r="H1039" s="151" t="s">
        <v>2146</v>
      </c>
      <c r="I1039" s="151" t="s">
        <v>6962</v>
      </c>
      <c r="J1039" s="151" t="s">
        <v>7020</v>
      </c>
      <c r="K1039" s="151">
        <f t="shared" si="46"/>
        <v>650000000000144</v>
      </c>
      <c r="L1039" s="151" t="s">
        <v>9021</v>
      </c>
    </row>
    <row r="1040" spans="8:12" x14ac:dyDescent="0.25">
      <c r="H1040" s="151" t="s">
        <v>2147</v>
      </c>
      <c r="I1040" s="151" t="s">
        <v>6962</v>
      </c>
      <c r="J1040" s="151" t="s">
        <v>6962</v>
      </c>
      <c r="K1040" s="151">
        <f t="shared" si="46"/>
        <v>0</v>
      </c>
      <c r="L1040" s="151" t="s">
        <v>9021</v>
      </c>
    </row>
    <row r="1041" spans="8:12" x14ac:dyDescent="0.25">
      <c r="H1041" s="151" t="s">
        <v>2148</v>
      </c>
      <c r="I1041" s="151" t="s">
        <v>6962</v>
      </c>
      <c r="J1041" s="151" t="s">
        <v>6962</v>
      </c>
      <c r="K1041" s="151">
        <f t="shared" si="46"/>
        <v>0</v>
      </c>
      <c r="L1041" s="151" t="s">
        <v>9021</v>
      </c>
    </row>
    <row r="1042" spans="8:12" x14ac:dyDescent="0.25">
      <c r="H1042" s="151" t="s">
        <v>2148</v>
      </c>
      <c r="I1042" s="151" t="s">
        <v>391</v>
      </c>
      <c r="J1042" s="151" t="s">
        <v>7021</v>
      </c>
      <c r="K1042" s="151">
        <f t="shared" si="46"/>
        <v>650000000000125</v>
      </c>
      <c r="L1042" s="151" t="s">
        <v>9021</v>
      </c>
    </row>
    <row r="1043" spans="8:12" x14ac:dyDescent="0.25">
      <c r="H1043" s="151" t="s">
        <v>2149</v>
      </c>
      <c r="I1043" s="151" t="s">
        <v>6962</v>
      </c>
      <c r="J1043" s="151" t="s">
        <v>6962</v>
      </c>
      <c r="K1043" s="151">
        <f t="shared" si="46"/>
        <v>0</v>
      </c>
      <c r="L1043" s="151" t="s">
        <v>9021</v>
      </c>
    </row>
    <row r="1044" spans="8:12" x14ac:dyDescent="0.25">
      <c r="H1044" s="151" t="s">
        <v>2149</v>
      </c>
      <c r="I1044" s="151" t="s">
        <v>391</v>
      </c>
      <c r="J1044" s="151" t="s">
        <v>7022</v>
      </c>
      <c r="K1044" s="151">
        <f t="shared" si="46"/>
        <v>650000000000130</v>
      </c>
      <c r="L1044" s="151" t="s">
        <v>9021</v>
      </c>
    </row>
    <row r="1045" spans="8:12" x14ac:dyDescent="0.25">
      <c r="H1045" s="151" t="s">
        <v>2150</v>
      </c>
      <c r="I1045" s="151" t="s">
        <v>6962</v>
      </c>
      <c r="J1045" s="151" t="s">
        <v>6962</v>
      </c>
      <c r="K1045" s="151">
        <f t="shared" si="46"/>
        <v>0</v>
      </c>
      <c r="L1045" s="151" t="s">
        <v>9021</v>
      </c>
    </row>
    <row r="1046" spans="8:12" x14ac:dyDescent="0.25">
      <c r="H1046" s="151" t="s">
        <v>2150</v>
      </c>
      <c r="I1046" s="151" t="s">
        <v>6962</v>
      </c>
      <c r="J1046" s="151" t="s">
        <v>7023</v>
      </c>
      <c r="K1046" s="151">
        <f t="shared" si="46"/>
        <v>650000000000131</v>
      </c>
      <c r="L1046" s="151" t="s">
        <v>9021</v>
      </c>
    </row>
    <row r="1047" spans="8:12" x14ac:dyDescent="0.25">
      <c r="H1047" s="151" t="s">
        <v>2151</v>
      </c>
      <c r="I1047" s="151" t="s">
        <v>6962</v>
      </c>
      <c r="J1047" s="151" t="s">
        <v>6962</v>
      </c>
      <c r="K1047" s="151">
        <f t="shared" si="46"/>
        <v>0</v>
      </c>
      <c r="L1047" s="151" t="s">
        <v>9021</v>
      </c>
    </row>
    <row r="1048" spans="8:12" x14ac:dyDescent="0.25">
      <c r="H1048" s="151" t="s">
        <v>2151</v>
      </c>
      <c r="I1048" s="151" t="s">
        <v>391</v>
      </c>
      <c r="J1048" s="151" t="s">
        <v>7024</v>
      </c>
      <c r="K1048" s="151">
        <f t="shared" si="46"/>
        <v>650000000000177</v>
      </c>
      <c r="L1048" s="151" t="s">
        <v>9021</v>
      </c>
    </row>
    <row r="1049" spans="8:12" x14ac:dyDescent="0.25">
      <c r="H1049" s="151" t="s">
        <v>2152</v>
      </c>
      <c r="I1049" s="151" t="s">
        <v>6962</v>
      </c>
      <c r="J1049" s="151" t="s">
        <v>6962</v>
      </c>
      <c r="K1049" s="151">
        <f t="shared" si="46"/>
        <v>0</v>
      </c>
      <c r="L1049" s="151" t="s">
        <v>9022</v>
      </c>
    </row>
    <row r="1050" spans="8:12" x14ac:dyDescent="0.25">
      <c r="H1050" s="151" t="s">
        <v>2152</v>
      </c>
      <c r="I1050" s="151" t="s">
        <v>6962</v>
      </c>
      <c r="J1050" s="151" t="s">
        <v>7025</v>
      </c>
      <c r="K1050" s="151">
        <f t="shared" si="46"/>
        <v>650000000000132</v>
      </c>
      <c r="L1050" s="151" t="s">
        <v>9022</v>
      </c>
    </row>
    <row r="1051" spans="8:12" x14ac:dyDescent="0.25">
      <c r="H1051" s="151" t="s">
        <v>2153</v>
      </c>
      <c r="I1051" s="151" t="s">
        <v>391</v>
      </c>
      <c r="J1051" s="151" t="s">
        <v>7026</v>
      </c>
      <c r="K1051" s="151">
        <f t="shared" si="46"/>
        <v>650000000000189</v>
      </c>
      <c r="L1051" s="151" t="s">
        <v>9022</v>
      </c>
    </row>
    <row r="1052" spans="8:12" x14ac:dyDescent="0.25">
      <c r="H1052" s="151" t="s">
        <v>2154</v>
      </c>
      <c r="I1052" s="151" t="s">
        <v>6962</v>
      </c>
      <c r="J1052" s="151" t="s">
        <v>6962</v>
      </c>
      <c r="K1052" s="151">
        <f t="shared" si="46"/>
        <v>0</v>
      </c>
      <c r="L1052" s="151" t="s">
        <v>9021</v>
      </c>
    </row>
    <row r="1053" spans="8:12" x14ac:dyDescent="0.25">
      <c r="H1053" s="151" t="s">
        <v>2154</v>
      </c>
      <c r="I1053" s="151" t="s">
        <v>391</v>
      </c>
      <c r="J1053" s="151" t="s">
        <v>7027</v>
      </c>
      <c r="K1053" s="151">
        <f t="shared" si="46"/>
        <v>650000000000172</v>
      </c>
      <c r="L1053" s="151" t="s">
        <v>9021</v>
      </c>
    </row>
    <row r="1054" spans="8:12" x14ac:dyDescent="0.25">
      <c r="H1054" s="151" t="s">
        <v>2155</v>
      </c>
      <c r="I1054" s="151" t="s">
        <v>6962</v>
      </c>
      <c r="J1054" s="151" t="s">
        <v>6962</v>
      </c>
      <c r="K1054" s="151">
        <f t="shared" si="46"/>
        <v>0</v>
      </c>
      <c r="L1054" s="151" t="s">
        <v>9022</v>
      </c>
    </row>
    <row r="1055" spans="8:12" x14ac:dyDescent="0.25">
      <c r="H1055" s="151" t="s">
        <v>2155</v>
      </c>
      <c r="I1055" s="151" t="s">
        <v>6962</v>
      </c>
      <c r="J1055" s="151" t="s">
        <v>7028</v>
      </c>
      <c r="K1055" s="151">
        <f t="shared" si="46"/>
        <v>650000000000133</v>
      </c>
      <c r="L1055" s="151" t="s">
        <v>9022</v>
      </c>
    </row>
    <row r="1056" spans="8:12" x14ac:dyDescent="0.25">
      <c r="H1056" s="151" t="s">
        <v>2156</v>
      </c>
      <c r="I1056" s="151" t="s">
        <v>6962</v>
      </c>
      <c r="J1056" s="151" t="s">
        <v>6962</v>
      </c>
      <c r="K1056" s="151">
        <f t="shared" si="46"/>
        <v>0</v>
      </c>
      <c r="L1056" s="151" t="s">
        <v>9021</v>
      </c>
    </row>
    <row r="1057" spans="8:12" x14ac:dyDescent="0.25">
      <c r="H1057" s="151" t="s">
        <v>2156</v>
      </c>
      <c r="I1057" s="151" t="s">
        <v>391</v>
      </c>
      <c r="J1057" s="151" t="s">
        <v>7029</v>
      </c>
      <c r="K1057" s="151">
        <f t="shared" si="46"/>
        <v>650000000000173</v>
      </c>
      <c r="L1057" s="151" t="s">
        <v>9021</v>
      </c>
    </row>
    <row r="1058" spans="8:12" x14ac:dyDescent="0.25">
      <c r="H1058" s="151" t="s">
        <v>2157</v>
      </c>
      <c r="I1058" s="151" t="s">
        <v>6962</v>
      </c>
      <c r="J1058" s="151" t="s">
        <v>6962</v>
      </c>
      <c r="K1058" s="151">
        <f t="shared" si="46"/>
        <v>0</v>
      </c>
      <c r="L1058" s="151" t="s">
        <v>9022</v>
      </c>
    </row>
    <row r="1059" spans="8:12" x14ac:dyDescent="0.25">
      <c r="H1059" s="151" t="s">
        <v>2157</v>
      </c>
      <c r="I1059" s="151" t="s">
        <v>391</v>
      </c>
      <c r="J1059" s="151" t="s">
        <v>7030</v>
      </c>
      <c r="K1059" s="151">
        <f t="shared" si="46"/>
        <v>650000000000134</v>
      </c>
      <c r="L1059" s="151" t="s">
        <v>9022</v>
      </c>
    </row>
    <row r="1060" spans="8:12" x14ac:dyDescent="0.25">
      <c r="H1060" s="151" t="s">
        <v>2158</v>
      </c>
      <c r="I1060" s="151" t="s">
        <v>6962</v>
      </c>
      <c r="J1060" s="151" t="s">
        <v>6962</v>
      </c>
      <c r="K1060" s="151">
        <f t="shared" si="46"/>
        <v>0</v>
      </c>
      <c r="L1060" s="151" t="s">
        <v>9022</v>
      </c>
    </row>
    <row r="1061" spans="8:12" x14ac:dyDescent="0.25">
      <c r="H1061" s="151" t="s">
        <v>2158</v>
      </c>
      <c r="I1061" s="151" t="s">
        <v>391</v>
      </c>
      <c r="J1061" s="151" t="s">
        <v>7031</v>
      </c>
      <c r="K1061" s="151">
        <f t="shared" si="46"/>
        <v>650000000000145</v>
      </c>
      <c r="L1061" s="151" t="s">
        <v>9022</v>
      </c>
    </row>
    <row r="1062" spans="8:12" x14ac:dyDescent="0.25">
      <c r="H1062" s="151" t="s">
        <v>2159</v>
      </c>
      <c r="I1062" s="151" t="s">
        <v>6962</v>
      </c>
      <c r="J1062" s="151" t="s">
        <v>6962</v>
      </c>
      <c r="K1062" s="151">
        <f t="shared" si="46"/>
        <v>0</v>
      </c>
      <c r="L1062" s="151" t="s">
        <v>9022</v>
      </c>
    </row>
    <row r="1063" spans="8:12" x14ac:dyDescent="0.25">
      <c r="H1063" s="151" t="s">
        <v>2159</v>
      </c>
      <c r="I1063" s="151" t="s">
        <v>391</v>
      </c>
      <c r="J1063" s="151" t="s">
        <v>7032</v>
      </c>
      <c r="K1063" s="151">
        <f t="shared" si="46"/>
        <v>650000000000146</v>
      </c>
      <c r="L1063" s="151" t="s">
        <v>9022</v>
      </c>
    </row>
    <row r="1064" spans="8:12" x14ac:dyDescent="0.25">
      <c r="H1064" s="151" t="s">
        <v>2160</v>
      </c>
      <c r="I1064" s="151" t="s">
        <v>6962</v>
      </c>
      <c r="J1064" s="151" t="s">
        <v>6962</v>
      </c>
      <c r="K1064" s="151">
        <f t="shared" si="46"/>
        <v>0</v>
      </c>
      <c r="L1064" s="151" t="s">
        <v>9022</v>
      </c>
    </row>
    <row r="1065" spans="8:12" x14ac:dyDescent="0.25">
      <c r="H1065" s="151" t="s">
        <v>2160</v>
      </c>
      <c r="I1065" s="151" t="s">
        <v>391</v>
      </c>
      <c r="J1065" s="151" t="s">
        <v>7033</v>
      </c>
      <c r="K1065" s="151">
        <f t="shared" si="46"/>
        <v>650000000000137</v>
      </c>
      <c r="L1065" s="151" t="s">
        <v>9022</v>
      </c>
    </row>
    <row r="1066" spans="8:12" x14ac:dyDescent="0.25">
      <c r="H1066" s="151" t="s">
        <v>2161</v>
      </c>
      <c r="I1066" s="151" t="s">
        <v>6962</v>
      </c>
      <c r="J1066" s="151" t="s">
        <v>6962</v>
      </c>
      <c r="K1066" s="151">
        <f t="shared" si="46"/>
        <v>0</v>
      </c>
      <c r="L1066" s="151" t="s">
        <v>9022</v>
      </c>
    </row>
    <row r="1067" spans="8:12" x14ac:dyDescent="0.25">
      <c r="H1067" s="151" t="s">
        <v>2161</v>
      </c>
      <c r="I1067" s="151" t="s">
        <v>391</v>
      </c>
      <c r="J1067" s="151" t="s">
        <v>7034</v>
      </c>
      <c r="K1067" s="151">
        <f t="shared" si="46"/>
        <v>650000000000148</v>
      </c>
      <c r="L1067" s="151" t="s">
        <v>9022</v>
      </c>
    </row>
    <row r="1068" spans="8:12" x14ac:dyDescent="0.25">
      <c r="H1068" s="151" t="s">
        <v>2162</v>
      </c>
      <c r="I1068" s="151" t="s">
        <v>6962</v>
      </c>
      <c r="J1068" s="151" t="s">
        <v>6962</v>
      </c>
      <c r="K1068" s="151">
        <f t="shared" si="46"/>
        <v>0</v>
      </c>
      <c r="L1068" s="151" t="s">
        <v>9022</v>
      </c>
    </row>
    <row r="1069" spans="8:12" x14ac:dyDescent="0.25">
      <c r="H1069" s="151" t="s">
        <v>2162</v>
      </c>
      <c r="I1069" s="151" t="s">
        <v>6962</v>
      </c>
      <c r="J1069" s="151" t="s">
        <v>7035</v>
      </c>
      <c r="K1069" s="151">
        <f t="shared" si="46"/>
        <v>650000000000147</v>
      </c>
      <c r="L1069" s="151" t="s">
        <v>9022</v>
      </c>
    </row>
    <row r="1070" spans="8:12" x14ac:dyDescent="0.25">
      <c r="H1070" s="151" t="s">
        <v>2163</v>
      </c>
      <c r="I1070" s="151" t="s">
        <v>6962</v>
      </c>
      <c r="J1070" s="151" t="s">
        <v>6962</v>
      </c>
      <c r="K1070" s="151">
        <f t="shared" si="46"/>
        <v>0</v>
      </c>
      <c r="L1070" s="151" t="s">
        <v>9021</v>
      </c>
    </row>
    <row r="1071" spans="8:12" x14ac:dyDescent="0.25">
      <c r="H1071" s="151" t="s">
        <v>2164</v>
      </c>
      <c r="I1071" s="151" t="s">
        <v>6962</v>
      </c>
      <c r="J1071" s="151" t="s">
        <v>6962</v>
      </c>
      <c r="K1071" s="151">
        <f t="shared" si="46"/>
        <v>0</v>
      </c>
      <c r="L1071" s="151" t="s">
        <v>9022</v>
      </c>
    </row>
    <row r="1072" spans="8:12" x14ac:dyDescent="0.25">
      <c r="H1072" s="151" t="s">
        <v>2164</v>
      </c>
      <c r="I1072" s="151" t="s">
        <v>391</v>
      </c>
      <c r="J1072" s="151" t="s">
        <v>7036</v>
      </c>
      <c r="K1072" s="151">
        <f t="shared" si="46"/>
        <v>650000000000135</v>
      </c>
      <c r="L1072" s="151" t="s">
        <v>9022</v>
      </c>
    </row>
    <row r="1073" spans="8:12" x14ac:dyDescent="0.25">
      <c r="H1073" s="151" t="s">
        <v>2165</v>
      </c>
      <c r="I1073" s="151" t="s">
        <v>6962</v>
      </c>
      <c r="J1073" s="151" t="s">
        <v>6962</v>
      </c>
      <c r="K1073" s="151">
        <f t="shared" si="46"/>
        <v>0</v>
      </c>
      <c r="L1073" s="151" t="s">
        <v>9022</v>
      </c>
    </row>
    <row r="1074" spans="8:12" x14ac:dyDescent="0.25">
      <c r="H1074" s="151" t="s">
        <v>2165</v>
      </c>
      <c r="I1074" s="151" t="s">
        <v>391</v>
      </c>
      <c r="J1074" s="151" t="s">
        <v>7037</v>
      </c>
      <c r="K1074" s="151">
        <f t="shared" si="46"/>
        <v>650000000000138</v>
      </c>
      <c r="L1074" s="151" t="s">
        <v>9022</v>
      </c>
    </row>
    <row r="1075" spans="8:12" x14ac:dyDescent="0.25">
      <c r="H1075" s="151" t="s">
        <v>2166</v>
      </c>
      <c r="I1075" s="151" t="s">
        <v>391</v>
      </c>
      <c r="J1075" s="151" t="s">
        <v>7038</v>
      </c>
      <c r="K1075" s="151">
        <f t="shared" si="46"/>
        <v>650000000000139</v>
      </c>
      <c r="L1075" s="151" t="s">
        <v>9024</v>
      </c>
    </row>
    <row r="1076" spans="8:12" x14ac:dyDescent="0.25">
      <c r="H1076" s="151" t="s">
        <v>2167</v>
      </c>
      <c r="I1076" s="151" t="s">
        <v>391</v>
      </c>
      <c r="J1076" s="151" t="s">
        <v>7038</v>
      </c>
      <c r="K1076" s="151">
        <f t="shared" si="46"/>
        <v>650000000000139</v>
      </c>
      <c r="L1076" s="151" t="s">
        <v>9025</v>
      </c>
    </row>
    <row r="1077" spans="8:12" x14ac:dyDescent="0.25">
      <c r="H1077" s="151" t="s">
        <v>2168</v>
      </c>
      <c r="I1077" s="151" t="s">
        <v>391</v>
      </c>
      <c r="J1077" s="151" t="s">
        <v>7039</v>
      </c>
      <c r="K1077" s="151">
        <f t="shared" si="46"/>
        <v>650000000000141</v>
      </c>
      <c r="L1077" s="151" t="s">
        <v>9024</v>
      </c>
    </row>
    <row r="1078" spans="8:12" x14ac:dyDescent="0.25">
      <c r="H1078" s="151" t="s">
        <v>2169</v>
      </c>
      <c r="I1078" s="151" t="s">
        <v>391</v>
      </c>
      <c r="J1078" s="151" t="s">
        <v>7040</v>
      </c>
      <c r="K1078" s="151">
        <f t="shared" si="46"/>
        <v>650000000000181</v>
      </c>
      <c r="L1078" s="151" t="s">
        <v>9025</v>
      </c>
    </row>
    <row r="1079" spans="8:12" x14ac:dyDescent="0.25">
      <c r="H1079" s="151" t="s">
        <v>2170</v>
      </c>
      <c r="I1079" s="151" t="s">
        <v>6962</v>
      </c>
      <c r="J1079" s="151" t="s">
        <v>6962</v>
      </c>
      <c r="K1079" s="151">
        <f t="shared" si="46"/>
        <v>0</v>
      </c>
      <c r="L1079" s="151" t="s">
        <v>9022</v>
      </c>
    </row>
    <row r="1080" spans="8:12" x14ac:dyDescent="0.25">
      <c r="H1080" s="151" t="s">
        <v>2170</v>
      </c>
      <c r="I1080" s="151" t="s">
        <v>391</v>
      </c>
      <c r="J1080" s="151" t="s">
        <v>7041</v>
      </c>
      <c r="K1080" s="151">
        <f t="shared" si="46"/>
        <v>650000000000142</v>
      </c>
      <c r="L1080" s="151" t="s">
        <v>9022</v>
      </c>
    </row>
    <row r="1081" spans="8:12" x14ac:dyDescent="0.25">
      <c r="H1081" s="151" t="s">
        <v>2171</v>
      </c>
      <c r="I1081" s="151" t="s">
        <v>6962</v>
      </c>
      <c r="J1081" s="151" t="s">
        <v>6962</v>
      </c>
      <c r="K1081" s="151">
        <f t="shared" si="46"/>
        <v>0</v>
      </c>
      <c r="L1081" s="151" t="s">
        <v>9022</v>
      </c>
    </row>
    <row r="1082" spans="8:12" x14ac:dyDescent="0.25">
      <c r="H1082" s="151" t="s">
        <v>2171</v>
      </c>
      <c r="I1082" s="151" t="s">
        <v>391</v>
      </c>
      <c r="J1082" s="151" t="s">
        <v>7042</v>
      </c>
      <c r="K1082" s="151">
        <f t="shared" si="46"/>
        <v>650000000000149</v>
      </c>
      <c r="L1082" s="151" t="s">
        <v>9022</v>
      </c>
    </row>
    <row r="1083" spans="8:12" x14ac:dyDescent="0.25">
      <c r="H1083" s="151" t="s">
        <v>2172</v>
      </c>
      <c r="I1083" s="151" t="s">
        <v>6962</v>
      </c>
      <c r="J1083" s="151" t="s">
        <v>6962</v>
      </c>
      <c r="K1083" s="151">
        <f t="shared" si="46"/>
        <v>0</v>
      </c>
      <c r="L1083" s="151" t="s">
        <v>9022</v>
      </c>
    </row>
    <row r="1084" spans="8:12" x14ac:dyDescent="0.25">
      <c r="H1084" s="151" t="s">
        <v>2172</v>
      </c>
      <c r="I1084" s="151" t="s">
        <v>391</v>
      </c>
      <c r="J1084" s="151" t="s">
        <v>7043</v>
      </c>
      <c r="K1084" s="151">
        <f t="shared" si="46"/>
        <v>650000000000184</v>
      </c>
      <c r="L1084" s="151" t="s">
        <v>9022</v>
      </c>
    </row>
    <row r="1085" spans="8:12" x14ac:dyDescent="0.25">
      <c r="H1085" s="151" t="s">
        <v>2173</v>
      </c>
      <c r="I1085" s="151" t="s">
        <v>6962</v>
      </c>
      <c r="J1085" s="151" t="s">
        <v>6962</v>
      </c>
      <c r="K1085" s="151">
        <f t="shared" si="46"/>
        <v>0</v>
      </c>
      <c r="L1085" s="151" t="s">
        <v>9022</v>
      </c>
    </row>
    <row r="1086" spans="8:12" x14ac:dyDescent="0.25">
      <c r="H1086" s="151" t="s">
        <v>2173</v>
      </c>
      <c r="I1086" s="151" t="s">
        <v>391</v>
      </c>
      <c r="J1086" s="151" t="s">
        <v>7044</v>
      </c>
      <c r="K1086" s="151">
        <f t="shared" si="46"/>
        <v>650000000000185</v>
      </c>
      <c r="L1086" s="151" t="s">
        <v>9022</v>
      </c>
    </row>
    <row r="1087" spans="8:12" x14ac:dyDescent="0.25">
      <c r="H1087" s="151" t="s">
        <v>2174</v>
      </c>
      <c r="I1087" s="151" t="s">
        <v>391</v>
      </c>
      <c r="J1087" s="151" t="s">
        <v>7045</v>
      </c>
      <c r="K1087" s="151">
        <f t="shared" si="46"/>
        <v>650000000000186</v>
      </c>
      <c r="L1087" s="151" t="s">
        <v>9022</v>
      </c>
    </row>
    <row r="1088" spans="8:12" x14ac:dyDescent="0.25">
      <c r="H1088" s="151" t="s">
        <v>2175</v>
      </c>
      <c r="I1088" s="151" t="s">
        <v>391</v>
      </c>
      <c r="J1088" s="151" t="s">
        <v>7046</v>
      </c>
      <c r="K1088" s="151">
        <f t="shared" si="46"/>
        <v>650000000000187</v>
      </c>
      <c r="L1088" s="151" t="s">
        <v>9022</v>
      </c>
    </row>
    <row r="1089" spans="8:12" x14ac:dyDescent="0.25">
      <c r="H1089" s="151" t="s">
        <v>2176</v>
      </c>
      <c r="I1089" s="151" t="s">
        <v>391</v>
      </c>
      <c r="J1089" s="151" t="s">
        <v>7047</v>
      </c>
      <c r="K1089" s="151">
        <f t="shared" si="46"/>
        <v>650000000000188</v>
      </c>
      <c r="L1089" s="151" t="s">
        <v>9022</v>
      </c>
    </row>
    <row r="1090" spans="8:12" x14ac:dyDescent="0.25">
      <c r="H1090" s="151" t="s">
        <v>2177</v>
      </c>
      <c r="I1090" s="151" t="s">
        <v>6962</v>
      </c>
      <c r="J1090" s="151" t="s">
        <v>6962</v>
      </c>
      <c r="K1090" s="151">
        <f t="shared" si="46"/>
        <v>0</v>
      </c>
      <c r="L1090" s="151" t="s">
        <v>9021</v>
      </c>
    </row>
    <row r="1091" spans="8:12" x14ac:dyDescent="0.25">
      <c r="H1091" s="151" t="s">
        <v>2177</v>
      </c>
      <c r="I1091" s="151" t="s">
        <v>391</v>
      </c>
      <c r="J1091" s="151" t="s">
        <v>7048</v>
      </c>
      <c r="K1091" s="151">
        <f t="shared" ref="K1091:K1154" si="47">+IFERROR(J1091*1,0)</f>
        <v>650000000000118</v>
      </c>
      <c r="L1091" s="151" t="s">
        <v>9021</v>
      </c>
    </row>
    <row r="1092" spans="8:12" x14ac:dyDescent="0.25">
      <c r="H1092" s="151" t="s">
        <v>2178</v>
      </c>
      <c r="I1092" s="151" t="s">
        <v>391</v>
      </c>
      <c r="J1092" s="151" t="s">
        <v>7049</v>
      </c>
      <c r="K1092" s="151">
        <f t="shared" si="47"/>
        <v>650000000000190</v>
      </c>
      <c r="L1092" s="151" t="s">
        <v>9022</v>
      </c>
    </row>
    <row r="1093" spans="8:12" x14ac:dyDescent="0.25">
      <c r="H1093" s="151" t="s">
        <v>2179</v>
      </c>
      <c r="I1093" s="151" t="s">
        <v>391</v>
      </c>
      <c r="J1093" s="151" t="s">
        <v>7050</v>
      </c>
      <c r="K1093" s="151">
        <f t="shared" si="47"/>
        <v>650000000000191</v>
      </c>
      <c r="L1093" s="151" t="s">
        <v>9022</v>
      </c>
    </row>
    <row r="1094" spans="8:12" x14ac:dyDescent="0.25">
      <c r="H1094" s="151" t="s">
        <v>2180</v>
      </c>
      <c r="I1094" s="151" t="s">
        <v>391</v>
      </c>
      <c r="J1094" s="151" t="s">
        <v>7051</v>
      </c>
      <c r="K1094" s="151">
        <f t="shared" si="47"/>
        <v>650000000000192</v>
      </c>
      <c r="L1094" s="151" t="s">
        <v>9022</v>
      </c>
    </row>
    <row r="1095" spans="8:12" x14ac:dyDescent="0.25">
      <c r="H1095" s="151" t="s">
        <v>2181</v>
      </c>
      <c r="I1095" s="151" t="s">
        <v>6962</v>
      </c>
      <c r="J1095" s="151" t="s">
        <v>6962</v>
      </c>
      <c r="K1095" s="151">
        <f t="shared" si="47"/>
        <v>0</v>
      </c>
      <c r="L1095" s="151" t="s">
        <v>9022</v>
      </c>
    </row>
    <row r="1096" spans="8:12" x14ac:dyDescent="0.25">
      <c r="H1096" s="151" t="s">
        <v>2181</v>
      </c>
      <c r="I1096" s="151" t="s">
        <v>391</v>
      </c>
      <c r="J1096" s="151" t="s">
        <v>7052</v>
      </c>
      <c r="K1096" s="151">
        <f t="shared" si="47"/>
        <v>650000000002161</v>
      </c>
      <c r="L1096" s="151" t="s">
        <v>9022</v>
      </c>
    </row>
    <row r="1097" spans="8:12" x14ac:dyDescent="0.25">
      <c r="H1097" s="151" t="s">
        <v>2182</v>
      </c>
      <c r="I1097" s="151" t="s">
        <v>6962</v>
      </c>
      <c r="J1097" s="151" t="s">
        <v>6962</v>
      </c>
      <c r="K1097" s="151">
        <f t="shared" si="47"/>
        <v>0</v>
      </c>
      <c r="L1097" s="151" t="s">
        <v>9022</v>
      </c>
    </row>
    <row r="1098" spans="8:12" x14ac:dyDescent="0.25">
      <c r="H1098" s="151" t="s">
        <v>2182</v>
      </c>
      <c r="I1098" s="151" t="s">
        <v>391</v>
      </c>
      <c r="J1098" s="151" t="s">
        <v>7053</v>
      </c>
      <c r="K1098" s="151">
        <f t="shared" si="47"/>
        <v>650000000002162</v>
      </c>
      <c r="L1098" s="151" t="s">
        <v>9022</v>
      </c>
    </row>
    <row r="1099" spans="8:12" x14ac:dyDescent="0.25">
      <c r="H1099" s="151" t="s">
        <v>2183</v>
      </c>
      <c r="I1099" s="151" t="s">
        <v>6962</v>
      </c>
      <c r="J1099" s="151" t="s">
        <v>6962</v>
      </c>
      <c r="K1099" s="151">
        <f t="shared" si="47"/>
        <v>0</v>
      </c>
      <c r="L1099" s="151" t="s">
        <v>9022</v>
      </c>
    </row>
    <row r="1100" spans="8:12" x14ac:dyDescent="0.25">
      <c r="H1100" s="151" t="s">
        <v>2183</v>
      </c>
      <c r="I1100" s="151" t="s">
        <v>391</v>
      </c>
      <c r="J1100" s="151" t="s">
        <v>7054</v>
      </c>
      <c r="K1100" s="151">
        <f t="shared" si="47"/>
        <v>650000000002163</v>
      </c>
      <c r="L1100" s="151" t="s">
        <v>9022</v>
      </c>
    </row>
    <row r="1101" spans="8:12" x14ac:dyDescent="0.25">
      <c r="H1101" s="151" t="s">
        <v>2184</v>
      </c>
      <c r="I1101" s="151" t="s">
        <v>6962</v>
      </c>
      <c r="J1101" s="151" t="s">
        <v>6962</v>
      </c>
      <c r="K1101" s="151">
        <f t="shared" si="47"/>
        <v>0</v>
      </c>
      <c r="L1101" s="151" t="s">
        <v>9021</v>
      </c>
    </row>
    <row r="1102" spans="8:12" x14ac:dyDescent="0.25">
      <c r="H1102" s="151" t="s">
        <v>2185</v>
      </c>
      <c r="I1102" s="151" t="s">
        <v>6962</v>
      </c>
      <c r="J1102" s="151" t="s">
        <v>6962</v>
      </c>
      <c r="K1102" s="151">
        <f t="shared" si="47"/>
        <v>0</v>
      </c>
      <c r="L1102" s="151" t="s">
        <v>9021</v>
      </c>
    </row>
    <row r="1103" spans="8:12" x14ac:dyDescent="0.25">
      <c r="H1103" s="151" t="s">
        <v>2186</v>
      </c>
      <c r="I1103" s="151" t="s">
        <v>6962</v>
      </c>
      <c r="J1103" s="151" t="s">
        <v>6962</v>
      </c>
      <c r="K1103" s="151">
        <f t="shared" si="47"/>
        <v>0</v>
      </c>
      <c r="L1103" s="151" t="s">
        <v>9021</v>
      </c>
    </row>
    <row r="1104" spans="8:12" x14ac:dyDescent="0.25">
      <c r="H1104" s="151" t="s">
        <v>2187</v>
      </c>
      <c r="I1104" s="151" t="s">
        <v>6962</v>
      </c>
      <c r="J1104" s="151" t="s">
        <v>6962</v>
      </c>
      <c r="K1104" s="151">
        <f t="shared" si="47"/>
        <v>0</v>
      </c>
      <c r="L1104" s="151" t="s">
        <v>9021</v>
      </c>
    </row>
    <row r="1105" spans="8:12" x14ac:dyDescent="0.25">
      <c r="H1105" s="151" t="s">
        <v>2188</v>
      </c>
      <c r="I1105" s="151" t="s">
        <v>6962</v>
      </c>
      <c r="J1105" s="151" t="s">
        <v>6962</v>
      </c>
      <c r="K1105" s="151">
        <f t="shared" si="47"/>
        <v>0</v>
      </c>
      <c r="L1105" s="151" t="s">
        <v>9021</v>
      </c>
    </row>
    <row r="1106" spans="8:12" x14ac:dyDescent="0.25">
      <c r="H1106" s="151" t="s">
        <v>2189</v>
      </c>
      <c r="I1106" s="151" t="s">
        <v>6962</v>
      </c>
      <c r="J1106" s="151" t="s">
        <v>6962</v>
      </c>
      <c r="K1106" s="151">
        <f t="shared" si="47"/>
        <v>0</v>
      </c>
      <c r="L1106" s="151" t="s">
        <v>9021</v>
      </c>
    </row>
    <row r="1107" spans="8:12" x14ac:dyDescent="0.25">
      <c r="H1107" s="151" t="s">
        <v>2190</v>
      </c>
      <c r="I1107" s="151" t="s">
        <v>6962</v>
      </c>
      <c r="J1107" s="151" t="s">
        <v>6962</v>
      </c>
      <c r="K1107" s="151">
        <f t="shared" si="47"/>
        <v>0</v>
      </c>
      <c r="L1107" s="151" t="s">
        <v>9021</v>
      </c>
    </row>
    <row r="1108" spans="8:12" x14ac:dyDescent="0.25">
      <c r="H1108" s="151" t="s">
        <v>2191</v>
      </c>
      <c r="I1108" s="151" t="s">
        <v>6962</v>
      </c>
      <c r="J1108" s="151" t="s">
        <v>6962</v>
      </c>
      <c r="K1108" s="151">
        <f t="shared" si="47"/>
        <v>0</v>
      </c>
      <c r="L1108" s="151" t="s">
        <v>9021</v>
      </c>
    </row>
    <row r="1109" spans="8:12" x14ac:dyDescent="0.25">
      <c r="H1109" s="151" t="s">
        <v>2192</v>
      </c>
      <c r="I1109" s="151" t="s">
        <v>6962</v>
      </c>
      <c r="J1109" s="151" t="s">
        <v>6962</v>
      </c>
      <c r="K1109" s="151">
        <f t="shared" si="47"/>
        <v>0</v>
      </c>
      <c r="L1109" s="151" t="s">
        <v>9021</v>
      </c>
    </row>
    <row r="1110" spans="8:12" x14ac:dyDescent="0.25">
      <c r="H1110" s="151" t="s">
        <v>2193</v>
      </c>
      <c r="I1110" s="151" t="s">
        <v>6962</v>
      </c>
      <c r="J1110" s="151" t="s">
        <v>6962</v>
      </c>
      <c r="K1110" s="151">
        <f t="shared" si="47"/>
        <v>0</v>
      </c>
      <c r="L1110" s="151" t="s">
        <v>9021</v>
      </c>
    </row>
    <row r="1111" spans="8:12" x14ac:dyDescent="0.25">
      <c r="H1111" s="151" t="s">
        <v>3937</v>
      </c>
      <c r="I1111" s="151" t="s">
        <v>6962</v>
      </c>
      <c r="J1111" s="151" t="s">
        <v>6962</v>
      </c>
      <c r="K1111" s="151">
        <f t="shared" si="47"/>
        <v>0</v>
      </c>
      <c r="L1111" s="151" t="s">
        <v>9021</v>
      </c>
    </row>
    <row r="1112" spans="8:12" x14ac:dyDescent="0.25">
      <c r="H1112" s="151" t="s">
        <v>3937</v>
      </c>
      <c r="I1112" s="151" t="s">
        <v>391</v>
      </c>
      <c r="J1112" s="151" t="s">
        <v>7055</v>
      </c>
      <c r="K1112" s="151">
        <f t="shared" si="47"/>
        <v>650000000000193</v>
      </c>
      <c r="L1112" s="151" t="s">
        <v>9021</v>
      </c>
    </row>
    <row r="1113" spans="8:12" x14ac:dyDescent="0.25">
      <c r="H1113" s="151" t="s">
        <v>3938</v>
      </c>
      <c r="I1113" s="151" t="s">
        <v>6962</v>
      </c>
      <c r="J1113" s="151" t="s">
        <v>6962</v>
      </c>
      <c r="K1113" s="151">
        <f t="shared" si="47"/>
        <v>0</v>
      </c>
      <c r="L1113" s="151" t="s">
        <v>9021</v>
      </c>
    </row>
    <row r="1114" spans="8:12" x14ac:dyDescent="0.25">
      <c r="H1114" s="151" t="s">
        <v>3938</v>
      </c>
      <c r="I1114" s="151" t="s">
        <v>391</v>
      </c>
      <c r="J1114" s="151" t="s">
        <v>7056</v>
      </c>
      <c r="K1114" s="151">
        <f t="shared" si="47"/>
        <v>650000000000194</v>
      </c>
      <c r="L1114" s="151" t="s">
        <v>9021</v>
      </c>
    </row>
    <row r="1115" spans="8:12" x14ac:dyDescent="0.25">
      <c r="H1115" s="151" t="s">
        <v>3939</v>
      </c>
      <c r="I1115" s="151" t="s">
        <v>6962</v>
      </c>
      <c r="J1115" s="151" t="s">
        <v>6962</v>
      </c>
      <c r="K1115" s="151">
        <f t="shared" si="47"/>
        <v>0</v>
      </c>
      <c r="L1115" s="151" t="s">
        <v>9021</v>
      </c>
    </row>
    <row r="1116" spans="8:12" x14ac:dyDescent="0.25">
      <c r="H1116" s="151" t="s">
        <v>3939</v>
      </c>
      <c r="I1116" s="151" t="s">
        <v>391</v>
      </c>
      <c r="J1116" s="151" t="s">
        <v>7057</v>
      </c>
      <c r="K1116" s="151">
        <f t="shared" si="47"/>
        <v>650000000000195</v>
      </c>
      <c r="L1116" s="151" t="s">
        <v>9021</v>
      </c>
    </row>
    <row r="1117" spans="8:12" x14ac:dyDescent="0.25">
      <c r="H1117" s="151" t="s">
        <v>3940</v>
      </c>
      <c r="I1117" s="151" t="s">
        <v>6962</v>
      </c>
      <c r="J1117" s="151" t="s">
        <v>6962</v>
      </c>
      <c r="K1117" s="151">
        <f t="shared" si="47"/>
        <v>0</v>
      </c>
      <c r="L1117" s="151" t="s">
        <v>9021</v>
      </c>
    </row>
    <row r="1118" spans="8:12" x14ac:dyDescent="0.25">
      <c r="H1118" s="151" t="s">
        <v>3940</v>
      </c>
      <c r="I1118" s="151" t="s">
        <v>391</v>
      </c>
      <c r="J1118" s="151" t="s">
        <v>7058</v>
      </c>
      <c r="K1118" s="151">
        <f t="shared" si="47"/>
        <v>650000000000196</v>
      </c>
      <c r="L1118" s="151" t="s">
        <v>9021</v>
      </c>
    </row>
    <row r="1119" spans="8:12" x14ac:dyDescent="0.25">
      <c r="H1119" s="151" t="s">
        <v>3941</v>
      </c>
      <c r="I1119" s="151" t="s">
        <v>6962</v>
      </c>
      <c r="J1119" s="151" t="s">
        <v>6962</v>
      </c>
      <c r="K1119" s="151">
        <f t="shared" si="47"/>
        <v>0</v>
      </c>
      <c r="L1119" s="151" t="s">
        <v>9021</v>
      </c>
    </row>
    <row r="1120" spans="8:12" x14ac:dyDescent="0.25">
      <c r="H1120" s="151" t="s">
        <v>3941</v>
      </c>
      <c r="I1120" s="151" t="s">
        <v>391</v>
      </c>
      <c r="J1120" s="151" t="s">
        <v>7059</v>
      </c>
      <c r="K1120" s="151">
        <f t="shared" si="47"/>
        <v>650000000000197</v>
      </c>
      <c r="L1120" s="151" t="s">
        <v>9021</v>
      </c>
    </row>
    <row r="1121" spans="8:12" x14ac:dyDescent="0.25">
      <c r="H1121" s="151" t="s">
        <v>3942</v>
      </c>
      <c r="I1121" s="151" t="s">
        <v>6962</v>
      </c>
      <c r="J1121" s="151" t="s">
        <v>6962</v>
      </c>
      <c r="K1121" s="151">
        <f t="shared" si="47"/>
        <v>0</v>
      </c>
      <c r="L1121" s="151" t="s">
        <v>9021</v>
      </c>
    </row>
    <row r="1122" spans="8:12" x14ac:dyDescent="0.25">
      <c r="H1122" s="151" t="s">
        <v>3942</v>
      </c>
      <c r="I1122" s="151" t="s">
        <v>391</v>
      </c>
      <c r="J1122" s="151" t="s">
        <v>7060</v>
      </c>
      <c r="K1122" s="151">
        <f t="shared" si="47"/>
        <v>650000000000198</v>
      </c>
      <c r="L1122" s="151" t="s">
        <v>9021</v>
      </c>
    </row>
    <row r="1123" spans="8:12" x14ac:dyDescent="0.25">
      <c r="H1123" s="151" t="s">
        <v>3943</v>
      </c>
      <c r="I1123" s="151" t="s">
        <v>6962</v>
      </c>
      <c r="J1123" s="151" t="s">
        <v>6962</v>
      </c>
      <c r="K1123" s="151">
        <f t="shared" si="47"/>
        <v>0</v>
      </c>
      <c r="L1123" s="151" t="s">
        <v>9021</v>
      </c>
    </row>
    <row r="1124" spans="8:12" x14ac:dyDescent="0.25">
      <c r="H1124" s="151" t="s">
        <v>3943</v>
      </c>
      <c r="I1124" s="151" t="s">
        <v>391</v>
      </c>
      <c r="J1124" s="151" t="s">
        <v>7061</v>
      </c>
      <c r="K1124" s="151">
        <f t="shared" si="47"/>
        <v>650000000000199</v>
      </c>
      <c r="L1124" s="151" t="s">
        <v>9021</v>
      </c>
    </row>
    <row r="1125" spans="8:12" x14ac:dyDescent="0.25">
      <c r="H1125" s="151" t="s">
        <v>3944</v>
      </c>
      <c r="I1125" s="151" t="s">
        <v>6962</v>
      </c>
      <c r="J1125" s="151" t="s">
        <v>6962</v>
      </c>
      <c r="K1125" s="151">
        <f t="shared" si="47"/>
        <v>0</v>
      </c>
      <c r="L1125" s="151" t="s">
        <v>9021</v>
      </c>
    </row>
    <row r="1126" spans="8:12" x14ac:dyDescent="0.25">
      <c r="H1126" s="151" t="s">
        <v>3944</v>
      </c>
      <c r="I1126" s="151" t="s">
        <v>391</v>
      </c>
      <c r="J1126" s="151" t="s">
        <v>7062</v>
      </c>
      <c r="K1126" s="151">
        <f t="shared" si="47"/>
        <v>650000000000200</v>
      </c>
      <c r="L1126" s="151" t="s">
        <v>9021</v>
      </c>
    </row>
    <row r="1127" spans="8:12" x14ac:dyDescent="0.25">
      <c r="H1127" s="151" t="s">
        <v>3945</v>
      </c>
      <c r="I1127" s="151" t="s">
        <v>6962</v>
      </c>
      <c r="J1127" s="151" t="s">
        <v>6962</v>
      </c>
      <c r="K1127" s="151">
        <f t="shared" si="47"/>
        <v>0</v>
      </c>
      <c r="L1127" s="151" t="s">
        <v>9021</v>
      </c>
    </row>
    <row r="1128" spans="8:12" x14ac:dyDescent="0.25">
      <c r="H1128" s="151" t="s">
        <v>3945</v>
      </c>
      <c r="I1128" s="151" t="s">
        <v>391</v>
      </c>
      <c r="J1128" s="151" t="s">
        <v>7063</v>
      </c>
      <c r="K1128" s="151">
        <f t="shared" si="47"/>
        <v>650000000001470</v>
      </c>
      <c r="L1128" s="151" t="s">
        <v>9021</v>
      </c>
    </row>
    <row r="1129" spans="8:12" x14ac:dyDescent="0.25">
      <c r="H1129" s="151" t="s">
        <v>3946</v>
      </c>
      <c r="I1129" s="151" t="s">
        <v>6962</v>
      </c>
      <c r="J1129" s="151" t="s">
        <v>6962</v>
      </c>
      <c r="K1129" s="151">
        <f t="shared" si="47"/>
        <v>0</v>
      </c>
      <c r="L1129" s="151" t="s">
        <v>9021</v>
      </c>
    </row>
    <row r="1130" spans="8:12" x14ac:dyDescent="0.25">
      <c r="H1130" s="151" t="s">
        <v>3946</v>
      </c>
      <c r="I1130" s="151" t="s">
        <v>391</v>
      </c>
      <c r="J1130" s="151" t="s">
        <v>7064</v>
      </c>
      <c r="K1130" s="151">
        <f t="shared" si="47"/>
        <v>650000000000201</v>
      </c>
      <c r="L1130" s="151" t="s">
        <v>9021</v>
      </c>
    </row>
    <row r="1131" spans="8:12" x14ac:dyDescent="0.25">
      <c r="H1131" s="151" t="s">
        <v>3947</v>
      </c>
      <c r="I1131" s="151" t="s">
        <v>6962</v>
      </c>
      <c r="J1131" s="151" t="s">
        <v>6962</v>
      </c>
      <c r="K1131" s="151">
        <f t="shared" si="47"/>
        <v>0</v>
      </c>
      <c r="L1131" s="151" t="s">
        <v>9021</v>
      </c>
    </row>
    <row r="1132" spans="8:12" x14ac:dyDescent="0.25">
      <c r="H1132" s="151" t="s">
        <v>3947</v>
      </c>
      <c r="I1132" s="151" t="s">
        <v>391</v>
      </c>
      <c r="J1132" s="151" t="s">
        <v>7065</v>
      </c>
      <c r="K1132" s="151">
        <f t="shared" si="47"/>
        <v>650000000000202</v>
      </c>
      <c r="L1132" s="151" t="s">
        <v>9021</v>
      </c>
    </row>
    <row r="1133" spans="8:12" x14ac:dyDescent="0.25">
      <c r="H1133" s="151" t="s">
        <v>3948</v>
      </c>
      <c r="I1133" s="151" t="s">
        <v>6962</v>
      </c>
      <c r="J1133" s="151" t="s">
        <v>6962</v>
      </c>
      <c r="K1133" s="151">
        <f t="shared" si="47"/>
        <v>0</v>
      </c>
      <c r="L1133" s="151" t="s">
        <v>9021</v>
      </c>
    </row>
    <row r="1134" spans="8:12" x14ac:dyDescent="0.25">
      <c r="H1134" s="151" t="s">
        <v>3948</v>
      </c>
      <c r="I1134" s="151" t="s">
        <v>391</v>
      </c>
      <c r="J1134" s="151" t="s">
        <v>7066</v>
      </c>
      <c r="K1134" s="151">
        <f t="shared" si="47"/>
        <v>650000000000203</v>
      </c>
      <c r="L1134" s="151" t="s">
        <v>9021</v>
      </c>
    </row>
    <row r="1135" spans="8:12" x14ac:dyDescent="0.25">
      <c r="H1135" s="151" t="s">
        <v>3949</v>
      </c>
      <c r="I1135" s="151" t="s">
        <v>6962</v>
      </c>
      <c r="J1135" s="151" t="s">
        <v>6962</v>
      </c>
      <c r="K1135" s="151">
        <f t="shared" si="47"/>
        <v>0</v>
      </c>
      <c r="L1135" s="151" t="s">
        <v>9021</v>
      </c>
    </row>
    <row r="1136" spans="8:12" x14ac:dyDescent="0.25">
      <c r="H1136" s="151" t="s">
        <v>3949</v>
      </c>
      <c r="I1136" s="151" t="s">
        <v>391</v>
      </c>
      <c r="J1136" s="151" t="s">
        <v>7067</v>
      </c>
      <c r="K1136" s="151">
        <f t="shared" si="47"/>
        <v>650000000000204</v>
      </c>
      <c r="L1136" s="151" t="s">
        <v>9021</v>
      </c>
    </row>
    <row r="1137" spans="8:12" x14ac:dyDescent="0.25">
      <c r="H1137" s="151" t="s">
        <v>3950</v>
      </c>
      <c r="I1137" s="151" t="s">
        <v>6962</v>
      </c>
      <c r="J1137" s="151" t="s">
        <v>6962</v>
      </c>
      <c r="K1137" s="151">
        <f t="shared" si="47"/>
        <v>0</v>
      </c>
      <c r="L1137" s="151" t="s">
        <v>9021</v>
      </c>
    </row>
    <row r="1138" spans="8:12" x14ac:dyDescent="0.25">
      <c r="H1138" s="151" t="s">
        <v>3950</v>
      </c>
      <c r="I1138" s="151" t="s">
        <v>391</v>
      </c>
      <c r="J1138" s="151" t="s">
        <v>7068</v>
      </c>
      <c r="K1138" s="151">
        <f t="shared" si="47"/>
        <v>650000000000205</v>
      </c>
      <c r="L1138" s="151" t="s">
        <v>9021</v>
      </c>
    </row>
    <row r="1139" spans="8:12" x14ac:dyDescent="0.25">
      <c r="H1139" s="151" t="s">
        <v>3951</v>
      </c>
      <c r="I1139" s="151" t="s">
        <v>6962</v>
      </c>
      <c r="J1139" s="151" t="s">
        <v>6962</v>
      </c>
      <c r="K1139" s="151">
        <f t="shared" si="47"/>
        <v>0</v>
      </c>
      <c r="L1139" s="151" t="s">
        <v>9021</v>
      </c>
    </row>
    <row r="1140" spans="8:12" x14ac:dyDescent="0.25">
      <c r="H1140" s="151" t="s">
        <v>3951</v>
      </c>
      <c r="I1140" s="151" t="s">
        <v>391</v>
      </c>
      <c r="J1140" s="151" t="s">
        <v>7069</v>
      </c>
      <c r="K1140" s="151">
        <f t="shared" si="47"/>
        <v>650000000000206</v>
      </c>
      <c r="L1140" s="151" t="s">
        <v>9021</v>
      </c>
    </row>
    <row r="1141" spans="8:12" x14ac:dyDescent="0.25">
      <c r="H1141" s="151" t="s">
        <v>3952</v>
      </c>
      <c r="I1141" s="151" t="s">
        <v>6962</v>
      </c>
      <c r="J1141" s="151" t="s">
        <v>6962</v>
      </c>
      <c r="K1141" s="151">
        <f t="shared" si="47"/>
        <v>0</v>
      </c>
      <c r="L1141" s="151" t="s">
        <v>9021</v>
      </c>
    </row>
    <row r="1142" spans="8:12" x14ac:dyDescent="0.25">
      <c r="H1142" s="151" t="s">
        <v>3952</v>
      </c>
      <c r="I1142" s="151" t="s">
        <v>391</v>
      </c>
      <c r="J1142" s="151" t="s">
        <v>7070</v>
      </c>
      <c r="K1142" s="151">
        <f t="shared" si="47"/>
        <v>650000000000207</v>
      </c>
      <c r="L1142" s="151" t="s">
        <v>9021</v>
      </c>
    </row>
    <row r="1143" spans="8:12" x14ac:dyDescent="0.25">
      <c r="H1143" s="151" t="s">
        <v>3953</v>
      </c>
      <c r="I1143" s="151" t="s">
        <v>6962</v>
      </c>
      <c r="J1143" s="151" t="s">
        <v>6962</v>
      </c>
      <c r="K1143" s="151">
        <f t="shared" si="47"/>
        <v>0</v>
      </c>
      <c r="L1143" s="151" t="s">
        <v>9021</v>
      </c>
    </row>
    <row r="1144" spans="8:12" x14ac:dyDescent="0.25">
      <c r="H1144" s="151" t="s">
        <v>3953</v>
      </c>
      <c r="I1144" s="151" t="s">
        <v>391</v>
      </c>
      <c r="J1144" s="151" t="s">
        <v>7071</v>
      </c>
      <c r="K1144" s="151">
        <f t="shared" si="47"/>
        <v>650000000000208</v>
      </c>
      <c r="L1144" s="151" t="s">
        <v>9021</v>
      </c>
    </row>
    <row r="1145" spans="8:12" x14ac:dyDescent="0.25">
      <c r="H1145" s="151" t="s">
        <v>3954</v>
      </c>
      <c r="I1145" s="151" t="s">
        <v>6962</v>
      </c>
      <c r="J1145" s="151" t="s">
        <v>6962</v>
      </c>
      <c r="K1145" s="151">
        <f t="shared" si="47"/>
        <v>0</v>
      </c>
      <c r="L1145" s="151" t="s">
        <v>9021</v>
      </c>
    </row>
    <row r="1146" spans="8:12" x14ac:dyDescent="0.25">
      <c r="H1146" s="151" t="s">
        <v>3954</v>
      </c>
      <c r="I1146" s="151" t="s">
        <v>391</v>
      </c>
      <c r="J1146" s="151" t="s">
        <v>7072</v>
      </c>
      <c r="K1146" s="151">
        <f t="shared" si="47"/>
        <v>650000000001471</v>
      </c>
      <c r="L1146" s="151" t="s">
        <v>9021</v>
      </c>
    </row>
    <row r="1147" spans="8:12" x14ac:dyDescent="0.25">
      <c r="H1147" s="151" t="s">
        <v>3955</v>
      </c>
      <c r="I1147" s="151" t="s">
        <v>6962</v>
      </c>
      <c r="J1147" s="151" t="s">
        <v>6962</v>
      </c>
      <c r="K1147" s="151">
        <f t="shared" si="47"/>
        <v>0</v>
      </c>
      <c r="L1147" s="151" t="s">
        <v>9021</v>
      </c>
    </row>
    <row r="1148" spans="8:12" x14ac:dyDescent="0.25">
      <c r="H1148" s="151" t="s">
        <v>3955</v>
      </c>
      <c r="I1148" s="151" t="s">
        <v>391</v>
      </c>
      <c r="J1148" s="151" t="s">
        <v>7073</v>
      </c>
      <c r="K1148" s="151">
        <f t="shared" si="47"/>
        <v>650000000000209</v>
      </c>
      <c r="L1148" s="151" t="s">
        <v>9021</v>
      </c>
    </row>
    <row r="1149" spans="8:12" x14ac:dyDescent="0.25">
      <c r="H1149" s="151" t="s">
        <v>3956</v>
      </c>
      <c r="I1149" s="151" t="s">
        <v>6962</v>
      </c>
      <c r="J1149" s="151" t="s">
        <v>6962</v>
      </c>
      <c r="K1149" s="151">
        <f t="shared" si="47"/>
        <v>0</v>
      </c>
      <c r="L1149" s="151" t="s">
        <v>9021</v>
      </c>
    </row>
    <row r="1150" spans="8:12" x14ac:dyDescent="0.25">
      <c r="H1150" s="151" t="s">
        <v>3956</v>
      </c>
      <c r="I1150" s="151" t="s">
        <v>391</v>
      </c>
      <c r="J1150" s="151" t="s">
        <v>7074</v>
      </c>
      <c r="K1150" s="151">
        <f t="shared" si="47"/>
        <v>650000000000210</v>
      </c>
      <c r="L1150" s="151" t="s">
        <v>9021</v>
      </c>
    </row>
    <row r="1151" spans="8:12" x14ac:dyDescent="0.25">
      <c r="H1151" s="151" t="s">
        <v>3957</v>
      </c>
      <c r="I1151" s="151" t="s">
        <v>6962</v>
      </c>
      <c r="J1151" s="151" t="s">
        <v>6962</v>
      </c>
      <c r="K1151" s="151">
        <f t="shared" si="47"/>
        <v>0</v>
      </c>
      <c r="L1151" s="151" t="s">
        <v>9021</v>
      </c>
    </row>
    <row r="1152" spans="8:12" x14ac:dyDescent="0.25">
      <c r="H1152" s="151" t="s">
        <v>3957</v>
      </c>
      <c r="I1152" s="151" t="s">
        <v>391</v>
      </c>
      <c r="J1152" s="151" t="s">
        <v>7075</v>
      </c>
      <c r="K1152" s="151">
        <f t="shared" si="47"/>
        <v>650000000000211</v>
      </c>
      <c r="L1152" s="151" t="s">
        <v>9021</v>
      </c>
    </row>
    <row r="1153" spans="8:12" x14ac:dyDescent="0.25">
      <c r="H1153" s="151" t="s">
        <v>3958</v>
      </c>
      <c r="I1153" s="151" t="s">
        <v>6962</v>
      </c>
      <c r="J1153" s="151" t="s">
        <v>6962</v>
      </c>
      <c r="K1153" s="151">
        <f t="shared" si="47"/>
        <v>0</v>
      </c>
      <c r="L1153" s="151" t="s">
        <v>9021</v>
      </c>
    </row>
    <row r="1154" spans="8:12" x14ac:dyDescent="0.25">
      <c r="H1154" s="151" t="s">
        <v>3958</v>
      </c>
      <c r="I1154" s="151" t="s">
        <v>391</v>
      </c>
      <c r="J1154" s="151" t="s">
        <v>7076</v>
      </c>
      <c r="K1154" s="151">
        <f t="shared" si="47"/>
        <v>650000000000212</v>
      </c>
      <c r="L1154" s="151" t="s">
        <v>9021</v>
      </c>
    </row>
    <row r="1155" spans="8:12" x14ac:dyDescent="0.25">
      <c r="H1155" s="151" t="s">
        <v>3959</v>
      </c>
      <c r="I1155" s="151" t="s">
        <v>6962</v>
      </c>
      <c r="J1155" s="151" t="s">
        <v>6962</v>
      </c>
      <c r="K1155" s="151">
        <f t="shared" ref="K1155:K1218" si="48">+IFERROR(J1155*1,0)</f>
        <v>0</v>
      </c>
      <c r="L1155" s="151" t="s">
        <v>9021</v>
      </c>
    </row>
    <row r="1156" spans="8:12" x14ac:dyDescent="0.25">
      <c r="H1156" s="151" t="s">
        <v>3959</v>
      </c>
      <c r="I1156" s="151" t="s">
        <v>391</v>
      </c>
      <c r="J1156" s="151" t="s">
        <v>7077</v>
      </c>
      <c r="K1156" s="151">
        <f t="shared" si="48"/>
        <v>650000000001472</v>
      </c>
      <c r="L1156" s="151" t="s">
        <v>9021</v>
      </c>
    </row>
    <row r="1157" spans="8:12" x14ac:dyDescent="0.25">
      <c r="H1157" s="151" t="s">
        <v>3960</v>
      </c>
      <c r="I1157" s="151" t="s">
        <v>6962</v>
      </c>
      <c r="J1157" s="151" t="s">
        <v>6962</v>
      </c>
      <c r="K1157" s="151">
        <f t="shared" si="48"/>
        <v>0</v>
      </c>
      <c r="L1157" s="151" t="s">
        <v>9021</v>
      </c>
    </row>
    <row r="1158" spans="8:12" x14ac:dyDescent="0.25">
      <c r="H1158" s="151" t="s">
        <v>3960</v>
      </c>
      <c r="I1158" s="151" t="s">
        <v>391</v>
      </c>
      <c r="J1158" s="151" t="s">
        <v>7078</v>
      </c>
      <c r="K1158" s="151">
        <f t="shared" si="48"/>
        <v>650000000000213</v>
      </c>
      <c r="L1158" s="151" t="s">
        <v>9021</v>
      </c>
    </row>
    <row r="1159" spans="8:12" x14ac:dyDescent="0.25">
      <c r="H1159" s="151" t="s">
        <v>3961</v>
      </c>
      <c r="I1159" s="151" t="s">
        <v>6962</v>
      </c>
      <c r="J1159" s="151" t="s">
        <v>6962</v>
      </c>
      <c r="K1159" s="151">
        <f t="shared" si="48"/>
        <v>0</v>
      </c>
      <c r="L1159" s="151" t="s">
        <v>9021</v>
      </c>
    </row>
    <row r="1160" spans="8:12" x14ac:dyDescent="0.25">
      <c r="H1160" s="151" t="s">
        <v>3961</v>
      </c>
      <c r="I1160" s="151" t="s">
        <v>391</v>
      </c>
      <c r="J1160" s="151" t="s">
        <v>7079</v>
      </c>
      <c r="K1160" s="151">
        <f t="shared" si="48"/>
        <v>650000000001473</v>
      </c>
      <c r="L1160" s="151" t="s">
        <v>9021</v>
      </c>
    </row>
    <row r="1161" spans="8:12" x14ac:dyDescent="0.25">
      <c r="H1161" s="151" t="s">
        <v>3962</v>
      </c>
      <c r="I1161" s="151" t="s">
        <v>6962</v>
      </c>
      <c r="J1161" s="151" t="s">
        <v>6962</v>
      </c>
      <c r="K1161" s="151">
        <f t="shared" si="48"/>
        <v>0</v>
      </c>
      <c r="L1161" s="151" t="s">
        <v>9021</v>
      </c>
    </row>
    <row r="1162" spans="8:12" x14ac:dyDescent="0.25">
      <c r="H1162" s="151" t="s">
        <v>3962</v>
      </c>
      <c r="I1162" s="151" t="s">
        <v>391</v>
      </c>
      <c r="J1162" s="151" t="s">
        <v>7080</v>
      </c>
      <c r="K1162" s="151">
        <f t="shared" si="48"/>
        <v>650000000000214</v>
      </c>
      <c r="L1162" s="151" t="s">
        <v>9021</v>
      </c>
    </row>
    <row r="1163" spans="8:12" x14ac:dyDescent="0.25">
      <c r="H1163" s="151" t="s">
        <v>3963</v>
      </c>
      <c r="I1163" s="151" t="s">
        <v>6962</v>
      </c>
      <c r="J1163" s="151" t="s">
        <v>6962</v>
      </c>
      <c r="K1163" s="151">
        <f t="shared" si="48"/>
        <v>0</v>
      </c>
      <c r="L1163" s="151" t="s">
        <v>9021</v>
      </c>
    </row>
    <row r="1164" spans="8:12" x14ac:dyDescent="0.25">
      <c r="H1164" s="151" t="s">
        <v>3963</v>
      </c>
      <c r="I1164" s="151" t="s">
        <v>391</v>
      </c>
      <c r="J1164" s="151" t="s">
        <v>7081</v>
      </c>
      <c r="K1164" s="151">
        <f t="shared" si="48"/>
        <v>650000000000215</v>
      </c>
      <c r="L1164" s="151" t="s">
        <v>9021</v>
      </c>
    </row>
    <row r="1165" spans="8:12" x14ac:dyDescent="0.25">
      <c r="H1165" s="151" t="s">
        <v>3964</v>
      </c>
      <c r="I1165" s="151" t="s">
        <v>6962</v>
      </c>
      <c r="J1165" s="151" t="s">
        <v>6962</v>
      </c>
      <c r="K1165" s="151">
        <f t="shared" si="48"/>
        <v>0</v>
      </c>
      <c r="L1165" s="151" t="s">
        <v>9021</v>
      </c>
    </row>
    <row r="1166" spans="8:12" x14ac:dyDescent="0.25">
      <c r="H1166" s="151" t="s">
        <v>3964</v>
      </c>
      <c r="I1166" s="151" t="s">
        <v>391</v>
      </c>
      <c r="J1166" s="151" t="s">
        <v>7082</v>
      </c>
      <c r="K1166" s="151">
        <f t="shared" si="48"/>
        <v>650000000001474</v>
      </c>
      <c r="L1166" s="151" t="s">
        <v>9021</v>
      </c>
    </row>
    <row r="1167" spans="8:12" x14ac:dyDescent="0.25">
      <c r="H1167" s="151" t="s">
        <v>3965</v>
      </c>
      <c r="I1167" s="151" t="s">
        <v>6962</v>
      </c>
      <c r="J1167" s="151" t="s">
        <v>6962</v>
      </c>
      <c r="K1167" s="151">
        <f t="shared" si="48"/>
        <v>0</v>
      </c>
      <c r="L1167" s="151" t="s">
        <v>9021</v>
      </c>
    </row>
    <row r="1168" spans="8:12" x14ac:dyDescent="0.25">
      <c r="H1168" s="151" t="s">
        <v>3965</v>
      </c>
      <c r="I1168" s="151" t="s">
        <v>391</v>
      </c>
      <c r="J1168" s="151" t="s">
        <v>7083</v>
      </c>
      <c r="K1168" s="151">
        <f t="shared" si="48"/>
        <v>650000000001475</v>
      </c>
      <c r="L1168" s="151" t="s">
        <v>9021</v>
      </c>
    </row>
    <row r="1169" spans="8:12" x14ac:dyDescent="0.25">
      <c r="H1169" s="151" t="s">
        <v>3966</v>
      </c>
      <c r="I1169" s="151" t="s">
        <v>6962</v>
      </c>
      <c r="J1169" s="151" t="s">
        <v>6962</v>
      </c>
      <c r="K1169" s="151">
        <f t="shared" si="48"/>
        <v>0</v>
      </c>
      <c r="L1169" s="151" t="s">
        <v>9021</v>
      </c>
    </row>
    <row r="1170" spans="8:12" x14ac:dyDescent="0.25">
      <c r="H1170" s="151" t="s">
        <v>3966</v>
      </c>
      <c r="I1170" s="151" t="s">
        <v>391</v>
      </c>
      <c r="J1170" s="151" t="s">
        <v>7084</v>
      </c>
      <c r="K1170" s="151">
        <f t="shared" si="48"/>
        <v>650000000000216</v>
      </c>
      <c r="L1170" s="151" t="s">
        <v>9021</v>
      </c>
    </row>
    <row r="1171" spans="8:12" x14ac:dyDescent="0.25">
      <c r="H1171" s="151" t="s">
        <v>3967</v>
      </c>
      <c r="I1171" s="151" t="s">
        <v>6962</v>
      </c>
      <c r="J1171" s="151" t="s">
        <v>6962</v>
      </c>
      <c r="K1171" s="151">
        <f t="shared" si="48"/>
        <v>0</v>
      </c>
      <c r="L1171" s="151" t="s">
        <v>9021</v>
      </c>
    </row>
    <row r="1172" spans="8:12" x14ac:dyDescent="0.25">
      <c r="H1172" s="151" t="s">
        <v>3967</v>
      </c>
      <c r="I1172" s="151" t="s">
        <v>391</v>
      </c>
      <c r="J1172" s="151" t="s">
        <v>7085</v>
      </c>
      <c r="K1172" s="151">
        <f t="shared" si="48"/>
        <v>650000000000217</v>
      </c>
      <c r="L1172" s="151" t="s">
        <v>9021</v>
      </c>
    </row>
    <row r="1173" spans="8:12" x14ac:dyDescent="0.25">
      <c r="H1173" s="151" t="s">
        <v>3968</v>
      </c>
      <c r="I1173" s="151" t="s">
        <v>6962</v>
      </c>
      <c r="J1173" s="151" t="s">
        <v>6962</v>
      </c>
      <c r="K1173" s="151">
        <f t="shared" si="48"/>
        <v>0</v>
      </c>
      <c r="L1173" s="151" t="s">
        <v>9021</v>
      </c>
    </row>
    <row r="1174" spans="8:12" x14ac:dyDescent="0.25">
      <c r="H1174" s="151" t="s">
        <v>3968</v>
      </c>
      <c r="I1174" s="151" t="s">
        <v>391</v>
      </c>
      <c r="J1174" s="151" t="s">
        <v>7086</v>
      </c>
      <c r="K1174" s="151">
        <f t="shared" si="48"/>
        <v>650000000001476</v>
      </c>
      <c r="L1174" s="151" t="s">
        <v>9021</v>
      </c>
    </row>
    <row r="1175" spans="8:12" x14ac:dyDescent="0.25">
      <c r="H1175" s="151" t="s">
        <v>3969</v>
      </c>
      <c r="I1175" s="151" t="s">
        <v>6962</v>
      </c>
      <c r="J1175" s="151" t="s">
        <v>6962</v>
      </c>
      <c r="K1175" s="151">
        <f t="shared" si="48"/>
        <v>0</v>
      </c>
      <c r="L1175" s="151" t="s">
        <v>9021</v>
      </c>
    </row>
    <row r="1176" spans="8:12" x14ac:dyDescent="0.25">
      <c r="H1176" s="151" t="s">
        <v>3969</v>
      </c>
      <c r="I1176" s="151" t="s">
        <v>391</v>
      </c>
      <c r="J1176" s="151" t="s">
        <v>7087</v>
      </c>
      <c r="K1176" s="151">
        <f t="shared" si="48"/>
        <v>650000000000218</v>
      </c>
      <c r="L1176" s="151" t="s">
        <v>9021</v>
      </c>
    </row>
    <row r="1177" spans="8:12" x14ac:dyDescent="0.25">
      <c r="H1177" s="151" t="s">
        <v>3970</v>
      </c>
      <c r="I1177" s="151" t="s">
        <v>6962</v>
      </c>
      <c r="J1177" s="151" t="s">
        <v>6962</v>
      </c>
      <c r="K1177" s="151">
        <f t="shared" si="48"/>
        <v>0</v>
      </c>
      <c r="L1177" s="151" t="s">
        <v>9021</v>
      </c>
    </row>
    <row r="1178" spans="8:12" x14ac:dyDescent="0.25">
      <c r="H1178" s="151" t="s">
        <v>3970</v>
      </c>
      <c r="I1178" s="151" t="s">
        <v>391</v>
      </c>
      <c r="J1178" s="151" t="s">
        <v>7088</v>
      </c>
      <c r="K1178" s="151">
        <f t="shared" si="48"/>
        <v>650000000000219</v>
      </c>
      <c r="L1178" s="151" t="s">
        <v>9021</v>
      </c>
    </row>
    <row r="1179" spans="8:12" x14ac:dyDescent="0.25">
      <c r="H1179" s="151" t="s">
        <v>3971</v>
      </c>
      <c r="I1179" s="151" t="s">
        <v>6962</v>
      </c>
      <c r="J1179" s="151" t="s">
        <v>6962</v>
      </c>
      <c r="K1179" s="151">
        <f t="shared" si="48"/>
        <v>0</v>
      </c>
      <c r="L1179" s="151" t="s">
        <v>9021</v>
      </c>
    </row>
    <row r="1180" spans="8:12" x14ac:dyDescent="0.25">
      <c r="H1180" s="151" t="s">
        <v>3971</v>
      </c>
      <c r="I1180" s="151" t="s">
        <v>391</v>
      </c>
      <c r="J1180" s="151" t="s">
        <v>7089</v>
      </c>
      <c r="K1180" s="151">
        <f t="shared" si="48"/>
        <v>650000000000220</v>
      </c>
      <c r="L1180" s="151" t="s">
        <v>9021</v>
      </c>
    </row>
    <row r="1181" spans="8:12" x14ac:dyDescent="0.25">
      <c r="H1181" s="151" t="s">
        <v>3972</v>
      </c>
      <c r="I1181" s="151" t="s">
        <v>6962</v>
      </c>
      <c r="J1181" s="151" t="s">
        <v>6962</v>
      </c>
      <c r="K1181" s="151">
        <f t="shared" si="48"/>
        <v>0</v>
      </c>
      <c r="L1181" s="151" t="s">
        <v>9021</v>
      </c>
    </row>
    <row r="1182" spans="8:12" x14ac:dyDescent="0.25">
      <c r="H1182" s="151" t="s">
        <v>3972</v>
      </c>
      <c r="I1182" s="151" t="s">
        <v>391</v>
      </c>
      <c r="J1182" s="151" t="s">
        <v>7090</v>
      </c>
      <c r="K1182" s="151">
        <f t="shared" si="48"/>
        <v>650000000001477</v>
      </c>
      <c r="L1182" s="151" t="s">
        <v>9021</v>
      </c>
    </row>
    <row r="1183" spans="8:12" x14ac:dyDescent="0.25">
      <c r="H1183" s="151" t="s">
        <v>3973</v>
      </c>
      <c r="I1183" s="151" t="s">
        <v>6962</v>
      </c>
      <c r="J1183" s="151" t="s">
        <v>6962</v>
      </c>
      <c r="K1183" s="151">
        <f t="shared" si="48"/>
        <v>0</v>
      </c>
      <c r="L1183" s="151" t="s">
        <v>9021</v>
      </c>
    </row>
    <row r="1184" spans="8:12" x14ac:dyDescent="0.25">
      <c r="H1184" s="151" t="s">
        <v>3973</v>
      </c>
      <c r="I1184" s="151" t="s">
        <v>391</v>
      </c>
      <c r="J1184" s="151" t="s">
        <v>7091</v>
      </c>
      <c r="K1184" s="151">
        <f t="shared" si="48"/>
        <v>650000000000221</v>
      </c>
      <c r="L1184" s="151" t="s">
        <v>9021</v>
      </c>
    </row>
    <row r="1185" spans="8:12" x14ac:dyDescent="0.25">
      <c r="H1185" s="151" t="s">
        <v>3974</v>
      </c>
      <c r="I1185" s="151" t="s">
        <v>6962</v>
      </c>
      <c r="J1185" s="151" t="s">
        <v>6962</v>
      </c>
      <c r="K1185" s="151">
        <f t="shared" si="48"/>
        <v>0</v>
      </c>
      <c r="L1185" s="151" t="s">
        <v>9021</v>
      </c>
    </row>
    <row r="1186" spans="8:12" x14ac:dyDescent="0.25">
      <c r="H1186" s="151" t="s">
        <v>3974</v>
      </c>
      <c r="I1186" s="151" t="s">
        <v>391</v>
      </c>
      <c r="J1186" s="151" t="s">
        <v>7092</v>
      </c>
      <c r="K1186" s="151">
        <f t="shared" si="48"/>
        <v>650000000000222</v>
      </c>
      <c r="L1186" s="151" t="s">
        <v>9021</v>
      </c>
    </row>
    <row r="1187" spans="8:12" x14ac:dyDescent="0.25">
      <c r="H1187" s="151" t="s">
        <v>6828</v>
      </c>
      <c r="I1187" s="151" t="s">
        <v>6962</v>
      </c>
      <c r="J1187" s="151" t="s">
        <v>6962</v>
      </c>
      <c r="K1187" s="151">
        <f t="shared" si="48"/>
        <v>0</v>
      </c>
      <c r="L1187" s="151" t="s">
        <v>9021</v>
      </c>
    </row>
    <row r="1188" spans="8:12" x14ac:dyDescent="0.25">
      <c r="H1188" s="151" t="s">
        <v>3975</v>
      </c>
      <c r="I1188" s="151" t="s">
        <v>6962</v>
      </c>
      <c r="J1188" s="151" t="s">
        <v>6962</v>
      </c>
      <c r="K1188" s="151">
        <f t="shared" si="48"/>
        <v>0</v>
      </c>
      <c r="L1188" s="151" t="s">
        <v>9021</v>
      </c>
    </row>
    <row r="1189" spans="8:12" x14ac:dyDescent="0.25">
      <c r="H1189" s="151" t="s">
        <v>3975</v>
      </c>
      <c r="I1189" s="151" t="s">
        <v>391</v>
      </c>
      <c r="J1189" s="151" t="s">
        <v>7093</v>
      </c>
      <c r="K1189" s="151">
        <f t="shared" si="48"/>
        <v>650000000001478</v>
      </c>
      <c r="L1189" s="151" t="s">
        <v>9021</v>
      </c>
    </row>
    <row r="1190" spans="8:12" x14ac:dyDescent="0.25">
      <c r="H1190" s="151" t="s">
        <v>3976</v>
      </c>
      <c r="I1190" s="151" t="s">
        <v>6962</v>
      </c>
      <c r="J1190" s="151" t="s">
        <v>6962</v>
      </c>
      <c r="K1190" s="151">
        <f t="shared" si="48"/>
        <v>0</v>
      </c>
      <c r="L1190" s="151" t="s">
        <v>9021</v>
      </c>
    </row>
    <row r="1191" spans="8:12" x14ac:dyDescent="0.25">
      <c r="H1191" s="151" t="s">
        <v>3976</v>
      </c>
      <c r="I1191" s="151" t="s">
        <v>391</v>
      </c>
      <c r="J1191" s="151" t="s">
        <v>7094</v>
      </c>
      <c r="K1191" s="151">
        <f t="shared" si="48"/>
        <v>650000000000223</v>
      </c>
      <c r="L1191" s="151" t="s">
        <v>9021</v>
      </c>
    </row>
    <row r="1192" spans="8:12" x14ac:dyDescent="0.25">
      <c r="H1192" s="151" t="s">
        <v>3977</v>
      </c>
      <c r="I1192" s="151" t="s">
        <v>6962</v>
      </c>
      <c r="J1192" s="151" t="s">
        <v>6962</v>
      </c>
      <c r="K1192" s="151">
        <f t="shared" si="48"/>
        <v>0</v>
      </c>
      <c r="L1192" s="151" t="s">
        <v>9021</v>
      </c>
    </row>
    <row r="1193" spans="8:12" x14ac:dyDescent="0.25">
      <c r="H1193" s="151" t="s">
        <v>3977</v>
      </c>
      <c r="I1193" s="151" t="s">
        <v>391</v>
      </c>
      <c r="J1193" s="151" t="s">
        <v>7095</v>
      </c>
      <c r="K1193" s="151">
        <f t="shared" si="48"/>
        <v>650000000000224</v>
      </c>
      <c r="L1193" s="151" t="s">
        <v>9021</v>
      </c>
    </row>
    <row r="1194" spans="8:12" x14ac:dyDescent="0.25">
      <c r="H1194" s="151" t="s">
        <v>3978</v>
      </c>
      <c r="I1194" s="151" t="s">
        <v>6962</v>
      </c>
      <c r="J1194" s="151" t="s">
        <v>6962</v>
      </c>
      <c r="K1194" s="151">
        <f t="shared" si="48"/>
        <v>0</v>
      </c>
      <c r="L1194" s="151" t="s">
        <v>9021</v>
      </c>
    </row>
    <row r="1195" spans="8:12" x14ac:dyDescent="0.25">
      <c r="H1195" s="151" t="s">
        <v>3978</v>
      </c>
      <c r="I1195" s="151" t="s">
        <v>391</v>
      </c>
      <c r="J1195" s="151" t="s">
        <v>7096</v>
      </c>
      <c r="K1195" s="151">
        <f t="shared" si="48"/>
        <v>650000000000225</v>
      </c>
      <c r="L1195" s="151" t="s">
        <v>9021</v>
      </c>
    </row>
    <row r="1196" spans="8:12" x14ac:dyDescent="0.25">
      <c r="H1196" s="151" t="s">
        <v>3979</v>
      </c>
      <c r="I1196" s="151" t="s">
        <v>6962</v>
      </c>
      <c r="J1196" s="151" t="s">
        <v>6962</v>
      </c>
      <c r="K1196" s="151">
        <f t="shared" si="48"/>
        <v>0</v>
      </c>
      <c r="L1196" s="151" t="s">
        <v>9021</v>
      </c>
    </row>
    <row r="1197" spans="8:12" x14ac:dyDescent="0.25">
      <c r="H1197" s="151" t="s">
        <v>3979</v>
      </c>
      <c r="I1197" s="151" t="s">
        <v>391</v>
      </c>
      <c r="J1197" s="151" t="s">
        <v>7097</v>
      </c>
      <c r="K1197" s="151">
        <f t="shared" si="48"/>
        <v>650000000000226</v>
      </c>
      <c r="L1197" s="151" t="s">
        <v>9021</v>
      </c>
    </row>
    <row r="1198" spans="8:12" x14ac:dyDescent="0.25">
      <c r="H1198" s="151" t="s">
        <v>3980</v>
      </c>
      <c r="I1198" s="151" t="s">
        <v>6962</v>
      </c>
      <c r="J1198" s="151" t="s">
        <v>6962</v>
      </c>
      <c r="K1198" s="151">
        <f t="shared" si="48"/>
        <v>0</v>
      </c>
      <c r="L1198" s="151" t="s">
        <v>9021</v>
      </c>
    </row>
    <row r="1199" spans="8:12" x14ac:dyDescent="0.25">
      <c r="H1199" s="151" t="s">
        <v>3980</v>
      </c>
      <c r="I1199" s="151" t="s">
        <v>391</v>
      </c>
      <c r="J1199" s="151" t="s">
        <v>7098</v>
      </c>
      <c r="K1199" s="151">
        <f t="shared" si="48"/>
        <v>650000000001479</v>
      </c>
      <c r="L1199" s="151" t="s">
        <v>9021</v>
      </c>
    </row>
    <row r="1200" spans="8:12" x14ac:dyDescent="0.25">
      <c r="H1200" s="151" t="s">
        <v>3981</v>
      </c>
      <c r="I1200" s="151" t="s">
        <v>6962</v>
      </c>
      <c r="J1200" s="151" t="s">
        <v>6962</v>
      </c>
      <c r="K1200" s="151">
        <f t="shared" si="48"/>
        <v>0</v>
      </c>
      <c r="L1200" s="151" t="s">
        <v>9021</v>
      </c>
    </row>
    <row r="1201" spans="8:12" x14ac:dyDescent="0.25">
      <c r="H1201" s="151" t="s">
        <v>3981</v>
      </c>
      <c r="I1201" s="151" t="s">
        <v>391</v>
      </c>
      <c r="J1201" s="151" t="s">
        <v>7099</v>
      </c>
      <c r="K1201" s="151">
        <f t="shared" si="48"/>
        <v>650000000000227</v>
      </c>
      <c r="L1201" s="151" t="s">
        <v>9021</v>
      </c>
    </row>
    <row r="1202" spans="8:12" x14ac:dyDescent="0.25">
      <c r="H1202" s="151" t="s">
        <v>3982</v>
      </c>
      <c r="I1202" s="151" t="s">
        <v>6962</v>
      </c>
      <c r="J1202" s="151" t="s">
        <v>6962</v>
      </c>
      <c r="K1202" s="151">
        <f t="shared" si="48"/>
        <v>0</v>
      </c>
      <c r="L1202" s="151" t="s">
        <v>9021</v>
      </c>
    </row>
    <row r="1203" spans="8:12" x14ac:dyDescent="0.25">
      <c r="H1203" s="151" t="s">
        <v>3982</v>
      </c>
      <c r="I1203" s="151" t="s">
        <v>391</v>
      </c>
      <c r="J1203" s="151" t="s">
        <v>7100</v>
      </c>
      <c r="K1203" s="151">
        <f t="shared" si="48"/>
        <v>650000000001480</v>
      </c>
      <c r="L1203" s="151" t="s">
        <v>9021</v>
      </c>
    </row>
    <row r="1204" spans="8:12" x14ac:dyDescent="0.25">
      <c r="H1204" s="151" t="s">
        <v>3983</v>
      </c>
      <c r="I1204" s="151" t="s">
        <v>6962</v>
      </c>
      <c r="J1204" s="151" t="s">
        <v>6962</v>
      </c>
      <c r="K1204" s="151">
        <f t="shared" si="48"/>
        <v>0</v>
      </c>
      <c r="L1204" s="151" t="s">
        <v>9021</v>
      </c>
    </row>
    <row r="1205" spans="8:12" x14ac:dyDescent="0.25">
      <c r="H1205" s="151" t="s">
        <v>3983</v>
      </c>
      <c r="I1205" s="151" t="s">
        <v>391</v>
      </c>
      <c r="J1205" s="151" t="s">
        <v>7101</v>
      </c>
      <c r="K1205" s="151">
        <f t="shared" si="48"/>
        <v>650000000001481</v>
      </c>
      <c r="L1205" s="151" t="s">
        <v>9021</v>
      </c>
    </row>
    <row r="1206" spans="8:12" x14ac:dyDescent="0.25">
      <c r="H1206" s="151" t="s">
        <v>3984</v>
      </c>
      <c r="I1206" s="151" t="s">
        <v>6962</v>
      </c>
      <c r="J1206" s="151" t="s">
        <v>6962</v>
      </c>
      <c r="K1206" s="151">
        <f t="shared" si="48"/>
        <v>0</v>
      </c>
      <c r="L1206" s="151" t="s">
        <v>9021</v>
      </c>
    </row>
    <row r="1207" spans="8:12" x14ac:dyDescent="0.25">
      <c r="H1207" s="151" t="s">
        <v>3984</v>
      </c>
      <c r="I1207" s="151" t="s">
        <v>391</v>
      </c>
      <c r="J1207" s="151" t="s">
        <v>7102</v>
      </c>
      <c r="K1207" s="151">
        <f t="shared" si="48"/>
        <v>650000000001482</v>
      </c>
      <c r="L1207" s="151" t="s">
        <v>9021</v>
      </c>
    </row>
    <row r="1208" spans="8:12" x14ac:dyDescent="0.25">
      <c r="H1208" s="151" t="s">
        <v>6829</v>
      </c>
      <c r="I1208" s="151" t="s">
        <v>6962</v>
      </c>
      <c r="J1208" s="151" t="s">
        <v>6962</v>
      </c>
      <c r="K1208" s="151">
        <f t="shared" si="48"/>
        <v>0</v>
      </c>
      <c r="L1208" s="151" t="s">
        <v>9021</v>
      </c>
    </row>
    <row r="1209" spans="8:12" x14ac:dyDescent="0.25">
      <c r="H1209" s="151" t="s">
        <v>3985</v>
      </c>
      <c r="I1209" s="151" t="s">
        <v>6962</v>
      </c>
      <c r="J1209" s="151" t="s">
        <v>6962</v>
      </c>
      <c r="K1209" s="151">
        <f t="shared" si="48"/>
        <v>0</v>
      </c>
      <c r="L1209" s="151" t="s">
        <v>9021</v>
      </c>
    </row>
    <row r="1210" spans="8:12" x14ac:dyDescent="0.25">
      <c r="H1210" s="151" t="s">
        <v>3985</v>
      </c>
      <c r="I1210" s="151" t="s">
        <v>391</v>
      </c>
      <c r="J1210" s="151" t="s">
        <v>7103</v>
      </c>
      <c r="K1210" s="151">
        <f t="shared" si="48"/>
        <v>650000000000228</v>
      </c>
      <c r="L1210" s="151" t="s">
        <v>9021</v>
      </c>
    </row>
    <row r="1211" spans="8:12" x14ac:dyDescent="0.25">
      <c r="H1211" s="151" t="s">
        <v>3986</v>
      </c>
      <c r="I1211" s="151" t="s">
        <v>6962</v>
      </c>
      <c r="J1211" s="151" t="s">
        <v>6962</v>
      </c>
      <c r="K1211" s="151">
        <f t="shared" si="48"/>
        <v>0</v>
      </c>
      <c r="L1211" s="151" t="s">
        <v>9021</v>
      </c>
    </row>
    <row r="1212" spans="8:12" x14ac:dyDescent="0.25">
      <c r="H1212" s="151" t="s">
        <v>3986</v>
      </c>
      <c r="I1212" s="151" t="s">
        <v>391</v>
      </c>
      <c r="J1212" s="151" t="s">
        <v>7104</v>
      </c>
      <c r="K1212" s="151">
        <f t="shared" si="48"/>
        <v>650000000000229</v>
      </c>
      <c r="L1212" s="151" t="s">
        <v>9021</v>
      </c>
    </row>
    <row r="1213" spans="8:12" x14ac:dyDescent="0.25">
      <c r="H1213" s="151" t="s">
        <v>3987</v>
      </c>
      <c r="I1213" s="151" t="s">
        <v>6962</v>
      </c>
      <c r="J1213" s="151" t="s">
        <v>6962</v>
      </c>
      <c r="K1213" s="151">
        <f t="shared" si="48"/>
        <v>0</v>
      </c>
      <c r="L1213" s="151" t="s">
        <v>9021</v>
      </c>
    </row>
    <row r="1214" spans="8:12" x14ac:dyDescent="0.25">
      <c r="H1214" s="151" t="s">
        <v>3987</v>
      </c>
      <c r="I1214" s="151" t="s">
        <v>391</v>
      </c>
      <c r="J1214" s="151" t="s">
        <v>7105</v>
      </c>
      <c r="K1214" s="151">
        <f t="shared" si="48"/>
        <v>650000000000230</v>
      </c>
      <c r="L1214" s="151" t="s">
        <v>9021</v>
      </c>
    </row>
    <row r="1215" spans="8:12" x14ac:dyDescent="0.25">
      <c r="H1215" s="151" t="s">
        <v>3988</v>
      </c>
      <c r="I1215" s="151" t="s">
        <v>6962</v>
      </c>
      <c r="J1215" s="151" t="s">
        <v>6962</v>
      </c>
      <c r="K1215" s="151">
        <f t="shared" si="48"/>
        <v>0</v>
      </c>
      <c r="L1215" s="151" t="s">
        <v>9021</v>
      </c>
    </row>
    <row r="1216" spans="8:12" x14ac:dyDescent="0.25">
      <c r="H1216" s="151" t="s">
        <v>3988</v>
      </c>
      <c r="I1216" s="151" t="s">
        <v>391</v>
      </c>
      <c r="J1216" s="151" t="s">
        <v>7106</v>
      </c>
      <c r="K1216" s="151">
        <f t="shared" si="48"/>
        <v>650000000000231</v>
      </c>
      <c r="L1216" s="151" t="s">
        <v>9021</v>
      </c>
    </row>
    <row r="1217" spans="8:12" x14ac:dyDescent="0.25">
      <c r="H1217" s="151" t="s">
        <v>3989</v>
      </c>
      <c r="I1217" s="151" t="s">
        <v>6962</v>
      </c>
      <c r="J1217" s="151" t="s">
        <v>6962</v>
      </c>
      <c r="K1217" s="151">
        <f t="shared" si="48"/>
        <v>0</v>
      </c>
      <c r="L1217" s="151" t="s">
        <v>9021</v>
      </c>
    </row>
    <row r="1218" spans="8:12" x14ac:dyDescent="0.25">
      <c r="H1218" s="151" t="s">
        <v>3989</v>
      </c>
      <c r="I1218" s="151" t="s">
        <v>391</v>
      </c>
      <c r="J1218" s="151" t="s">
        <v>7107</v>
      </c>
      <c r="K1218" s="151">
        <f t="shared" si="48"/>
        <v>650000000000232</v>
      </c>
      <c r="L1218" s="151" t="s">
        <v>9021</v>
      </c>
    </row>
    <row r="1219" spans="8:12" x14ac:dyDescent="0.25">
      <c r="H1219" s="151" t="s">
        <v>6830</v>
      </c>
      <c r="I1219" s="151" t="s">
        <v>6962</v>
      </c>
      <c r="J1219" s="151" t="s">
        <v>6962</v>
      </c>
      <c r="K1219" s="151">
        <f t="shared" ref="K1219:K1282" si="49">+IFERROR(J1219*1,0)</f>
        <v>0</v>
      </c>
      <c r="L1219" s="151" t="s">
        <v>9021</v>
      </c>
    </row>
    <row r="1220" spans="8:12" x14ac:dyDescent="0.25">
      <c r="H1220" s="151" t="s">
        <v>3990</v>
      </c>
      <c r="I1220" s="151" t="s">
        <v>6962</v>
      </c>
      <c r="J1220" s="151" t="s">
        <v>6962</v>
      </c>
      <c r="K1220" s="151">
        <f t="shared" si="49"/>
        <v>0</v>
      </c>
      <c r="L1220" s="151" t="s">
        <v>9021</v>
      </c>
    </row>
    <row r="1221" spans="8:12" x14ac:dyDescent="0.25">
      <c r="H1221" s="151" t="s">
        <v>3990</v>
      </c>
      <c r="I1221" s="151" t="s">
        <v>391</v>
      </c>
      <c r="J1221" s="151" t="s">
        <v>7108</v>
      </c>
      <c r="K1221" s="151">
        <f t="shared" si="49"/>
        <v>650000000000233</v>
      </c>
      <c r="L1221" s="151" t="s">
        <v>9021</v>
      </c>
    </row>
    <row r="1222" spans="8:12" x14ac:dyDescent="0.25">
      <c r="H1222" s="151" t="s">
        <v>3991</v>
      </c>
      <c r="I1222" s="151" t="s">
        <v>6962</v>
      </c>
      <c r="J1222" s="151" t="s">
        <v>6962</v>
      </c>
      <c r="K1222" s="151">
        <f t="shared" si="49"/>
        <v>0</v>
      </c>
      <c r="L1222" s="151" t="s">
        <v>9021</v>
      </c>
    </row>
    <row r="1223" spans="8:12" x14ac:dyDescent="0.25">
      <c r="H1223" s="151" t="s">
        <v>3991</v>
      </c>
      <c r="I1223" s="151" t="s">
        <v>391</v>
      </c>
      <c r="J1223" s="151" t="s">
        <v>7109</v>
      </c>
      <c r="K1223" s="151">
        <f t="shared" si="49"/>
        <v>650000000000234</v>
      </c>
      <c r="L1223" s="151" t="s">
        <v>9021</v>
      </c>
    </row>
    <row r="1224" spans="8:12" x14ac:dyDescent="0.25">
      <c r="H1224" s="151" t="s">
        <v>3992</v>
      </c>
      <c r="I1224" s="151" t="s">
        <v>6962</v>
      </c>
      <c r="J1224" s="151" t="s">
        <v>6962</v>
      </c>
      <c r="K1224" s="151">
        <f t="shared" si="49"/>
        <v>0</v>
      </c>
      <c r="L1224" s="151" t="s">
        <v>9021</v>
      </c>
    </row>
    <row r="1225" spans="8:12" x14ac:dyDescent="0.25">
      <c r="H1225" s="151" t="s">
        <v>3992</v>
      </c>
      <c r="I1225" s="151" t="s">
        <v>391</v>
      </c>
      <c r="J1225" s="151" t="s">
        <v>7110</v>
      </c>
      <c r="K1225" s="151">
        <f t="shared" si="49"/>
        <v>650000000000235</v>
      </c>
      <c r="L1225" s="151" t="s">
        <v>9021</v>
      </c>
    </row>
    <row r="1226" spans="8:12" x14ac:dyDescent="0.25">
      <c r="H1226" s="151" t="s">
        <v>3993</v>
      </c>
      <c r="I1226" s="151" t="s">
        <v>6962</v>
      </c>
      <c r="J1226" s="151" t="s">
        <v>6962</v>
      </c>
      <c r="K1226" s="151">
        <f t="shared" si="49"/>
        <v>0</v>
      </c>
      <c r="L1226" s="151" t="s">
        <v>9021</v>
      </c>
    </row>
    <row r="1227" spans="8:12" x14ac:dyDescent="0.25">
      <c r="H1227" s="151" t="s">
        <v>3993</v>
      </c>
      <c r="I1227" s="151" t="s">
        <v>391</v>
      </c>
      <c r="J1227" s="151" t="s">
        <v>7111</v>
      </c>
      <c r="K1227" s="151">
        <f t="shared" si="49"/>
        <v>650000000000236</v>
      </c>
      <c r="L1227" s="151" t="s">
        <v>9021</v>
      </c>
    </row>
    <row r="1228" spans="8:12" x14ac:dyDescent="0.25">
      <c r="H1228" s="151" t="s">
        <v>6831</v>
      </c>
      <c r="I1228" s="151" t="s">
        <v>6962</v>
      </c>
      <c r="J1228" s="151" t="s">
        <v>6962</v>
      </c>
      <c r="K1228" s="151">
        <f t="shared" si="49"/>
        <v>0</v>
      </c>
      <c r="L1228" s="151" t="s">
        <v>9021</v>
      </c>
    </row>
    <row r="1229" spans="8:12" x14ac:dyDescent="0.25">
      <c r="H1229" s="151" t="s">
        <v>3994</v>
      </c>
      <c r="I1229" s="151" t="s">
        <v>6962</v>
      </c>
      <c r="J1229" s="151" t="s">
        <v>6962</v>
      </c>
      <c r="K1229" s="151">
        <f t="shared" si="49"/>
        <v>0</v>
      </c>
      <c r="L1229" s="151" t="s">
        <v>9021</v>
      </c>
    </row>
    <row r="1230" spans="8:12" x14ac:dyDescent="0.25">
      <c r="H1230" s="151" t="s">
        <v>3994</v>
      </c>
      <c r="I1230" s="151" t="s">
        <v>391</v>
      </c>
      <c r="J1230" s="151" t="s">
        <v>7112</v>
      </c>
      <c r="K1230" s="151">
        <f t="shared" si="49"/>
        <v>650000000001483</v>
      </c>
      <c r="L1230" s="151" t="s">
        <v>9021</v>
      </c>
    </row>
    <row r="1231" spans="8:12" x14ac:dyDescent="0.25">
      <c r="H1231" s="151" t="s">
        <v>6832</v>
      </c>
      <c r="I1231" s="151" t="s">
        <v>6962</v>
      </c>
      <c r="J1231" s="151" t="s">
        <v>6962</v>
      </c>
      <c r="K1231" s="151">
        <f t="shared" si="49"/>
        <v>0</v>
      </c>
      <c r="L1231" s="151" t="s">
        <v>9021</v>
      </c>
    </row>
    <row r="1232" spans="8:12" x14ac:dyDescent="0.25">
      <c r="H1232" s="151" t="s">
        <v>3995</v>
      </c>
      <c r="I1232" s="151" t="s">
        <v>6962</v>
      </c>
      <c r="J1232" s="151" t="s">
        <v>6962</v>
      </c>
      <c r="K1232" s="151">
        <f t="shared" si="49"/>
        <v>0</v>
      </c>
      <c r="L1232" s="151" t="s">
        <v>9021</v>
      </c>
    </row>
    <row r="1233" spans="8:12" x14ac:dyDescent="0.25">
      <c r="H1233" s="151" t="s">
        <v>3995</v>
      </c>
      <c r="I1233" s="151" t="s">
        <v>391</v>
      </c>
      <c r="J1233" s="151" t="s">
        <v>7113</v>
      </c>
      <c r="K1233" s="151">
        <f t="shared" si="49"/>
        <v>650000000001484</v>
      </c>
      <c r="L1233" s="151" t="s">
        <v>9021</v>
      </c>
    </row>
    <row r="1234" spans="8:12" x14ac:dyDescent="0.25">
      <c r="H1234" s="151" t="s">
        <v>3996</v>
      </c>
      <c r="I1234" s="151" t="s">
        <v>6962</v>
      </c>
      <c r="J1234" s="151" t="s">
        <v>6962</v>
      </c>
      <c r="K1234" s="151">
        <f t="shared" si="49"/>
        <v>0</v>
      </c>
      <c r="L1234" s="151" t="s">
        <v>9021</v>
      </c>
    </row>
    <row r="1235" spans="8:12" x14ac:dyDescent="0.25">
      <c r="H1235" s="151" t="s">
        <v>3996</v>
      </c>
      <c r="I1235" s="151" t="s">
        <v>391</v>
      </c>
      <c r="J1235" s="151" t="s">
        <v>7114</v>
      </c>
      <c r="K1235" s="151">
        <f t="shared" si="49"/>
        <v>650000000001485</v>
      </c>
      <c r="L1235" s="151" t="s">
        <v>9021</v>
      </c>
    </row>
    <row r="1236" spans="8:12" x14ac:dyDescent="0.25">
      <c r="H1236" s="151" t="s">
        <v>3997</v>
      </c>
      <c r="I1236" s="151" t="s">
        <v>6962</v>
      </c>
      <c r="J1236" s="151" t="s">
        <v>6962</v>
      </c>
      <c r="K1236" s="151">
        <f t="shared" si="49"/>
        <v>0</v>
      </c>
      <c r="L1236" s="151" t="s">
        <v>9021</v>
      </c>
    </row>
    <row r="1237" spans="8:12" x14ac:dyDescent="0.25">
      <c r="H1237" s="151" t="s">
        <v>3997</v>
      </c>
      <c r="I1237" s="151" t="s">
        <v>391</v>
      </c>
      <c r="J1237" s="151" t="s">
        <v>7115</v>
      </c>
      <c r="K1237" s="151">
        <f t="shared" si="49"/>
        <v>650000000000237</v>
      </c>
      <c r="L1237" s="151" t="s">
        <v>9021</v>
      </c>
    </row>
    <row r="1238" spans="8:12" x14ac:dyDescent="0.25">
      <c r="H1238" s="151" t="s">
        <v>3998</v>
      </c>
      <c r="I1238" s="151" t="s">
        <v>6962</v>
      </c>
      <c r="J1238" s="151" t="s">
        <v>6962</v>
      </c>
      <c r="K1238" s="151">
        <f t="shared" si="49"/>
        <v>0</v>
      </c>
      <c r="L1238" s="151" t="s">
        <v>9021</v>
      </c>
    </row>
    <row r="1239" spans="8:12" x14ac:dyDescent="0.25">
      <c r="H1239" s="151" t="s">
        <v>3998</v>
      </c>
      <c r="I1239" s="151" t="s">
        <v>391</v>
      </c>
      <c r="J1239" s="151" t="s">
        <v>7116</v>
      </c>
      <c r="K1239" s="151">
        <f t="shared" si="49"/>
        <v>650000000001486</v>
      </c>
      <c r="L1239" s="151" t="s">
        <v>9021</v>
      </c>
    </row>
    <row r="1240" spans="8:12" x14ac:dyDescent="0.25">
      <c r="H1240" s="151" t="s">
        <v>3999</v>
      </c>
      <c r="I1240" s="151" t="s">
        <v>6962</v>
      </c>
      <c r="J1240" s="151" t="s">
        <v>6962</v>
      </c>
      <c r="K1240" s="151">
        <f t="shared" si="49"/>
        <v>0</v>
      </c>
      <c r="L1240" s="151" t="s">
        <v>9021</v>
      </c>
    </row>
    <row r="1241" spans="8:12" x14ac:dyDescent="0.25">
      <c r="H1241" s="151" t="s">
        <v>3999</v>
      </c>
      <c r="I1241" s="151" t="s">
        <v>391</v>
      </c>
      <c r="J1241" s="151" t="s">
        <v>7117</v>
      </c>
      <c r="K1241" s="151">
        <f t="shared" si="49"/>
        <v>650000000000238</v>
      </c>
      <c r="L1241" s="151" t="s">
        <v>9021</v>
      </c>
    </row>
    <row r="1242" spans="8:12" x14ac:dyDescent="0.25">
      <c r="H1242" s="151" t="s">
        <v>4000</v>
      </c>
      <c r="I1242" s="151" t="s">
        <v>6962</v>
      </c>
      <c r="J1242" s="151" t="s">
        <v>6962</v>
      </c>
      <c r="K1242" s="151">
        <f t="shared" si="49"/>
        <v>0</v>
      </c>
      <c r="L1242" s="151" t="s">
        <v>9021</v>
      </c>
    </row>
    <row r="1243" spans="8:12" x14ac:dyDescent="0.25">
      <c r="H1243" s="151" t="s">
        <v>4000</v>
      </c>
      <c r="I1243" s="151" t="s">
        <v>391</v>
      </c>
      <c r="J1243" s="151" t="s">
        <v>7118</v>
      </c>
      <c r="K1243" s="151">
        <f t="shared" si="49"/>
        <v>650000000001487</v>
      </c>
      <c r="L1243" s="151" t="s">
        <v>9021</v>
      </c>
    </row>
    <row r="1244" spans="8:12" x14ac:dyDescent="0.25">
      <c r="H1244" s="151" t="s">
        <v>4001</v>
      </c>
      <c r="I1244" s="151" t="s">
        <v>6962</v>
      </c>
      <c r="J1244" s="151" t="s">
        <v>6962</v>
      </c>
      <c r="K1244" s="151">
        <f t="shared" si="49"/>
        <v>0</v>
      </c>
      <c r="L1244" s="151" t="s">
        <v>9021</v>
      </c>
    </row>
    <row r="1245" spans="8:12" x14ac:dyDescent="0.25">
      <c r="H1245" s="151" t="s">
        <v>4001</v>
      </c>
      <c r="I1245" s="151" t="s">
        <v>391</v>
      </c>
      <c r="J1245" s="151" t="s">
        <v>7119</v>
      </c>
      <c r="K1245" s="151">
        <f t="shared" si="49"/>
        <v>650000000000239</v>
      </c>
      <c r="L1245" s="151" t="s">
        <v>9021</v>
      </c>
    </row>
    <row r="1246" spans="8:12" x14ac:dyDescent="0.25">
      <c r="H1246" s="151" t="s">
        <v>6833</v>
      </c>
      <c r="I1246" s="151" t="s">
        <v>6962</v>
      </c>
      <c r="J1246" s="151" t="s">
        <v>6962</v>
      </c>
      <c r="K1246" s="151">
        <f t="shared" si="49"/>
        <v>0</v>
      </c>
      <c r="L1246" s="151" t="s">
        <v>9021</v>
      </c>
    </row>
    <row r="1247" spans="8:12" x14ac:dyDescent="0.25">
      <c r="H1247" s="151" t="s">
        <v>4002</v>
      </c>
      <c r="I1247" s="151" t="s">
        <v>6962</v>
      </c>
      <c r="J1247" s="151" t="s">
        <v>6962</v>
      </c>
      <c r="K1247" s="151">
        <f t="shared" si="49"/>
        <v>0</v>
      </c>
      <c r="L1247" s="151" t="s">
        <v>9021</v>
      </c>
    </row>
    <row r="1248" spans="8:12" x14ac:dyDescent="0.25">
      <c r="H1248" s="151" t="s">
        <v>4002</v>
      </c>
      <c r="I1248" s="151" t="s">
        <v>391</v>
      </c>
      <c r="J1248" s="151" t="s">
        <v>7120</v>
      </c>
      <c r="K1248" s="151">
        <f t="shared" si="49"/>
        <v>650000000000240</v>
      </c>
      <c r="L1248" s="151" t="s">
        <v>9021</v>
      </c>
    </row>
    <row r="1249" spans="8:12" x14ac:dyDescent="0.25">
      <c r="H1249" s="151" t="s">
        <v>4003</v>
      </c>
      <c r="I1249" s="151" t="s">
        <v>6962</v>
      </c>
      <c r="J1249" s="151" t="s">
        <v>6962</v>
      </c>
      <c r="K1249" s="151">
        <f t="shared" si="49"/>
        <v>0</v>
      </c>
      <c r="L1249" s="151" t="s">
        <v>9021</v>
      </c>
    </row>
    <row r="1250" spans="8:12" x14ac:dyDescent="0.25">
      <c r="H1250" s="151" t="s">
        <v>4003</v>
      </c>
      <c r="I1250" s="151" t="s">
        <v>391</v>
      </c>
      <c r="J1250" s="151" t="s">
        <v>7121</v>
      </c>
      <c r="K1250" s="151">
        <f t="shared" si="49"/>
        <v>650000000000241</v>
      </c>
      <c r="L1250" s="151" t="s">
        <v>9021</v>
      </c>
    </row>
    <row r="1251" spans="8:12" x14ac:dyDescent="0.25">
      <c r="H1251" s="151" t="s">
        <v>4004</v>
      </c>
      <c r="I1251" s="151" t="s">
        <v>6962</v>
      </c>
      <c r="J1251" s="151" t="s">
        <v>6962</v>
      </c>
      <c r="K1251" s="151">
        <f t="shared" si="49"/>
        <v>0</v>
      </c>
      <c r="L1251" s="151" t="s">
        <v>9021</v>
      </c>
    </row>
    <row r="1252" spans="8:12" x14ac:dyDescent="0.25">
      <c r="H1252" s="151" t="s">
        <v>4004</v>
      </c>
      <c r="I1252" s="151" t="s">
        <v>391</v>
      </c>
      <c r="J1252" s="151" t="s">
        <v>7122</v>
      </c>
      <c r="K1252" s="151">
        <f t="shared" si="49"/>
        <v>650000000000242</v>
      </c>
      <c r="L1252" s="151" t="s">
        <v>9021</v>
      </c>
    </row>
    <row r="1253" spans="8:12" x14ac:dyDescent="0.25">
      <c r="H1253" s="151" t="s">
        <v>4005</v>
      </c>
      <c r="I1253" s="151" t="s">
        <v>6962</v>
      </c>
      <c r="J1253" s="151" t="s">
        <v>6962</v>
      </c>
      <c r="K1253" s="151">
        <f t="shared" si="49"/>
        <v>0</v>
      </c>
      <c r="L1253" s="151" t="s">
        <v>9021</v>
      </c>
    </row>
    <row r="1254" spans="8:12" x14ac:dyDescent="0.25">
      <c r="H1254" s="151" t="s">
        <v>4005</v>
      </c>
      <c r="I1254" s="151" t="s">
        <v>391</v>
      </c>
      <c r="J1254" s="151" t="s">
        <v>7123</v>
      </c>
      <c r="K1254" s="151">
        <f t="shared" si="49"/>
        <v>650000000000243</v>
      </c>
      <c r="L1254" s="151" t="s">
        <v>9021</v>
      </c>
    </row>
    <row r="1255" spans="8:12" x14ac:dyDescent="0.25">
      <c r="H1255" s="151" t="s">
        <v>4006</v>
      </c>
      <c r="I1255" s="151" t="s">
        <v>6962</v>
      </c>
      <c r="J1255" s="151" t="s">
        <v>6962</v>
      </c>
      <c r="K1255" s="151">
        <f t="shared" si="49"/>
        <v>0</v>
      </c>
      <c r="L1255" s="151" t="s">
        <v>9021</v>
      </c>
    </row>
    <row r="1256" spans="8:12" x14ac:dyDescent="0.25">
      <c r="H1256" s="151" t="s">
        <v>4006</v>
      </c>
      <c r="I1256" s="151" t="s">
        <v>391</v>
      </c>
      <c r="J1256" s="151" t="s">
        <v>7124</v>
      </c>
      <c r="K1256" s="151">
        <f t="shared" si="49"/>
        <v>650000000000244</v>
      </c>
      <c r="L1256" s="151" t="s">
        <v>9021</v>
      </c>
    </row>
    <row r="1257" spans="8:12" x14ac:dyDescent="0.25">
      <c r="H1257" s="151" t="s">
        <v>4007</v>
      </c>
      <c r="I1257" s="151" t="s">
        <v>6962</v>
      </c>
      <c r="J1257" s="151" t="s">
        <v>6962</v>
      </c>
      <c r="K1257" s="151">
        <f t="shared" si="49"/>
        <v>0</v>
      </c>
      <c r="L1257" s="151" t="s">
        <v>9021</v>
      </c>
    </row>
    <row r="1258" spans="8:12" x14ac:dyDescent="0.25">
      <c r="H1258" s="151" t="s">
        <v>4007</v>
      </c>
      <c r="I1258" s="151" t="s">
        <v>391</v>
      </c>
      <c r="J1258" s="151" t="s">
        <v>7125</v>
      </c>
      <c r="K1258" s="151">
        <f t="shared" si="49"/>
        <v>650000000000245</v>
      </c>
      <c r="L1258" s="151" t="s">
        <v>9021</v>
      </c>
    </row>
    <row r="1259" spans="8:12" x14ac:dyDescent="0.25">
      <c r="H1259" s="151" t="s">
        <v>4008</v>
      </c>
      <c r="I1259" s="151" t="s">
        <v>6962</v>
      </c>
      <c r="J1259" s="151" t="s">
        <v>6962</v>
      </c>
      <c r="K1259" s="151">
        <f t="shared" si="49"/>
        <v>0</v>
      </c>
      <c r="L1259" s="151" t="s">
        <v>9021</v>
      </c>
    </row>
    <row r="1260" spans="8:12" x14ac:dyDescent="0.25">
      <c r="H1260" s="151" t="s">
        <v>4008</v>
      </c>
      <c r="I1260" s="151" t="s">
        <v>391</v>
      </c>
      <c r="J1260" s="151" t="s">
        <v>7126</v>
      </c>
      <c r="K1260" s="151">
        <f t="shared" si="49"/>
        <v>650000000000246</v>
      </c>
      <c r="L1260" s="151" t="s">
        <v>9021</v>
      </c>
    </row>
    <row r="1261" spans="8:12" x14ac:dyDescent="0.25">
      <c r="H1261" s="151" t="s">
        <v>4009</v>
      </c>
      <c r="I1261" s="151" t="s">
        <v>6962</v>
      </c>
      <c r="J1261" s="151" t="s">
        <v>6962</v>
      </c>
      <c r="K1261" s="151">
        <f t="shared" si="49"/>
        <v>0</v>
      </c>
      <c r="L1261" s="151" t="s">
        <v>9021</v>
      </c>
    </row>
    <row r="1262" spans="8:12" x14ac:dyDescent="0.25">
      <c r="H1262" s="151" t="s">
        <v>4009</v>
      </c>
      <c r="I1262" s="151" t="s">
        <v>391</v>
      </c>
      <c r="J1262" s="151" t="s">
        <v>7127</v>
      </c>
      <c r="K1262" s="151">
        <f t="shared" si="49"/>
        <v>650000000000247</v>
      </c>
      <c r="L1262" s="151" t="s">
        <v>9021</v>
      </c>
    </row>
    <row r="1263" spans="8:12" x14ac:dyDescent="0.25">
      <c r="H1263" s="151" t="s">
        <v>4010</v>
      </c>
      <c r="I1263" s="151" t="s">
        <v>6962</v>
      </c>
      <c r="J1263" s="151" t="s">
        <v>6962</v>
      </c>
      <c r="K1263" s="151">
        <f t="shared" si="49"/>
        <v>0</v>
      </c>
      <c r="L1263" s="151" t="s">
        <v>9021</v>
      </c>
    </row>
    <row r="1264" spans="8:12" x14ac:dyDescent="0.25">
      <c r="H1264" s="151" t="s">
        <v>4010</v>
      </c>
      <c r="I1264" s="151" t="s">
        <v>391</v>
      </c>
      <c r="J1264" s="151" t="s">
        <v>7128</v>
      </c>
      <c r="K1264" s="151">
        <f t="shared" si="49"/>
        <v>650000000001488</v>
      </c>
      <c r="L1264" s="151" t="s">
        <v>9021</v>
      </c>
    </row>
    <row r="1265" spans="8:12" x14ac:dyDescent="0.25">
      <c r="H1265" s="151" t="s">
        <v>4011</v>
      </c>
      <c r="I1265" s="151" t="s">
        <v>6962</v>
      </c>
      <c r="J1265" s="151" t="s">
        <v>6962</v>
      </c>
      <c r="K1265" s="151">
        <f t="shared" si="49"/>
        <v>0</v>
      </c>
      <c r="L1265" s="151" t="s">
        <v>9021</v>
      </c>
    </row>
    <row r="1266" spans="8:12" x14ac:dyDescent="0.25">
      <c r="H1266" s="151" t="s">
        <v>4011</v>
      </c>
      <c r="I1266" s="151" t="s">
        <v>391</v>
      </c>
      <c r="J1266" s="151" t="s">
        <v>7129</v>
      </c>
      <c r="K1266" s="151">
        <f t="shared" si="49"/>
        <v>650000000000248</v>
      </c>
      <c r="L1266" s="151" t="s">
        <v>9021</v>
      </c>
    </row>
    <row r="1267" spans="8:12" x14ac:dyDescent="0.25">
      <c r="H1267" s="151" t="s">
        <v>6834</v>
      </c>
      <c r="I1267" s="151" t="s">
        <v>6962</v>
      </c>
      <c r="J1267" s="151" t="s">
        <v>6962</v>
      </c>
      <c r="K1267" s="151">
        <f t="shared" si="49"/>
        <v>0</v>
      </c>
      <c r="L1267" s="151" t="s">
        <v>9021</v>
      </c>
    </row>
    <row r="1268" spans="8:12" x14ac:dyDescent="0.25">
      <c r="H1268" s="151" t="s">
        <v>4012</v>
      </c>
      <c r="I1268" s="151" t="s">
        <v>6962</v>
      </c>
      <c r="J1268" s="151" t="s">
        <v>6962</v>
      </c>
      <c r="K1268" s="151">
        <f t="shared" si="49"/>
        <v>0</v>
      </c>
      <c r="L1268" s="151" t="s">
        <v>9021</v>
      </c>
    </row>
    <row r="1269" spans="8:12" x14ac:dyDescent="0.25">
      <c r="H1269" s="151" t="s">
        <v>4012</v>
      </c>
      <c r="I1269" s="151" t="s">
        <v>391</v>
      </c>
      <c r="J1269" s="151" t="s">
        <v>7130</v>
      </c>
      <c r="K1269" s="151">
        <f t="shared" si="49"/>
        <v>650000000000249</v>
      </c>
      <c r="L1269" s="151" t="s">
        <v>9021</v>
      </c>
    </row>
    <row r="1270" spans="8:12" x14ac:dyDescent="0.25">
      <c r="H1270" s="151" t="s">
        <v>4013</v>
      </c>
      <c r="I1270" s="151" t="s">
        <v>6962</v>
      </c>
      <c r="J1270" s="151" t="s">
        <v>6962</v>
      </c>
      <c r="K1270" s="151">
        <f t="shared" si="49"/>
        <v>0</v>
      </c>
      <c r="L1270" s="151" t="s">
        <v>9021</v>
      </c>
    </row>
    <row r="1271" spans="8:12" x14ac:dyDescent="0.25">
      <c r="H1271" s="151" t="s">
        <v>4013</v>
      </c>
      <c r="I1271" s="151" t="s">
        <v>391</v>
      </c>
      <c r="J1271" s="151" t="s">
        <v>7131</v>
      </c>
      <c r="K1271" s="151">
        <f t="shared" si="49"/>
        <v>650000000000250</v>
      </c>
      <c r="L1271" s="151" t="s">
        <v>9021</v>
      </c>
    </row>
    <row r="1272" spans="8:12" x14ac:dyDescent="0.25">
      <c r="H1272" s="151" t="s">
        <v>4014</v>
      </c>
      <c r="I1272" s="151" t="s">
        <v>6962</v>
      </c>
      <c r="J1272" s="151" t="s">
        <v>6962</v>
      </c>
      <c r="K1272" s="151">
        <f t="shared" si="49"/>
        <v>0</v>
      </c>
      <c r="L1272" s="151" t="s">
        <v>9021</v>
      </c>
    </row>
    <row r="1273" spans="8:12" x14ac:dyDescent="0.25">
      <c r="H1273" s="151" t="s">
        <v>4014</v>
      </c>
      <c r="I1273" s="151" t="s">
        <v>391</v>
      </c>
      <c r="J1273" s="151" t="s">
        <v>7132</v>
      </c>
      <c r="K1273" s="151">
        <f t="shared" si="49"/>
        <v>650000000000251</v>
      </c>
      <c r="L1273" s="151" t="s">
        <v>9021</v>
      </c>
    </row>
    <row r="1274" spans="8:12" x14ac:dyDescent="0.25">
      <c r="H1274" s="151" t="s">
        <v>4015</v>
      </c>
      <c r="I1274" s="151" t="s">
        <v>6962</v>
      </c>
      <c r="J1274" s="151" t="s">
        <v>6962</v>
      </c>
      <c r="K1274" s="151">
        <f t="shared" si="49"/>
        <v>0</v>
      </c>
      <c r="L1274" s="151" t="s">
        <v>9021</v>
      </c>
    </row>
    <row r="1275" spans="8:12" x14ac:dyDescent="0.25">
      <c r="H1275" s="151" t="s">
        <v>4015</v>
      </c>
      <c r="I1275" s="151" t="s">
        <v>391</v>
      </c>
      <c r="J1275" s="151" t="s">
        <v>7133</v>
      </c>
      <c r="K1275" s="151">
        <f t="shared" si="49"/>
        <v>650000000000252</v>
      </c>
      <c r="L1275" s="151" t="s">
        <v>9021</v>
      </c>
    </row>
    <row r="1276" spans="8:12" x14ac:dyDescent="0.25">
      <c r="H1276" s="151" t="s">
        <v>4016</v>
      </c>
      <c r="I1276" s="151" t="s">
        <v>6962</v>
      </c>
      <c r="J1276" s="151" t="s">
        <v>6962</v>
      </c>
      <c r="K1276" s="151">
        <f t="shared" si="49"/>
        <v>0</v>
      </c>
      <c r="L1276" s="151" t="s">
        <v>9021</v>
      </c>
    </row>
    <row r="1277" spans="8:12" x14ac:dyDescent="0.25">
      <c r="H1277" s="151" t="s">
        <v>4016</v>
      </c>
      <c r="I1277" s="151" t="s">
        <v>391</v>
      </c>
      <c r="J1277" s="151" t="s">
        <v>7134</v>
      </c>
      <c r="K1277" s="151">
        <f t="shared" si="49"/>
        <v>650000000001489</v>
      </c>
      <c r="L1277" s="151" t="s">
        <v>9021</v>
      </c>
    </row>
    <row r="1278" spans="8:12" x14ac:dyDescent="0.25">
      <c r="H1278" s="151" t="s">
        <v>4017</v>
      </c>
      <c r="I1278" s="151" t="s">
        <v>6962</v>
      </c>
      <c r="J1278" s="151" t="s">
        <v>6962</v>
      </c>
      <c r="K1278" s="151">
        <f t="shared" si="49"/>
        <v>0</v>
      </c>
      <c r="L1278" s="151" t="s">
        <v>9021</v>
      </c>
    </row>
    <row r="1279" spans="8:12" x14ac:dyDescent="0.25">
      <c r="H1279" s="151" t="s">
        <v>4017</v>
      </c>
      <c r="I1279" s="151" t="s">
        <v>391</v>
      </c>
      <c r="J1279" s="151" t="s">
        <v>7135</v>
      </c>
      <c r="K1279" s="151">
        <f t="shared" si="49"/>
        <v>650000000001490</v>
      </c>
      <c r="L1279" s="151" t="s">
        <v>9021</v>
      </c>
    </row>
    <row r="1280" spans="8:12" x14ac:dyDescent="0.25">
      <c r="H1280" s="151" t="s">
        <v>4018</v>
      </c>
      <c r="I1280" s="151" t="s">
        <v>6962</v>
      </c>
      <c r="J1280" s="151" t="s">
        <v>6962</v>
      </c>
      <c r="K1280" s="151">
        <f t="shared" si="49"/>
        <v>0</v>
      </c>
      <c r="L1280" s="151" t="s">
        <v>9021</v>
      </c>
    </row>
    <row r="1281" spans="8:12" x14ac:dyDescent="0.25">
      <c r="H1281" s="151" t="s">
        <v>4018</v>
      </c>
      <c r="I1281" s="151" t="s">
        <v>391</v>
      </c>
      <c r="J1281" s="151" t="s">
        <v>7136</v>
      </c>
      <c r="K1281" s="151">
        <f t="shared" si="49"/>
        <v>650000000000253</v>
      </c>
      <c r="L1281" s="151" t="s">
        <v>9021</v>
      </c>
    </row>
    <row r="1282" spans="8:12" x14ac:dyDescent="0.25">
      <c r="H1282" s="151" t="s">
        <v>4019</v>
      </c>
      <c r="I1282" s="151" t="s">
        <v>6962</v>
      </c>
      <c r="J1282" s="151" t="s">
        <v>6962</v>
      </c>
      <c r="K1282" s="151">
        <f t="shared" si="49"/>
        <v>0</v>
      </c>
      <c r="L1282" s="151" t="s">
        <v>9021</v>
      </c>
    </row>
    <row r="1283" spans="8:12" x14ac:dyDescent="0.25">
      <c r="H1283" s="151" t="s">
        <v>4019</v>
      </c>
      <c r="I1283" s="151" t="s">
        <v>391</v>
      </c>
      <c r="J1283" s="151" t="s">
        <v>7137</v>
      </c>
      <c r="K1283" s="151">
        <f t="shared" ref="K1283:K1346" si="50">+IFERROR(J1283*1,0)</f>
        <v>650000000000254</v>
      </c>
      <c r="L1283" s="151" t="s">
        <v>9021</v>
      </c>
    </row>
    <row r="1284" spans="8:12" x14ac:dyDescent="0.25">
      <c r="H1284" s="151" t="s">
        <v>4020</v>
      </c>
      <c r="I1284" s="151" t="s">
        <v>6962</v>
      </c>
      <c r="J1284" s="151" t="s">
        <v>6962</v>
      </c>
      <c r="K1284" s="151">
        <f t="shared" si="50"/>
        <v>0</v>
      </c>
      <c r="L1284" s="151" t="s">
        <v>9021</v>
      </c>
    </row>
    <row r="1285" spans="8:12" x14ac:dyDescent="0.25">
      <c r="H1285" s="151" t="s">
        <v>4020</v>
      </c>
      <c r="I1285" s="151" t="s">
        <v>391</v>
      </c>
      <c r="J1285" s="151" t="s">
        <v>7138</v>
      </c>
      <c r="K1285" s="151">
        <f t="shared" si="50"/>
        <v>650000000000255</v>
      </c>
      <c r="L1285" s="151" t="s">
        <v>9021</v>
      </c>
    </row>
    <row r="1286" spans="8:12" x14ac:dyDescent="0.25">
      <c r="H1286" s="151" t="s">
        <v>4021</v>
      </c>
      <c r="I1286" s="151" t="s">
        <v>6962</v>
      </c>
      <c r="J1286" s="151" t="s">
        <v>6962</v>
      </c>
      <c r="K1286" s="151">
        <f t="shared" si="50"/>
        <v>0</v>
      </c>
      <c r="L1286" s="151" t="s">
        <v>9021</v>
      </c>
    </row>
    <row r="1287" spans="8:12" x14ac:dyDescent="0.25">
      <c r="H1287" s="151" t="s">
        <v>4021</v>
      </c>
      <c r="I1287" s="151" t="s">
        <v>391</v>
      </c>
      <c r="J1287" s="151" t="s">
        <v>7139</v>
      </c>
      <c r="K1287" s="151">
        <f t="shared" si="50"/>
        <v>650000000000256</v>
      </c>
      <c r="L1287" s="151" t="s">
        <v>9021</v>
      </c>
    </row>
    <row r="1288" spans="8:12" x14ac:dyDescent="0.25">
      <c r="H1288" s="151" t="s">
        <v>4022</v>
      </c>
      <c r="I1288" s="151" t="s">
        <v>6962</v>
      </c>
      <c r="J1288" s="151" t="s">
        <v>6962</v>
      </c>
      <c r="K1288" s="151">
        <f t="shared" si="50"/>
        <v>0</v>
      </c>
      <c r="L1288" s="151" t="s">
        <v>9021</v>
      </c>
    </row>
    <row r="1289" spans="8:12" x14ac:dyDescent="0.25">
      <c r="H1289" s="151" t="s">
        <v>4022</v>
      </c>
      <c r="I1289" s="151" t="s">
        <v>391</v>
      </c>
      <c r="J1289" s="151" t="s">
        <v>7140</v>
      </c>
      <c r="K1289" s="151">
        <f t="shared" si="50"/>
        <v>650000000000257</v>
      </c>
      <c r="L1289" s="151" t="s">
        <v>9021</v>
      </c>
    </row>
    <row r="1290" spans="8:12" x14ac:dyDescent="0.25">
      <c r="H1290" s="151" t="s">
        <v>4023</v>
      </c>
      <c r="I1290" s="151" t="s">
        <v>6962</v>
      </c>
      <c r="J1290" s="151" t="s">
        <v>6962</v>
      </c>
      <c r="K1290" s="151">
        <f t="shared" si="50"/>
        <v>0</v>
      </c>
      <c r="L1290" s="151" t="s">
        <v>9021</v>
      </c>
    </row>
    <row r="1291" spans="8:12" x14ac:dyDescent="0.25">
      <c r="H1291" s="151" t="s">
        <v>4023</v>
      </c>
      <c r="I1291" s="151" t="s">
        <v>391</v>
      </c>
      <c r="J1291" s="151" t="s">
        <v>7141</v>
      </c>
      <c r="K1291" s="151">
        <f t="shared" si="50"/>
        <v>650000000001491</v>
      </c>
      <c r="L1291" s="151" t="s">
        <v>9021</v>
      </c>
    </row>
    <row r="1292" spans="8:12" x14ac:dyDescent="0.25">
      <c r="H1292" s="151" t="s">
        <v>4024</v>
      </c>
      <c r="I1292" s="151" t="s">
        <v>6962</v>
      </c>
      <c r="J1292" s="151" t="s">
        <v>6962</v>
      </c>
      <c r="K1292" s="151">
        <f t="shared" si="50"/>
        <v>0</v>
      </c>
      <c r="L1292" s="151" t="s">
        <v>9021</v>
      </c>
    </row>
    <row r="1293" spans="8:12" x14ac:dyDescent="0.25">
      <c r="H1293" s="151" t="s">
        <v>4024</v>
      </c>
      <c r="I1293" s="151" t="s">
        <v>391</v>
      </c>
      <c r="J1293" s="151" t="s">
        <v>7142</v>
      </c>
      <c r="K1293" s="151">
        <f t="shared" si="50"/>
        <v>650000000000258</v>
      </c>
      <c r="L1293" s="151" t="s">
        <v>9021</v>
      </c>
    </row>
    <row r="1294" spans="8:12" x14ac:dyDescent="0.25">
      <c r="H1294" s="151" t="s">
        <v>4025</v>
      </c>
      <c r="I1294" s="151" t="s">
        <v>6962</v>
      </c>
      <c r="J1294" s="151" t="s">
        <v>6962</v>
      </c>
      <c r="K1294" s="151">
        <f t="shared" si="50"/>
        <v>0</v>
      </c>
      <c r="L1294" s="151" t="s">
        <v>9021</v>
      </c>
    </row>
    <row r="1295" spans="8:12" x14ac:dyDescent="0.25">
      <c r="H1295" s="151" t="s">
        <v>4025</v>
      </c>
      <c r="I1295" s="151" t="s">
        <v>391</v>
      </c>
      <c r="J1295" s="151" t="s">
        <v>7143</v>
      </c>
      <c r="K1295" s="151">
        <f t="shared" si="50"/>
        <v>650000000000259</v>
      </c>
      <c r="L1295" s="151" t="s">
        <v>9021</v>
      </c>
    </row>
    <row r="1296" spans="8:12" x14ac:dyDescent="0.25">
      <c r="H1296" s="151" t="s">
        <v>4026</v>
      </c>
      <c r="I1296" s="151" t="s">
        <v>6962</v>
      </c>
      <c r="J1296" s="151" t="s">
        <v>6962</v>
      </c>
      <c r="K1296" s="151">
        <f t="shared" si="50"/>
        <v>0</v>
      </c>
      <c r="L1296" s="151" t="s">
        <v>9021</v>
      </c>
    </row>
    <row r="1297" spans="8:12" x14ac:dyDescent="0.25">
      <c r="H1297" s="151" t="s">
        <v>4026</v>
      </c>
      <c r="I1297" s="151" t="s">
        <v>391</v>
      </c>
      <c r="J1297" s="151" t="s">
        <v>7144</v>
      </c>
      <c r="K1297" s="151">
        <f t="shared" si="50"/>
        <v>650000000001492</v>
      </c>
      <c r="L1297" s="151" t="s">
        <v>9021</v>
      </c>
    </row>
    <row r="1298" spans="8:12" x14ac:dyDescent="0.25">
      <c r="H1298" s="151" t="s">
        <v>4027</v>
      </c>
      <c r="I1298" s="151" t="s">
        <v>6962</v>
      </c>
      <c r="J1298" s="151" t="s">
        <v>6962</v>
      </c>
      <c r="K1298" s="151">
        <f t="shared" si="50"/>
        <v>0</v>
      </c>
      <c r="L1298" s="151" t="s">
        <v>9021</v>
      </c>
    </row>
    <row r="1299" spans="8:12" x14ac:dyDescent="0.25">
      <c r="H1299" s="151" t="s">
        <v>4027</v>
      </c>
      <c r="I1299" s="151" t="s">
        <v>391</v>
      </c>
      <c r="J1299" s="151" t="s">
        <v>7145</v>
      </c>
      <c r="K1299" s="151">
        <f t="shared" si="50"/>
        <v>650000000000260</v>
      </c>
      <c r="L1299" s="151" t="s">
        <v>9021</v>
      </c>
    </row>
    <row r="1300" spans="8:12" x14ac:dyDescent="0.25">
      <c r="H1300" s="151" t="s">
        <v>4028</v>
      </c>
      <c r="I1300" s="151" t="s">
        <v>6962</v>
      </c>
      <c r="J1300" s="151" t="s">
        <v>6962</v>
      </c>
      <c r="K1300" s="151">
        <f t="shared" si="50"/>
        <v>0</v>
      </c>
      <c r="L1300" s="151" t="s">
        <v>9021</v>
      </c>
    </row>
    <row r="1301" spans="8:12" x14ac:dyDescent="0.25">
      <c r="H1301" s="151" t="s">
        <v>4028</v>
      </c>
      <c r="I1301" s="151" t="s">
        <v>391</v>
      </c>
      <c r="J1301" s="151" t="s">
        <v>7146</v>
      </c>
      <c r="K1301" s="151">
        <f t="shared" si="50"/>
        <v>650000000000261</v>
      </c>
      <c r="L1301" s="151" t="s">
        <v>9021</v>
      </c>
    </row>
    <row r="1302" spans="8:12" x14ac:dyDescent="0.25">
      <c r="H1302" s="151" t="s">
        <v>4029</v>
      </c>
      <c r="I1302" s="151" t="s">
        <v>6962</v>
      </c>
      <c r="J1302" s="151" t="s">
        <v>6962</v>
      </c>
      <c r="K1302" s="151">
        <f t="shared" si="50"/>
        <v>0</v>
      </c>
      <c r="L1302" s="151" t="s">
        <v>9021</v>
      </c>
    </row>
    <row r="1303" spans="8:12" x14ac:dyDescent="0.25">
      <c r="H1303" s="151" t="s">
        <v>4029</v>
      </c>
      <c r="I1303" s="151" t="s">
        <v>391</v>
      </c>
      <c r="J1303" s="151" t="s">
        <v>7147</v>
      </c>
      <c r="K1303" s="151">
        <f t="shared" si="50"/>
        <v>650000000000262</v>
      </c>
      <c r="L1303" s="151" t="s">
        <v>9021</v>
      </c>
    </row>
    <row r="1304" spans="8:12" x14ac:dyDescent="0.25">
      <c r="H1304" s="151" t="s">
        <v>4030</v>
      </c>
      <c r="I1304" s="151" t="s">
        <v>6962</v>
      </c>
      <c r="J1304" s="151" t="s">
        <v>6962</v>
      </c>
      <c r="K1304" s="151">
        <f t="shared" si="50"/>
        <v>0</v>
      </c>
      <c r="L1304" s="151" t="s">
        <v>9021</v>
      </c>
    </row>
    <row r="1305" spans="8:12" x14ac:dyDescent="0.25">
      <c r="H1305" s="151" t="s">
        <v>4030</v>
      </c>
      <c r="I1305" s="151" t="s">
        <v>391</v>
      </c>
      <c r="J1305" s="151" t="s">
        <v>7148</v>
      </c>
      <c r="K1305" s="151">
        <f t="shared" si="50"/>
        <v>650000000000263</v>
      </c>
      <c r="L1305" s="151" t="s">
        <v>9021</v>
      </c>
    </row>
    <row r="1306" spans="8:12" x14ac:dyDescent="0.25">
      <c r="H1306" s="151" t="s">
        <v>4031</v>
      </c>
      <c r="I1306" s="151" t="s">
        <v>6962</v>
      </c>
      <c r="J1306" s="151" t="s">
        <v>6962</v>
      </c>
      <c r="K1306" s="151">
        <f t="shared" si="50"/>
        <v>0</v>
      </c>
      <c r="L1306" s="151" t="s">
        <v>9021</v>
      </c>
    </row>
    <row r="1307" spans="8:12" x14ac:dyDescent="0.25">
      <c r="H1307" s="151" t="s">
        <v>4031</v>
      </c>
      <c r="I1307" s="151" t="s">
        <v>391</v>
      </c>
      <c r="J1307" s="151" t="s">
        <v>7149</v>
      </c>
      <c r="K1307" s="151">
        <f t="shared" si="50"/>
        <v>650000000000264</v>
      </c>
      <c r="L1307" s="151" t="s">
        <v>9021</v>
      </c>
    </row>
    <row r="1308" spans="8:12" x14ac:dyDescent="0.25">
      <c r="H1308" s="151" t="s">
        <v>4032</v>
      </c>
      <c r="I1308" s="151" t="s">
        <v>6962</v>
      </c>
      <c r="J1308" s="151" t="s">
        <v>6962</v>
      </c>
      <c r="K1308" s="151">
        <f t="shared" si="50"/>
        <v>0</v>
      </c>
      <c r="L1308" s="151" t="s">
        <v>9021</v>
      </c>
    </row>
    <row r="1309" spans="8:12" x14ac:dyDescent="0.25">
      <c r="H1309" s="151" t="s">
        <v>4032</v>
      </c>
      <c r="I1309" s="151" t="s">
        <v>391</v>
      </c>
      <c r="J1309" s="151" t="s">
        <v>7150</v>
      </c>
      <c r="K1309" s="151">
        <f t="shared" si="50"/>
        <v>650000000001493</v>
      </c>
      <c r="L1309" s="151" t="s">
        <v>9021</v>
      </c>
    </row>
    <row r="1310" spans="8:12" x14ac:dyDescent="0.25">
      <c r="H1310" s="151" t="s">
        <v>4033</v>
      </c>
      <c r="I1310" s="151" t="s">
        <v>6962</v>
      </c>
      <c r="J1310" s="151" t="s">
        <v>6962</v>
      </c>
      <c r="K1310" s="151">
        <f t="shared" si="50"/>
        <v>0</v>
      </c>
      <c r="L1310" s="151" t="s">
        <v>9021</v>
      </c>
    </row>
    <row r="1311" spans="8:12" x14ac:dyDescent="0.25">
      <c r="H1311" s="151" t="s">
        <v>4033</v>
      </c>
      <c r="I1311" s="151" t="s">
        <v>391</v>
      </c>
      <c r="J1311" s="151" t="s">
        <v>7151</v>
      </c>
      <c r="K1311" s="151">
        <f t="shared" si="50"/>
        <v>650000000001494</v>
      </c>
      <c r="L1311" s="151" t="s">
        <v>9021</v>
      </c>
    </row>
    <row r="1312" spans="8:12" x14ac:dyDescent="0.25">
      <c r="H1312" s="151" t="s">
        <v>4034</v>
      </c>
      <c r="I1312" s="151" t="s">
        <v>6962</v>
      </c>
      <c r="J1312" s="151" t="s">
        <v>6962</v>
      </c>
      <c r="K1312" s="151">
        <f t="shared" si="50"/>
        <v>0</v>
      </c>
      <c r="L1312" s="151" t="s">
        <v>9021</v>
      </c>
    </row>
    <row r="1313" spans="8:12" x14ac:dyDescent="0.25">
      <c r="H1313" s="151" t="s">
        <v>4034</v>
      </c>
      <c r="I1313" s="151" t="s">
        <v>391</v>
      </c>
      <c r="J1313" s="151" t="s">
        <v>7152</v>
      </c>
      <c r="K1313" s="151">
        <f t="shared" si="50"/>
        <v>650000000001495</v>
      </c>
      <c r="L1313" s="151" t="s">
        <v>9021</v>
      </c>
    </row>
    <row r="1314" spans="8:12" x14ac:dyDescent="0.25">
      <c r="H1314" s="151" t="s">
        <v>4035</v>
      </c>
      <c r="I1314" s="151" t="s">
        <v>6962</v>
      </c>
      <c r="J1314" s="151" t="s">
        <v>6962</v>
      </c>
      <c r="K1314" s="151">
        <f t="shared" si="50"/>
        <v>0</v>
      </c>
      <c r="L1314" s="151" t="s">
        <v>9021</v>
      </c>
    </row>
    <row r="1315" spans="8:12" x14ac:dyDescent="0.25">
      <c r="H1315" s="151" t="s">
        <v>4035</v>
      </c>
      <c r="I1315" s="151" t="s">
        <v>391</v>
      </c>
      <c r="J1315" s="151" t="s">
        <v>7153</v>
      </c>
      <c r="K1315" s="151">
        <f t="shared" si="50"/>
        <v>650000000000265</v>
      </c>
      <c r="L1315" s="151" t="s">
        <v>9021</v>
      </c>
    </row>
    <row r="1316" spans="8:12" x14ac:dyDescent="0.25">
      <c r="H1316" s="151" t="s">
        <v>4036</v>
      </c>
      <c r="I1316" s="151" t="s">
        <v>6962</v>
      </c>
      <c r="J1316" s="151" t="s">
        <v>6962</v>
      </c>
      <c r="K1316" s="151">
        <f t="shared" si="50"/>
        <v>0</v>
      </c>
      <c r="L1316" s="151" t="s">
        <v>9021</v>
      </c>
    </row>
    <row r="1317" spans="8:12" x14ac:dyDescent="0.25">
      <c r="H1317" s="151" t="s">
        <v>4036</v>
      </c>
      <c r="I1317" s="151" t="s">
        <v>391</v>
      </c>
      <c r="J1317" s="151" t="s">
        <v>7154</v>
      </c>
      <c r="K1317" s="151">
        <f t="shared" si="50"/>
        <v>650000000000266</v>
      </c>
      <c r="L1317" s="151" t="s">
        <v>9021</v>
      </c>
    </row>
    <row r="1318" spans="8:12" x14ac:dyDescent="0.25">
      <c r="H1318" s="151" t="s">
        <v>4037</v>
      </c>
      <c r="I1318" s="151" t="s">
        <v>6962</v>
      </c>
      <c r="J1318" s="151" t="s">
        <v>6962</v>
      </c>
      <c r="K1318" s="151">
        <f t="shared" si="50"/>
        <v>0</v>
      </c>
      <c r="L1318" s="151" t="s">
        <v>9021</v>
      </c>
    </row>
    <row r="1319" spans="8:12" x14ac:dyDescent="0.25">
      <c r="H1319" s="151" t="s">
        <v>4037</v>
      </c>
      <c r="I1319" s="151" t="s">
        <v>391</v>
      </c>
      <c r="J1319" s="151" t="s">
        <v>7155</v>
      </c>
      <c r="K1319" s="151">
        <f t="shared" si="50"/>
        <v>650000000000267</v>
      </c>
      <c r="L1319" s="151" t="s">
        <v>9021</v>
      </c>
    </row>
    <row r="1320" spans="8:12" x14ac:dyDescent="0.25">
      <c r="H1320" s="151" t="s">
        <v>4038</v>
      </c>
      <c r="I1320" s="151" t="s">
        <v>6962</v>
      </c>
      <c r="J1320" s="151" t="s">
        <v>6962</v>
      </c>
      <c r="K1320" s="151">
        <f t="shared" si="50"/>
        <v>0</v>
      </c>
      <c r="L1320" s="151" t="s">
        <v>9021</v>
      </c>
    </row>
    <row r="1321" spans="8:12" x14ac:dyDescent="0.25">
      <c r="H1321" s="151" t="s">
        <v>4038</v>
      </c>
      <c r="I1321" s="151" t="s">
        <v>391</v>
      </c>
      <c r="J1321" s="151" t="s">
        <v>7156</v>
      </c>
      <c r="K1321" s="151">
        <f t="shared" si="50"/>
        <v>650000000000268</v>
      </c>
      <c r="L1321" s="151" t="s">
        <v>9021</v>
      </c>
    </row>
    <row r="1322" spans="8:12" x14ac:dyDescent="0.25">
      <c r="H1322" s="151" t="s">
        <v>4039</v>
      </c>
      <c r="I1322" s="151" t="s">
        <v>6962</v>
      </c>
      <c r="J1322" s="151" t="s">
        <v>6962</v>
      </c>
      <c r="K1322" s="151">
        <f t="shared" si="50"/>
        <v>0</v>
      </c>
      <c r="L1322" s="151" t="s">
        <v>9021</v>
      </c>
    </row>
    <row r="1323" spans="8:12" x14ac:dyDescent="0.25">
      <c r="H1323" s="151" t="s">
        <v>4039</v>
      </c>
      <c r="I1323" s="151" t="s">
        <v>391</v>
      </c>
      <c r="J1323" s="151" t="s">
        <v>7157</v>
      </c>
      <c r="K1323" s="151">
        <f t="shared" si="50"/>
        <v>650000000000269</v>
      </c>
      <c r="L1323" s="151" t="s">
        <v>9021</v>
      </c>
    </row>
    <row r="1324" spans="8:12" x14ac:dyDescent="0.25">
      <c r="H1324" s="151" t="s">
        <v>4040</v>
      </c>
      <c r="I1324" s="151" t="s">
        <v>6962</v>
      </c>
      <c r="J1324" s="151" t="s">
        <v>6962</v>
      </c>
      <c r="K1324" s="151">
        <f t="shared" si="50"/>
        <v>0</v>
      </c>
      <c r="L1324" s="151" t="s">
        <v>9021</v>
      </c>
    </row>
    <row r="1325" spans="8:12" x14ac:dyDescent="0.25">
      <c r="H1325" s="151" t="s">
        <v>4040</v>
      </c>
      <c r="I1325" s="151" t="s">
        <v>391</v>
      </c>
      <c r="J1325" s="151" t="s">
        <v>7158</v>
      </c>
      <c r="K1325" s="151">
        <f t="shared" si="50"/>
        <v>650000000000270</v>
      </c>
      <c r="L1325" s="151" t="s">
        <v>9021</v>
      </c>
    </row>
    <row r="1326" spans="8:12" x14ac:dyDescent="0.25">
      <c r="H1326" s="151" t="s">
        <v>4041</v>
      </c>
      <c r="I1326" s="151" t="s">
        <v>6962</v>
      </c>
      <c r="J1326" s="151" t="s">
        <v>6962</v>
      </c>
      <c r="K1326" s="151">
        <f t="shared" si="50"/>
        <v>0</v>
      </c>
      <c r="L1326" s="151" t="s">
        <v>9021</v>
      </c>
    </row>
    <row r="1327" spans="8:12" x14ac:dyDescent="0.25">
      <c r="H1327" s="151" t="s">
        <v>4041</v>
      </c>
      <c r="I1327" s="151" t="s">
        <v>391</v>
      </c>
      <c r="J1327" s="151" t="s">
        <v>7159</v>
      </c>
      <c r="K1327" s="151">
        <f t="shared" si="50"/>
        <v>650000000000271</v>
      </c>
      <c r="L1327" s="151" t="s">
        <v>9021</v>
      </c>
    </row>
    <row r="1328" spans="8:12" x14ac:dyDescent="0.25">
      <c r="H1328" s="151" t="s">
        <v>4042</v>
      </c>
      <c r="I1328" s="151" t="s">
        <v>6962</v>
      </c>
      <c r="J1328" s="151" t="s">
        <v>6962</v>
      </c>
      <c r="K1328" s="151">
        <f t="shared" si="50"/>
        <v>0</v>
      </c>
      <c r="L1328" s="151" t="s">
        <v>9021</v>
      </c>
    </row>
    <row r="1329" spans="8:12" x14ac:dyDescent="0.25">
      <c r="H1329" s="151" t="s">
        <v>4042</v>
      </c>
      <c r="I1329" s="151" t="s">
        <v>391</v>
      </c>
      <c r="J1329" s="151" t="s">
        <v>7160</v>
      </c>
      <c r="K1329" s="151">
        <f t="shared" si="50"/>
        <v>650000000000272</v>
      </c>
      <c r="L1329" s="151" t="s">
        <v>9021</v>
      </c>
    </row>
    <row r="1330" spans="8:12" x14ac:dyDescent="0.25">
      <c r="H1330" s="151" t="s">
        <v>4043</v>
      </c>
      <c r="I1330" s="151" t="s">
        <v>6962</v>
      </c>
      <c r="J1330" s="151" t="s">
        <v>6962</v>
      </c>
      <c r="K1330" s="151">
        <f t="shared" si="50"/>
        <v>0</v>
      </c>
      <c r="L1330" s="151" t="s">
        <v>9021</v>
      </c>
    </row>
    <row r="1331" spans="8:12" x14ac:dyDescent="0.25">
      <c r="H1331" s="151" t="s">
        <v>4043</v>
      </c>
      <c r="I1331" s="151" t="s">
        <v>391</v>
      </c>
      <c r="J1331" s="151" t="s">
        <v>7161</v>
      </c>
      <c r="K1331" s="151">
        <f t="shared" si="50"/>
        <v>650000000000273</v>
      </c>
      <c r="L1331" s="151" t="s">
        <v>9021</v>
      </c>
    </row>
    <row r="1332" spans="8:12" x14ac:dyDescent="0.25">
      <c r="H1332" s="151" t="s">
        <v>4044</v>
      </c>
      <c r="I1332" s="151" t="s">
        <v>6962</v>
      </c>
      <c r="J1332" s="151" t="s">
        <v>6962</v>
      </c>
      <c r="K1332" s="151">
        <f t="shared" si="50"/>
        <v>0</v>
      </c>
      <c r="L1332" s="151" t="s">
        <v>9021</v>
      </c>
    </row>
    <row r="1333" spans="8:12" x14ac:dyDescent="0.25">
      <c r="H1333" s="151" t="s">
        <v>4044</v>
      </c>
      <c r="I1333" s="151" t="s">
        <v>391</v>
      </c>
      <c r="J1333" s="151" t="s">
        <v>7162</v>
      </c>
      <c r="K1333" s="151">
        <f t="shared" si="50"/>
        <v>650000000000274</v>
      </c>
      <c r="L1333" s="151" t="s">
        <v>9021</v>
      </c>
    </row>
    <row r="1334" spans="8:12" x14ac:dyDescent="0.25">
      <c r="H1334" s="151" t="s">
        <v>4045</v>
      </c>
      <c r="I1334" s="151" t="s">
        <v>6962</v>
      </c>
      <c r="J1334" s="151" t="s">
        <v>6962</v>
      </c>
      <c r="K1334" s="151">
        <f t="shared" si="50"/>
        <v>0</v>
      </c>
      <c r="L1334" s="151" t="s">
        <v>9021</v>
      </c>
    </row>
    <row r="1335" spans="8:12" x14ac:dyDescent="0.25">
      <c r="H1335" s="151" t="s">
        <v>4045</v>
      </c>
      <c r="I1335" s="151" t="s">
        <v>391</v>
      </c>
      <c r="J1335" s="151" t="s">
        <v>7163</v>
      </c>
      <c r="K1335" s="151">
        <f t="shared" si="50"/>
        <v>650000000000275</v>
      </c>
      <c r="L1335" s="151" t="s">
        <v>9021</v>
      </c>
    </row>
    <row r="1336" spans="8:12" x14ac:dyDescent="0.25">
      <c r="H1336" s="151" t="s">
        <v>4046</v>
      </c>
      <c r="I1336" s="151" t="s">
        <v>6962</v>
      </c>
      <c r="J1336" s="151" t="s">
        <v>6962</v>
      </c>
      <c r="K1336" s="151">
        <f t="shared" si="50"/>
        <v>0</v>
      </c>
      <c r="L1336" s="151" t="s">
        <v>9021</v>
      </c>
    </row>
    <row r="1337" spans="8:12" x14ac:dyDescent="0.25">
      <c r="H1337" s="151" t="s">
        <v>4046</v>
      </c>
      <c r="I1337" s="151" t="s">
        <v>391</v>
      </c>
      <c r="J1337" s="151" t="s">
        <v>7164</v>
      </c>
      <c r="K1337" s="151">
        <f t="shared" si="50"/>
        <v>650000000000276</v>
      </c>
      <c r="L1337" s="151" t="s">
        <v>9021</v>
      </c>
    </row>
    <row r="1338" spans="8:12" x14ac:dyDescent="0.25">
      <c r="H1338" s="151" t="s">
        <v>4047</v>
      </c>
      <c r="I1338" s="151" t="s">
        <v>6962</v>
      </c>
      <c r="J1338" s="151" t="s">
        <v>6962</v>
      </c>
      <c r="K1338" s="151">
        <f t="shared" si="50"/>
        <v>0</v>
      </c>
      <c r="L1338" s="151" t="s">
        <v>9021</v>
      </c>
    </row>
    <row r="1339" spans="8:12" x14ac:dyDescent="0.25">
      <c r="H1339" s="151" t="s">
        <v>4047</v>
      </c>
      <c r="I1339" s="151" t="s">
        <v>391</v>
      </c>
      <c r="J1339" s="151" t="s">
        <v>7165</v>
      </c>
      <c r="K1339" s="151">
        <f t="shared" si="50"/>
        <v>650000000000277</v>
      </c>
      <c r="L1339" s="151" t="s">
        <v>9021</v>
      </c>
    </row>
    <row r="1340" spans="8:12" x14ac:dyDescent="0.25">
      <c r="H1340" s="151" t="s">
        <v>4048</v>
      </c>
      <c r="I1340" s="151" t="s">
        <v>6962</v>
      </c>
      <c r="J1340" s="151" t="s">
        <v>6962</v>
      </c>
      <c r="K1340" s="151">
        <f t="shared" si="50"/>
        <v>0</v>
      </c>
      <c r="L1340" s="151" t="s">
        <v>9021</v>
      </c>
    </row>
    <row r="1341" spans="8:12" x14ac:dyDescent="0.25">
      <c r="H1341" s="151" t="s">
        <v>4048</v>
      </c>
      <c r="I1341" s="151" t="s">
        <v>391</v>
      </c>
      <c r="J1341" s="151" t="s">
        <v>7166</v>
      </c>
      <c r="K1341" s="151">
        <f t="shared" si="50"/>
        <v>650000000000278</v>
      </c>
      <c r="L1341" s="151" t="s">
        <v>9021</v>
      </c>
    </row>
    <row r="1342" spans="8:12" x14ac:dyDescent="0.25">
      <c r="H1342" s="151" t="s">
        <v>4049</v>
      </c>
      <c r="I1342" s="151" t="s">
        <v>6962</v>
      </c>
      <c r="J1342" s="151" t="s">
        <v>6962</v>
      </c>
      <c r="K1342" s="151">
        <f t="shared" si="50"/>
        <v>0</v>
      </c>
      <c r="L1342" s="151" t="s">
        <v>9021</v>
      </c>
    </row>
    <row r="1343" spans="8:12" x14ac:dyDescent="0.25">
      <c r="H1343" s="151" t="s">
        <v>4049</v>
      </c>
      <c r="I1343" s="151" t="s">
        <v>391</v>
      </c>
      <c r="J1343" s="151" t="s">
        <v>7167</v>
      </c>
      <c r="K1343" s="151">
        <f t="shared" si="50"/>
        <v>650000000000279</v>
      </c>
      <c r="L1343" s="151" t="s">
        <v>9021</v>
      </c>
    </row>
    <row r="1344" spans="8:12" x14ac:dyDescent="0.25">
      <c r="H1344" s="151" t="s">
        <v>4050</v>
      </c>
      <c r="I1344" s="151" t="s">
        <v>6962</v>
      </c>
      <c r="J1344" s="151" t="s">
        <v>6962</v>
      </c>
      <c r="K1344" s="151">
        <f t="shared" si="50"/>
        <v>0</v>
      </c>
      <c r="L1344" s="151" t="s">
        <v>9021</v>
      </c>
    </row>
    <row r="1345" spans="8:12" x14ac:dyDescent="0.25">
      <c r="H1345" s="151" t="s">
        <v>4050</v>
      </c>
      <c r="I1345" s="151" t="s">
        <v>391</v>
      </c>
      <c r="J1345" s="151" t="s">
        <v>7168</v>
      </c>
      <c r="K1345" s="151">
        <f t="shared" si="50"/>
        <v>650000000000280</v>
      </c>
      <c r="L1345" s="151" t="s">
        <v>9021</v>
      </c>
    </row>
    <row r="1346" spans="8:12" x14ac:dyDescent="0.25">
      <c r="H1346" s="151" t="s">
        <v>4051</v>
      </c>
      <c r="I1346" s="151" t="s">
        <v>6962</v>
      </c>
      <c r="J1346" s="151" t="s">
        <v>6962</v>
      </c>
      <c r="K1346" s="151">
        <f t="shared" si="50"/>
        <v>0</v>
      </c>
      <c r="L1346" s="151" t="s">
        <v>9021</v>
      </c>
    </row>
    <row r="1347" spans="8:12" x14ac:dyDescent="0.25">
      <c r="H1347" s="151" t="s">
        <v>4051</v>
      </c>
      <c r="I1347" s="151" t="s">
        <v>391</v>
      </c>
      <c r="J1347" s="151" t="s">
        <v>7169</v>
      </c>
      <c r="K1347" s="151">
        <f t="shared" ref="K1347:K1410" si="51">+IFERROR(J1347*1,0)</f>
        <v>650000000000281</v>
      </c>
      <c r="L1347" s="151" t="s">
        <v>9021</v>
      </c>
    </row>
    <row r="1348" spans="8:12" x14ac:dyDescent="0.25">
      <c r="H1348" s="151" t="s">
        <v>4052</v>
      </c>
      <c r="I1348" s="151" t="s">
        <v>6962</v>
      </c>
      <c r="J1348" s="151" t="s">
        <v>6962</v>
      </c>
      <c r="K1348" s="151">
        <f t="shared" si="51"/>
        <v>0</v>
      </c>
      <c r="L1348" s="151" t="s">
        <v>9021</v>
      </c>
    </row>
    <row r="1349" spans="8:12" x14ac:dyDescent="0.25">
      <c r="H1349" s="151" t="s">
        <v>4052</v>
      </c>
      <c r="I1349" s="151" t="s">
        <v>391</v>
      </c>
      <c r="J1349" s="151" t="s">
        <v>7170</v>
      </c>
      <c r="K1349" s="151">
        <f t="shared" si="51"/>
        <v>650000000000282</v>
      </c>
      <c r="L1349" s="151" t="s">
        <v>9021</v>
      </c>
    </row>
    <row r="1350" spans="8:12" x14ac:dyDescent="0.25">
      <c r="H1350" s="151" t="s">
        <v>4053</v>
      </c>
      <c r="I1350" s="151" t="s">
        <v>6962</v>
      </c>
      <c r="J1350" s="151" t="s">
        <v>6962</v>
      </c>
      <c r="K1350" s="151">
        <f t="shared" si="51"/>
        <v>0</v>
      </c>
      <c r="L1350" s="151" t="s">
        <v>9021</v>
      </c>
    </row>
    <row r="1351" spans="8:12" x14ac:dyDescent="0.25">
      <c r="H1351" s="151" t="s">
        <v>4053</v>
      </c>
      <c r="I1351" s="151" t="s">
        <v>391</v>
      </c>
      <c r="J1351" s="151" t="s">
        <v>7171</v>
      </c>
      <c r="K1351" s="151">
        <f t="shared" si="51"/>
        <v>650000000000283</v>
      </c>
      <c r="L1351" s="151" t="s">
        <v>9021</v>
      </c>
    </row>
    <row r="1352" spans="8:12" x14ac:dyDescent="0.25">
      <c r="H1352" s="151" t="s">
        <v>4054</v>
      </c>
      <c r="I1352" s="151" t="s">
        <v>6962</v>
      </c>
      <c r="J1352" s="151" t="s">
        <v>6962</v>
      </c>
      <c r="K1352" s="151">
        <f t="shared" si="51"/>
        <v>0</v>
      </c>
      <c r="L1352" s="151" t="s">
        <v>9021</v>
      </c>
    </row>
    <row r="1353" spans="8:12" x14ac:dyDescent="0.25">
      <c r="H1353" s="151" t="s">
        <v>4054</v>
      </c>
      <c r="I1353" s="151" t="s">
        <v>391</v>
      </c>
      <c r="J1353" s="151" t="s">
        <v>7172</v>
      </c>
      <c r="K1353" s="151">
        <f t="shared" si="51"/>
        <v>650000000000284</v>
      </c>
      <c r="L1353" s="151" t="s">
        <v>9021</v>
      </c>
    </row>
    <row r="1354" spans="8:12" x14ac:dyDescent="0.25">
      <c r="H1354" s="151" t="s">
        <v>4055</v>
      </c>
      <c r="I1354" s="151" t="s">
        <v>6962</v>
      </c>
      <c r="J1354" s="151" t="s">
        <v>6962</v>
      </c>
      <c r="K1354" s="151">
        <f t="shared" si="51"/>
        <v>0</v>
      </c>
      <c r="L1354" s="151" t="s">
        <v>9021</v>
      </c>
    </row>
    <row r="1355" spans="8:12" x14ac:dyDescent="0.25">
      <c r="H1355" s="151" t="s">
        <v>4055</v>
      </c>
      <c r="I1355" s="151" t="s">
        <v>391</v>
      </c>
      <c r="J1355" s="151" t="s">
        <v>7173</v>
      </c>
      <c r="K1355" s="151">
        <f t="shared" si="51"/>
        <v>650000000000285</v>
      </c>
      <c r="L1355" s="151" t="s">
        <v>9021</v>
      </c>
    </row>
    <row r="1356" spans="8:12" x14ac:dyDescent="0.25">
      <c r="H1356" s="151" t="s">
        <v>4056</v>
      </c>
      <c r="I1356" s="151" t="s">
        <v>6962</v>
      </c>
      <c r="J1356" s="151" t="s">
        <v>6962</v>
      </c>
      <c r="K1356" s="151">
        <f t="shared" si="51"/>
        <v>0</v>
      </c>
      <c r="L1356" s="151" t="s">
        <v>9021</v>
      </c>
    </row>
    <row r="1357" spans="8:12" x14ac:dyDescent="0.25">
      <c r="H1357" s="151" t="s">
        <v>4056</v>
      </c>
      <c r="I1357" s="151" t="s">
        <v>391</v>
      </c>
      <c r="J1357" s="151" t="s">
        <v>7174</v>
      </c>
      <c r="K1357" s="151">
        <f t="shared" si="51"/>
        <v>650000000000286</v>
      </c>
      <c r="L1357" s="151" t="s">
        <v>9021</v>
      </c>
    </row>
    <row r="1358" spans="8:12" x14ac:dyDescent="0.25">
      <c r="H1358" s="151" t="s">
        <v>4057</v>
      </c>
      <c r="I1358" s="151" t="s">
        <v>6962</v>
      </c>
      <c r="J1358" s="151" t="s">
        <v>6962</v>
      </c>
      <c r="K1358" s="151">
        <f t="shared" si="51"/>
        <v>0</v>
      </c>
      <c r="L1358" s="151" t="s">
        <v>9021</v>
      </c>
    </row>
    <row r="1359" spans="8:12" x14ac:dyDescent="0.25">
      <c r="H1359" s="151" t="s">
        <v>4057</v>
      </c>
      <c r="I1359" s="151" t="s">
        <v>391</v>
      </c>
      <c r="J1359" s="151" t="s">
        <v>7175</v>
      </c>
      <c r="K1359" s="151">
        <f t="shared" si="51"/>
        <v>650000000000287</v>
      </c>
      <c r="L1359" s="151" t="s">
        <v>9021</v>
      </c>
    </row>
    <row r="1360" spans="8:12" x14ac:dyDescent="0.25">
      <c r="H1360" s="151" t="s">
        <v>4058</v>
      </c>
      <c r="I1360" s="151" t="s">
        <v>6962</v>
      </c>
      <c r="J1360" s="151" t="s">
        <v>6962</v>
      </c>
      <c r="K1360" s="151">
        <f t="shared" si="51"/>
        <v>0</v>
      </c>
      <c r="L1360" s="151" t="s">
        <v>9021</v>
      </c>
    </row>
    <row r="1361" spans="8:12" x14ac:dyDescent="0.25">
      <c r="H1361" s="151" t="s">
        <v>4058</v>
      </c>
      <c r="I1361" s="151" t="s">
        <v>391</v>
      </c>
      <c r="J1361" s="151" t="s">
        <v>7176</v>
      </c>
      <c r="K1361" s="151">
        <f t="shared" si="51"/>
        <v>650000000000288</v>
      </c>
      <c r="L1361" s="151" t="s">
        <v>9021</v>
      </c>
    </row>
    <row r="1362" spans="8:12" x14ac:dyDescent="0.25">
      <c r="H1362" s="151" t="s">
        <v>4059</v>
      </c>
      <c r="I1362" s="151" t="s">
        <v>6962</v>
      </c>
      <c r="J1362" s="151" t="s">
        <v>6962</v>
      </c>
      <c r="K1362" s="151">
        <f t="shared" si="51"/>
        <v>0</v>
      </c>
      <c r="L1362" s="151" t="s">
        <v>9021</v>
      </c>
    </row>
    <row r="1363" spans="8:12" x14ac:dyDescent="0.25">
      <c r="H1363" s="151" t="s">
        <v>4059</v>
      </c>
      <c r="I1363" s="151" t="s">
        <v>391</v>
      </c>
      <c r="J1363" s="151" t="s">
        <v>7177</v>
      </c>
      <c r="K1363" s="151">
        <f t="shared" si="51"/>
        <v>650000000000289</v>
      </c>
      <c r="L1363" s="151" t="s">
        <v>9021</v>
      </c>
    </row>
    <row r="1364" spans="8:12" x14ac:dyDescent="0.25">
      <c r="H1364" s="151" t="s">
        <v>4060</v>
      </c>
      <c r="I1364" s="151" t="s">
        <v>6962</v>
      </c>
      <c r="J1364" s="151" t="s">
        <v>6962</v>
      </c>
      <c r="K1364" s="151">
        <f t="shared" si="51"/>
        <v>0</v>
      </c>
      <c r="L1364" s="151" t="s">
        <v>9021</v>
      </c>
    </row>
    <row r="1365" spans="8:12" x14ac:dyDescent="0.25">
      <c r="H1365" s="151" t="s">
        <v>4060</v>
      </c>
      <c r="I1365" s="151" t="s">
        <v>391</v>
      </c>
      <c r="J1365" s="151" t="s">
        <v>7178</v>
      </c>
      <c r="K1365" s="151">
        <f t="shared" si="51"/>
        <v>650000000000290</v>
      </c>
      <c r="L1365" s="151" t="s">
        <v>9021</v>
      </c>
    </row>
    <row r="1366" spans="8:12" x14ac:dyDescent="0.25">
      <c r="H1366" s="151" t="s">
        <v>4061</v>
      </c>
      <c r="I1366" s="151" t="s">
        <v>6962</v>
      </c>
      <c r="J1366" s="151" t="s">
        <v>6962</v>
      </c>
      <c r="K1366" s="151">
        <f t="shared" si="51"/>
        <v>0</v>
      </c>
      <c r="L1366" s="151" t="s">
        <v>9021</v>
      </c>
    </row>
    <row r="1367" spans="8:12" x14ac:dyDescent="0.25">
      <c r="H1367" s="151" t="s">
        <v>4061</v>
      </c>
      <c r="I1367" s="151" t="s">
        <v>391</v>
      </c>
      <c r="J1367" s="151" t="s">
        <v>7179</v>
      </c>
      <c r="K1367" s="151">
        <f t="shared" si="51"/>
        <v>650000000000291</v>
      </c>
      <c r="L1367" s="151" t="s">
        <v>9021</v>
      </c>
    </row>
    <row r="1368" spans="8:12" x14ac:dyDescent="0.25">
      <c r="H1368" s="151" t="s">
        <v>4062</v>
      </c>
      <c r="I1368" s="151" t="s">
        <v>6962</v>
      </c>
      <c r="J1368" s="151" t="s">
        <v>6962</v>
      </c>
      <c r="K1368" s="151">
        <f t="shared" si="51"/>
        <v>0</v>
      </c>
      <c r="L1368" s="151" t="s">
        <v>9021</v>
      </c>
    </row>
    <row r="1369" spans="8:12" x14ac:dyDescent="0.25">
      <c r="H1369" s="151" t="s">
        <v>4062</v>
      </c>
      <c r="I1369" s="151" t="s">
        <v>391</v>
      </c>
      <c r="J1369" s="151" t="s">
        <v>7180</v>
      </c>
      <c r="K1369" s="151">
        <f t="shared" si="51"/>
        <v>650000000001496</v>
      </c>
      <c r="L1369" s="151" t="s">
        <v>9021</v>
      </c>
    </row>
    <row r="1370" spans="8:12" x14ac:dyDescent="0.25">
      <c r="H1370" s="151" t="s">
        <v>4063</v>
      </c>
      <c r="I1370" s="151" t="s">
        <v>6962</v>
      </c>
      <c r="J1370" s="151" t="s">
        <v>6962</v>
      </c>
      <c r="K1370" s="151">
        <f t="shared" si="51"/>
        <v>0</v>
      </c>
      <c r="L1370" s="151" t="s">
        <v>9021</v>
      </c>
    </row>
    <row r="1371" spans="8:12" x14ac:dyDescent="0.25">
      <c r="H1371" s="151" t="s">
        <v>4063</v>
      </c>
      <c r="I1371" s="151" t="s">
        <v>391</v>
      </c>
      <c r="J1371" s="151" t="s">
        <v>7181</v>
      </c>
      <c r="K1371" s="151">
        <f t="shared" si="51"/>
        <v>650000000000292</v>
      </c>
      <c r="L1371" s="151" t="s">
        <v>9021</v>
      </c>
    </row>
    <row r="1372" spans="8:12" x14ac:dyDescent="0.25">
      <c r="H1372" s="151" t="s">
        <v>4064</v>
      </c>
      <c r="I1372" s="151" t="s">
        <v>6962</v>
      </c>
      <c r="J1372" s="151" t="s">
        <v>6962</v>
      </c>
      <c r="K1372" s="151">
        <f t="shared" si="51"/>
        <v>0</v>
      </c>
      <c r="L1372" s="151" t="s">
        <v>9021</v>
      </c>
    </row>
    <row r="1373" spans="8:12" x14ac:dyDescent="0.25">
      <c r="H1373" s="151" t="s">
        <v>4064</v>
      </c>
      <c r="I1373" s="151" t="s">
        <v>391</v>
      </c>
      <c r="J1373" s="151" t="s">
        <v>7182</v>
      </c>
      <c r="K1373" s="151">
        <f t="shared" si="51"/>
        <v>650000000000293</v>
      </c>
      <c r="L1373" s="151" t="s">
        <v>9021</v>
      </c>
    </row>
    <row r="1374" spans="8:12" x14ac:dyDescent="0.25">
      <c r="H1374" s="151" t="s">
        <v>4065</v>
      </c>
      <c r="I1374" s="151" t="s">
        <v>6962</v>
      </c>
      <c r="J1374" s="151" t="s">
        <v>6962</v>
      </c>
      <c r="K1374" s="151">
        <f t="shared" si="51"/>
        <v>0</v>
      </c>
      <c r="L1374" s="151" t="s">
        <v>9021</v>
      </c>
    </row>
    <row r="1375" spans="8:12" x14ac:dyDescent="0.25">
      <c r="H1375" s="151" t="s">
        <v>4065</v>
      </c>
      <c r="I1375" s="151" t="s">
        <v>391</v>
      </c>
      <c r="J1375" s="151" t="s">
        <v>7183</v>
      </c>
      <c r="K1375" s="151">
        <f t="shared" si="51"/>
        <v>650000000000294</v>
      </c>
      <c r="L1375" s="151" t="s">
        <v>9021</v>
      </c>
    </row>
    <row r="1376" spans="8:12" x14ac:dyDescent="0.25">
      <c r="H1376" s="151" t="s">
        <v>4066</v>
      </c>
      <c r="I1376" s="151" t="s">
        <v>6962</v>
      </c>
      <c r="J1376" s="151" t="s">
        <v>6962</v>
      </c>
      <c r="K1376" s="151">
        <f t="shared" si="51"/>
        <v>0</v>
      </c>
      <c r="L1376" s="151" t="s">
        <v>9021</v>
      </c>
    </row>
    <row r="1377" spans="8:12" x14ac:dyDescent="0.25">
      <c r="H1377" s="151" t="s">
        <v>4066</v>
      </c>
      <c r="I1377" s="151" t="s">
        <v>391</v>
      </c>
      <c r="J1377" s="151" t="s">
        <v>7184</v>
      </c>
      <c r="K1377" s="151">
        <f t="shared" si="51"/>
        <v>650000000000295</v>
      </c>
      <c r="L1377" s="151" t="s">
        <v>9021</v>
      </c>
    </row>
    <row r="1378" spans="8:12" x14ac:dyDescent="0.25">
      <c r="H1378" s="151" t="s">
        <v>4067</v>
      </c>
      <c r="I1378" s="151" t="s">
        <v>6962</v>
      </c>
      <c r="J1378" s="151" t="s">
        <v>6962</v>
      </c>
      <c r="K1378" s="151">
        <f t="shared" si="51"/>
        <v>0</v>
      </c>
      <c r="L1378" s="151" t="s">
        <v>9021</v>
      </c>
    </row>
    <row r="1379" spans="8:12" x14ac:dyDescent="0.25">
      <c r="H1379" s="151" t="s">
        <v>4067</v>
      </c>
      <c r="I1379" s="151" t="s">
        <v>391</v>
      </c>
      <c r="J1379" s="151" t="s">
        <v>7185</v>
      </c>
      <c r="K1379" s="151">
        <f t="shared" si="51"/>
        <v>650000000000296</v>
      </c>
      <c r="L1379" s="151" t="s">
        <v>9021</v>
      </c>
    </row>
    <row r="1380" spans="8:12" x14ac:dyDescent="0.25">
      <c r="H1380" s="151" t="s">
        <v>4068</v>
      </c>
      <c r="I1380" s="151" t="s">
        <v>6962</v>
      </c>
      <c r="J1380" s="151" t="s">
        <v>6962</v>
      </c>
      <c r="K1380" s="151">
        <f t="shared" si="51"/>
        <v>0</v>
      </c>
      <c r="L1380" s="151" t="s">
        <v>9021</v>
      </c>
    </row>
    <row r="1381" spans="8:12" x14ac:dyDescent="0.25">
      <c r="H1381" s="151" t="s">
        <v>4068</v>
      </c>
      <c r="I1381" s="151" t="s">
        <v>391</v>
      </c>
      <c r="J1381" s="151" t="s">
        <v>7186</v>
      </c>
      <c r="K1381" s="151">
        <f t="shared" si="51"/>
        <v>650000000000297</v>
      </c>
      <c r="L1381" s="151" t="s">
        <v>9021</v>
      </c>
    </row>
    <row r="1382" spans="8:12" x14ac:dyDescent="0.25">
      <c r="H1382" s="151" t="s">
        <v>4069</v>
      </c>
      <c r="I1382" s="151" t="s">
        <v>6962</v>
      </c>
      <c r="J1382" s="151" t="s">
        <v>6962</v>
      </c>
      <c r="K1382" s="151">
        <f t="shared" si="51"/>
        <v>0</v>
      </c>
      <c r="L1382" s="151" t="s">
        <v>9021</v>
      </c>
    </row>
    <row r="1383" spans="8:12" x14ac:dyDescent="0.25">
      <c r="H1383" s="151" t="s">
        <v>4069</v>
      </c>
      <c r="I1383" s="151" t="s">
        <v>391</v>
      </c>
      <c r="J1383" s="151" t="s">
        <v>7187</v>
      </c>
      <c r="K1383" s="151">
        <f t="shared" si="51"/>
        <v>650000000000298</v>
      </c>
      <c r="L1383" s="151" t="s">
        <v>9021</v>
      </c>
    </row>
    <row r="1384" spans="8:12" x14ac:dyDescent="0.25">
      <c r="H1384" s="151" t="s">
        <v>4070</v>
      </c>
      <c r="I1384" s="151" t="s">
        <v>6962</v>
      </c>
      <c r="J1384" s="151" t="s">
        <v>6962</v>
      </c>
      <c r="K1384" s="151">
        <f t="shared" si="51"/>
        <v>0</v>
      </c>
      <c r="L1384" s="151" t="s">
        <v>9021</v>
      </c>
    </row>
    <row r="1385" spans="8:12" x14ac:dyDescent="0.25">
      <c r="H1385" s="151" t="s">
        <v>4070</v>
      </c>
      <c r="I1385" s="151" t="s">
        <v>391</v>
      </c>
      <c r="J1385" s="151" t="s">
        <v>7188</v>
      </c>
      <c r="K1385" s="151">
        <f t="shared" si="51"/>
        <v>650000000001497</v>
      </c>
      <c r="L1385" s="151" t="s">
        <v>9021</v>
      </c>
    </row>
    <row r="1386" spans="8:12" x14ac:dyDescent="0.25">
      <c r="H1386" s="151" t="s">
        <v>4071</v>
      </c>
      <c r="I1386" s="151" t="s">
        <v>6962</v>
      </c>
      <c r="J1386" s="151" t="s">
        <v>6962</v>
      </c>
      <c r="K1386" s="151">
        <f t="shared" si="51"/>
        <v>0</v>
      </c>
      <c r="L1386" s="151" t="s">
        <v>9021</v>
      </c>
    </row>
    <row r="1387" spans="8:12" x14ac:dyDescent="0.25">
      <c r="H1387" s="151" t="s">
        <v>4071</v>
      </c>
      <c r="I1387" s="151" t="s">
        <v>391</v>
      </c>
      <c r="J1387" s="151" t="s">
        <v>7189</v>
      </c>
      <c r="K1387" s="151">
        <f t="shared" si="51"/>
        <v>650000000001498</v>
      </c>
      <c r="L1387" s="151" t="s">
        <v>9021</v>
      </c>
    </row>
    <row r="1388" spans="8:12" x14ac:dyDescent="0.25">
      <c r="H1388" s="151" t="s">
        <v>4072</v>
      </c>
      <c r="I1388" s="151" t="s">
        <v>6962</v>
      </c>
      <c r="J1388" s="151" t="s">
        <v>6962</v>
      </c>
      <c r="K1388" s="151">
        <f t="shared" si="51"/>
        <v>0</v>
      </c>
      <c r="L1388" s="151" t="s">
        <v>9021</v>
      </c>
    </row>
    <row r="1389" spans="8:12" x14ac:dyDescent="0.25">
      <c r="H1389" s="151" t="s">
        <v>4072</v>
      </c>
      <c r="I1389" s="151" t="s">
        <v>391</v>
      </c>
      <c r="J1389" s="151" t="s">
        <v>7190</v>
      </c>
      <c r="K1389" s="151">
        <f t="shared" si="51"/>
        <v>650000000000299</v>
      </c>
      <c r="L1389" s="151" t="s">
        <v>9021</v>
      </c>
    </row>
    <row r="1390" spans="8:12" x14ac:dyDescent="0.25">
      <c r="H1390" s="151" t="s">
        <v>4073</v>
      </c>
      <c r="I1390" s="151" t="s">
        <v>6962</v>
      </c>
      <c r="J1390" s="151" t="s">
        <v>6962</v>
      </c>
      <c r="K1390" s="151">
        <f t="shared" si="51"/>
        <v>0</v>
      </c>
      <c r="L1390" s="151" t="s">
        <v>9021</v>
      </c>
    </row>
    <row r="1391" spans="8:12" x14ac:dyDescent="0.25">
      <c r="H1391" s="151" t="s">
        <v>4073</v>
      </c>
      <c r="I1391" s="151" t="s">
        <v>391</v>
      </c>
      <c r="J1391" s="151" t="s">
        <v>7191</v>
      </c>
      <c r="K1391" s="151">
        <f t="shared" si="51"/>
        <v>650000000000300</v>
      </c>
      <c r="L1391" s="151" t="s">
        <v>9021</v>
      </c>
    </row>
    <row r="1392" spans="8:12" x14ac:dyDescent="0.25">
      <c r="H1392" s="151" t="s">
        <v>4074</v>
      </c>
      <c r="I1392" s="151" t="s">
        <v>6962</v>
      </c>
      <c r="J1392" s="151" t="s">
        <v>6962</v>
      </c>
      <c r="K1392" s="151">
        <f t="shared" si="51"/>
        <v>0</v>
      </c>
      <c r="L1392" s="151" t="s">
        <v>9021</v>
      </c>
    </row>
    <row r="1393" spans="8:12" x14ac:dyDescent="0.25">
      <c r="H1393" s="151" t="s">
        <v>4074</v>
      </c>
      <c r="I1393" s="151" t="s">
        <v>391</v>
      </c>
      <c r="J1393" s="151" t="s">
        <v>7192</v>
      </c>
      <c r="K1393" s="151">
        <f t="shared" si="51"/>
        <v>650000000000301</v>
      </c>
      <c r="L1393" s="151" t="s">
        <v>9021</v>
      </c>
    </row>
    <row r="1394" spans="8:12" x14ac:dyDescent="0.25">
      <c r="H1394" s="151" t="s">
        <v>4075</v>
      </c>
      <c r="I1394" s="151" t="s">
        <v>6962</v>
      </c>
      <c r="J1394" s="151" t="s">
        <v>6962</v>
      </c>
      <c r="K1394" s="151">
        <f t="shared" si="51"/>
        <v>0</v>
      </c>
      <c r="L1394" s="151" t="s">
        <v>9021</v>
      </c>
    </row>
    <row r="1395" spans="8:12" x14ac:dyDescent="0.25">
      <c r="H1395" s="151" t="s">
        <v>4075</v>
      </c>
      <c r="I1395" s="151" t="s">
        <v>391</v>
      </c>
      <c r="J1395" s="151" t="s">
        <v>7193</v>
      </c>
      <c r="K1395" s="151">
        <f t="shared" si="51"/>
        <v>650000000001499</v>
      </c>
      <c r="L1395" s="151" t="s">
        <v>9021</v>
      </c>
    </row>
    <row r="1396" spans="8:12" x14ac:dyDescent="0.25">
      <c r="H1396" s="151" t="s">
        <v>4076</v>
      </c>
      <c r="I1396" s="151" t="s">
        <v>6962</v>
      </c>
      <c r="J1396" s="151" t="s">
        <v>6962</v>
      </c>
      <c r="K1396" s="151">
        <f t="shared" si="51"/>
        <v>0</v>
      </c>
      <c r="L1396" s="151" t="s">
        <v>9021</v>
      </c>
    </row>
    <row r="1397" spans="8:12" x14ac:dyDescent="0.25">
      <c r="H1397" s="151" t="s">
        <v>4076</v>
      </c>
      <c r="I1397" s="151" t="s">
        <v>391</v>
      </c>
      <c r="J1397" s="151" t="s">
        <v>7194</v>
      </c>
      <c r="K1397" s="151">
        <f t="shared" si="51"/>
        <v>650000000000302</v>
      </c>
      <c r="L1397" s="151" t="s">
        <v>9021</v>
      </c>
    </row>
    <row r="1398" spans="8:12" x14ac:dyDescent="0.25">
      <c r="H1398" s="151" t="s">
        <v>4077</v>
      </c>
      <c r="I1398" s="151" t="s">
        <v>6962</v>
      </c>
      <c r="J1398" s="151" t="s">
        <v>6962</v>
      </c>
      <c r="K1398" s="151">
        <f t="shared" si="51"/>
        <v>0</v>
      </c>
      <c r="L1398" s="151" t="s">
        <v>9021</v>
      </c>
    </row>
    <row r="1399" spans="8:12" x14ac:dyDescent="0.25">
      <c r="H1399" s="151" t="s">
        <v>4077</v>
      </c>
      <c r="I1399" s="151" t="s">
        <v>391</v>
      </c>
      <c r="J1399" s="151" t="s">
        <v>7195</v>
      </c>
      <c r="K1399" s="151">
        <f t="shared" si="51"/>
        <v>650000000000303</v>
      </c>
      <c r="L1399" s="151" t="s">
        <v>9021</v>
      </c>
    </row>
    <row r="1400" spans="8:12" x14ac:dyDescent="0.25">
      <c r="H1400" s="151" t="s">
        <v>4078</v>
      </c>
      <c r="I1400" s="151" t="s">
        <v>6962</v>
      </c>
      <c r="J1400" s="151" t="s">
        <v>6962</v>
      </c>
      <c r="K1400" s="151">
        <f t="shared" si="51"/>
        <v>0</v>
      </c>
      <c r="L1400" s="151" t="s">
        <v>9021</v>
      </c>
    </row>
    <row r="1401" spans="8:12" x14ac:dyDescent="0.25">
      <c r="H1401" s="151" t="s">
        <v>4078</v>
      </c>
      <c r="I1401" s="151" t="s">
        <v>391</v>
      </c>
      <c r="J1401" s="151" t="s">
        <v>7196</v>
      </c>
      <c r="K1401" s="151">
        <f t="shared" si="51"/>
        <v>650000000000304</v>
      </c>
      <c r="L1401" s="151" t="s">
        <v>9021</v>
      </c>
    </row>
    <row r="1402" spans="8:12" x14ac:dyDescent="0.25">
      <c r="H1402" s="151" t="s">
        <v>4079</v>
      </c>
      <c r="I1402" s="151" t="s">
        <v>6962</v>
      </c>
      <c r="J1402" s="151" t="s">
        <v>6962</v>
      </c>
      <c r="K1402" s="151">
        <f t="shared" si="51"/>
        <v>0</v>
      </c>
      <c r="L1402" s="151" t="s">
        <v>9021</v>
      </c>
    </row>
    <row r="1403" spans="8:12" x14ac:dyDescent="0.25">
      <c r="H1403" s="151" t="s">
        <v>4079</v>
      </c>
      <c r="I1403" s="151" t="s">
        <v>391</v>
      </c>
      <c r="J1403" s="151" t="s">
        <v>7197</v>
      </c>
      <c r="K1403" s="151">
        <f t="shared" si="51"/>
        <v>650000000000305</v>
      </c>
      <c r="L1403" s="151" t="s">
        <v>9021</v>
      </c>
    </row>
    <row r="1404" spans="8:12" x14ac:dyDescent="0.25">
      <c r="H1404" s="151" t="s">
        <v>4080</v>
      </c>
      <c r="I1404" s="151" t="s">
        <v>6962</v>
      </c>
      <c r="J1404" s="151" t="s">
        <v>6962</v>
      </c>
      <c r="K1404" s="151">
        <f t="shared" si="51"/>
        <v>0</v>
      </c>
      <c r="L1404" s="151" t="s">
        <v>9021</v>
      </c>
    </row>
    <row r="1405" spans="8:12" x14ac:dyDescent="0.25">
      <c r="H1405" s="151" t="s">
        <v>4080</v>
      </c>
      <c r="I1405" s="151" t="s">
        <v>391</v>
      </c>
      <c r="J1405" s="151" t="s">
        <v>7198</v>
      </c>
      <c r="K1405" s="151">
        <f t="shared" si="51"/>
        <v>650000000001500</v>
      </c>
      <c r="L1405" s="151" t="s">
        <v>9021</v>
      </c>
    </row>
    <row r="1406" spans="8:12" x14ac:dyDescent="0.25">
      <c r="H1406" s="151" t="s">
        <v>4081</v>
      </c>
      <c r="I1406" s="151" t="s">
        <v>6962</v>
      </c>
      <c r="J1406" s="151" t="s">
        <v>6962</v>
      </c>
      <c r="K1406" s="151">
        <f t="shared" si="51"/>
        <v>0</v>
      </c>
      <c r="L1406" s="151" t="s">
        <v>9021</v>
      </c>
    </row>
    <row r="1407" spans="8:12" x14ac:dyDescent="0.25">
      <c r="H1407" s="151" t="s">
        <v>4081</v>
      </c>
      <c r="I1407" s="151" t="s">
        <v>391</v>
      </c>
      <c r="J1407" s="151" t="s">
        <v>7199</v>
      </c>
      <c r="K1407" s="151">
        <f t="shared" si="51"/>
        <v>650000000001501</v>
      </c>
      <c r="L1407" s="151" t="s">
        <v>9021</v>
      </c>
    </row>
    <row r="1408" spans="8:12" x14ac:dyDescent="0.25">
      <c r="H1408" s="151" t="s">
        <v>4082</v>
      </c>
      <c r="I1408" s="151" t="s">
        <v>6962</v>
      </c>
      <c r="J1408" s="151" t="s">
        <v>6962</v>
      </c>
      <c r="K1408" s="151">
        <f t="shared" si="51"/>
        <v>0</v>
      </c>
      <c r="L1408" s="151" t="s">
        <v>9021</v>
      </c>
    </row>
    <row r="1409" spans="8:12" x14ac:dyDescent="0.25">
      <c r="H1409" s="151" t="s">
        <v>4082</v>
      </c>
      <c r="I1409" s="151" t="s">
        <v>391</v>
      </c>
      <c r="J1409" s="151" t="s">
        <v>7200</v>
      </c>
      <c r="K1409" s="151">
        <f t="shared" si="51"/>
        <v>650000000000306</v>
      </c>
      <c r="L1409" s="151" t="s">
        <v>9021</v>
      </c>
    </row>
    <row r="1410" spans="8:12" x14ac:dyDescent="0.25">
      <c r="H1410" s="151" t="s">
        <v>4083</v>
      </c>
      <c r="I1410" s="151" t="s">
        <v>6962</v>
      </c>
      <c r="J1410" s="151" t="s">
        <v>6962</v>
      </c>
      <c r="K1410" s="151">
        <f t="shared" si="51"/>
        <v>0</v>
      </c>
      <c r="L1410" s="151" t="s">
        <v>9021</v>
      </c>
    </row>
    <row r="1411" spans="8:12" x14ac:dyDescent="0.25">
      <c r="H1411" s="151" t="s">
        <v>4083</v>
      </c>
      <c r="I1411" s="151" t="s">
        <v>391</v>
      </c>
      <c r="J1411" s="151" t="s">
        <v>7201</v>
      </c>
      <c r="K1411" s="151">
        <f t="shared" ref="K1411:K1474" si="52">+IFERROR(J1411*1,0)</f>
        <v>650000000001502</v>
      </c>
      <c r="L1411" s="151" t="s">
        <v>9021</v>
      </c>
    </row>
    <row r="1412" spans="8:12" x14ac:dyDescent="0.25">
      <c r="H1412" s="151" t="s">
        <v>4084</v>
      </c>
      <c r="I1412" s="151" t="s">
        <v>6962</v>
      </c>
      <c r="J1412" s="151" t="s">
        <v>6962</v>
      </c>
      <c r="K1412" s="151">
        <f t="shared" si="52"/>
        <v>0</v>
      </c>
      <c r="L1412" s="151" t="s">
        <v>9021</v>
      </c>
    </row>
    <row r="1413" spans="8:12" x14ac:dyDescent="0.25">
      <c r="H1413" s="151" t="s">
        <v>4084</v>
      </c>
      <c r="I1413" s="151" t="s">
        <v>391</v>
      </c>
      <c r="J1413" s="151" t="s">
        <v>7202</v>
      </c>
      <c r="K1413" s="151">
        <f t="shared" si="52"/>
        <v>650000000000307</v>
      </c>
      <c r="L1413" s="151" t="s">
        <v>9021</v>
      </c>
    </row>
    <row r="1414" spans="8:12" x14ac:dyDescent="0.25">
      <c r="H1414" s="151" t="s">
        <v>4085</v>
      </c>
      <c r="I1414" s="151" t="s">
        <v>6962</v>
      </c>
      <c r="J1414" s="151" t="s">
        <v>6962</v>
      </c>
      <c r="K1414" s="151">
        <f t="shared" si="52"/>
        <v>0</v>
      </c>
      <c r="L1414" s="151" t="s">
        <v>9021</v>
      </c>
    </row>
    <row r="1415" spans="8:12" x14ac:dyDescent="0.25">
      <c r="H1415" s="151" t="s">
        <v>4085</v>
      </c>
      <c r="I1415" s="151" t="s">
        <v>391</v>
      </c>
      <c r="J1415" s="151" t="s">
        <v>7203</v>
      </c>
      <c r="K1415" s="151">
        <f t="shared" si="52"/>
        <v>650000000001503</v>
      </c>
      <c r="L1415" s="151" t="s">
        <v>9021</v>
      </c>
    </row>
    <row r="1416" spans="8:12" x14ac:dyDescent="0.25">
      <c r="H1416" s="151" t="s">
        <v>4086</v>
      </c>
      <c r="I1416" s="151" t="s">
        <v>6962</v>
      </c>
      <c r="J1416" s="151" t="s">
        <v>6962</v>
      </c>
      <c r="K1416" s="151">
        <f t="shared" si="52"/>
        <v>0</v>
      </c>
      <c r="L1416" s="151" t="s">
        <v>9021</v>
      </c>
    </row>
    <row r="1417" spans="8:12" x14ac:dyDescent="0.25">
      <c r="H1417" s="151" t="s">
        <v>4086</v>
      </c>
      <c r="I1417" s="151" t="s">
        <v>391</v>
      </c>
      <c r="J1417" s="151" t="s">
        <v>7204</v>
      </c>
      <c r="K1417" s="151">
        <f t="shared" si="52"/>
        <v>650000000001504</v>
      </c>
      <c r="L1417" s="151" t="s">
        <v>9021</v>
      </c>
    </row>
    <row r="1418" spans="8:12" x14ac:dyDescent="0.25">
      <c r="H1418" s="151" t="s">
        <v>4087</v>
      </c>
      <c r="I1418" s="151" t="s">
        <v>6962</v>
      </c>
      <c r="J1418" s="151" t="s">
        <v>6962</v>
      </c>
      <c r="K1418" s="151">
        <f t="shared" si="52"/>
        <v>0</v>
      </c>
      <c r="L1418" s="151" t="s">
        <v>9021</v>
      </c>
    </row>
    <row r="1419" spans="8:12" x14ac:dyDescent="0.25">
      <c r="H1419" s="151" t="s">
        <v>4087</v>
      </c>
      <c r="I1419" s="151" t="s">
        <v>391</v>
      </c>
      <c r="J1419" s="151" t="s">
        <v>7205</v>
      </c>
      <c r="K1419" s="151">
        <f t="shared" si="52"/>
        <v>650000000001505</v>
      </c>
      <c r="L1419" s="151" t="s">
        <v>9021</v>
      </c>
    </row>
    <row r="1420" spans="8:12" x14ac:dyDescent="0.25">
      <c r="H1420" s="151" t="s">
        <v>4088</v>
      </c>
      <c r="I1420" s="151" t="s">
        <v>6962</v>
      </c>
      <c r="J1420" s="151" t="s">
        <v>6962</v>
      </c>
      <c r="K1420" s="151">
        <f t="shared" si="52"/>
        <v>0</v>
      </c>
      <c r="L1420" s="151" t="s">
        <v>9021</v>
      </c>
    </row>
    <row r="1421" spans="8:12" x14ac:dyDescent="0.25">
      <c r="H1421" s="151" t="s">
        <v>4088</v>
      </c>
      <c r="I1421" s="151" t="s">
        <v>391</v>
      </c>
      <c r="J1421" s="151" t="s">
        <v>7206</v>
      </c>
      <c r="K1421" s="151">
        <f t="shared" si="52"/>
        <v>650000000000308</v>
      </c>
      <c r="L1421" s="151" t="s">
        <v>9021</v>
      </c>
    </row>
    <row r="1422" spans="8:12" x14ac:dyDescent="0.25">
      <c r="H1422" s="151" t="s">
        <v>4089</v>
      </c>
      <c r="I1422" s="151" t="s">
        <v>6962</v>
      </c>
      <c r="J1422" s="151" t="s">
        <v>6962</v>
      </c>
      <c r="K1422" s="151">
        <f t="shared" si="52"/>
        <v>0</v>
      </c>
      <c r="L1422" s="151" t="s">
        <v>9021</v>
      </c>
    </row>
    <row r="1423" spans="8:12" x14ac:dyDescent="0.25">
      <c r="H1423" s="151" t="s">
        <v>4089</v>
      </c>
      <c r="I1423" s="151" t="s">
        <v>391</v>
      </c>
      <c r="J1423" s="151" t="s">
        <v>7207</v>
      </c>
      <c r="K1423" s="151">
        <f t="shared" si="52"/>
        <v>650000000001506</v>
      </c>
      <c r="L1423" s="151" t="s">
        <v>9021</v>
      </c>
    </row>
    <row r="1424" spans="8:12" x14ac:dyDescent="0.25">
      <c r="H1424" s="151" t="s">
        <v>4090</v>
      </c>
      <c r="I1424" s="151" t="s">
        <v>6962</v>
      </c>
      <c r="J1424" s="151" t="s">
        <v>6962</v>
      </c>
      <c r="K1424" s="151">
        <f t="shared" si="52"/>
        <v>0</v>
      </c>
      <c r="L1424" s="151" t="s">
        <v>9021</v>
      </c>
    </row>
    <row r="1425" spans="8:12" x14ac:dyDescent="0.25">
      <c r="H1425" s="151" t="s">
        <v>4090</v>
      </c>
      <c r="I1425" s="151" t="s">
        <v>391</v>
      </c>
      <c r="J1425" s="151" t="s">
        <v>7208</v>
      </c>
      <c r="K1425" s="151">
        <f t="shared" si="52"/>
        <v>650000000001507</v>
      </c>
      <c r="L1425" s="151" t="s">
        <v>9021</v>
      </c>
    </row>
    <row r="1426" spans="8:12" x14ac:dyDescent="0.25">
      <c r="H1426" s="151" t="s">
        <v>4091</v>
      </c>
      <c r="I1426" s="151" t="s">
        <v>6962</v>
      </c>
      <c r="J1426" s="151" t="s">
        <v>6962</v>
      </c>
      <c r="K1426" s="151">
        <f t="shared" si="52"/>
        <v>0</v>
      </c>
      <c r="L1426" s="151" t="s">
        <v>9021</v>
      </c>
    </row>
    <row r="1427" spans="8:12" x14ac:dyDescent="0.25">
      <c r="H1427" s="151" t="s">
        <v>4091</v>
      </c>
      <c r="I1427" s="151" t="s">
        <v>391</v>
      </c>
      <c r="J1427" s="151" t="s">
        <v>7209</v>
      </c>
      <c r="K1427" s="151">
        <f t="shared" si="52"/>
        <v>650000000001508</v>
      </c>
      <c r="L1427" s="151" t="s">
        <v>9021</v>
      </c>
    </row>
    <row r="1428" spans="8:12" x14ac:dyDescent="0.25">
      <c r="H1428" s="151" t="s">
        <v>4092</v>
      </c>
      <c r="I1428" s="151" t="s">
        <v>6962</v>
      </c>
      <c r="J1428" s="151" t="s">
        <v>6962</v>
      </c>
      <c r="K1428" s="151">
        <f t="shared" si="52"/>
        <v>0</v>
      </c>
      <c r="L1428" s="151" t="s">
        <v>9021</v>
      </c>
    </row>
    <row r="1429" spans="8:12" x14ac:dyDescent="0.25">
      <c r="H1429" s="151" t="s">
        <v>4092</v>
      </c>
      <c r="I1429" s="151" t="s">
        <v>391</v>
      </c>
      <c r="J1429" s="151" t="s">
        <v>7210</v>
      </c>
      <c r="K1429" s="151">
        <f t="shared" si="52"/>
        <v>650000000001509</v>
      </c>
      <c r="L1429" s="151" t="s">
        <v>9021</v>
      </c>
    </row>
    <row r="1430" spans="8:12" x14ac:dyDescent="0.25">
      <c r="H1430" s="151" t="s">
        <v>4093</v>
      </c>
      <c r="I1430" s="151" t="s">
        <v>6962</v>
      </c>
      <c r="J1430" s="151" t="s">
        <v>6962</v>
      </c>
      <c r="K1430" s="151">
        <f t="shared" si="52"/>
        <v>0</v>
      </c>
      <c r="L1430" s="151" t="s">
        <v>9021</v>
      </c>
    </row>
    <row r="1431" spans="8:12" x14ac:dyDescent="0.25">
      <c r="H1431" s="151" t="s">
        <v>4093</v>
      </c>
      <c r="I1431" s="151" t="s">
        <v>391</v>
      </c>
      <c r="J1431" s="151" t="s">
        <v>7211</v>
      </c>
      <c r="K1431" s="151">
        <f t="shared" si="52"/>
        <v>650000000000309</v>
      </c>
      <c r="L1431" s="151" t="s">
        <v>9021</v>
      </c>
    </row>
    <row r="1432" spans="8:12" x14ac:dyDescent="0.25">
      <c r="H1432" s="151" t="s">
        <v>4094</v>
      </c>
      <c r="I1432" s="151" t="s">
        <v>6962</v>
      </c>
      <c r="J1432" s="151" t="s">
        <v>6962</v>
      </c>
      <c r="K1432" s="151">
        <f t="shared" si="52"/>
        <v>0</v>
      </c>
      <c r="L1432" s="151" t="s">
        <v>9021</v>
      </c>
    </row>
    <row r="1433" spans="8:12" x14ac:dyDescent="0.25">
      <c r="H1433" s="151" t="s">
        <v>4094</v>
      </c>
      <c r="I1433" s="151" t="s">
        <v>391</v>
      </c>
      <c r="J1433" s="151" t="s">
        <v>7212</v>
      </c>
      <c r="K1433" s="151">
        <f t="shared" si="52"/>
        <v>650000000001510</v>
      </c>
      <c r="L1433" s="151" t="s">
        <v>9021</v>
      </c>
    </row>
    <row r="1434" spans="8:12" x14ac:dyDescent="0.25">
      <c r="H1434" s="151" t="s">
        <v>4095</v>
      </c>
      <c r="I1434" s="151" t="s">
        <v>6962</v>
      </c>
      <c r="J1434" s="151" t="s">
        <v>6962</v>
      </c>
      <c r="K1434" s="151">
        <f t="shared" si="52"/>
        <v>0</v>
      </c>
      <c r="L1434" s="151" t="s">
        <v>9021</v>
      </c>
    </row>
    <row r="1435" spans="8:12" x14ac:dyDescent="0.25">
      <c r="H1435" s="151" t="s">
        <v>4095</v>
      </c>
      <c r="I1435" s="151" t="s">
        <v>391</v>
      </c>
      <c r="J1435" s="151" t="s">
        <v>7213</v>
      </c>
      <c r="K1435" s="151">
        <f t="shared" si="52"/>
        <v>650000000000310</v>
      </c>
      <c r="L1435" s="151" t="s">
        <v>9021</v>
      </c>
    </row>
    <row r="1436" spans="8:12" x14ac:dyDescent="0.25">
      <c r="H1436" s="151" t="s">
        <v>4096</v>
      </c>
      <c r="I1436" s="151" t="s">
        <v>6962</v>
      </c>
      <c r="J1436" s="151" t="s">
        <v>6962</v>
      </c>
      <c r="K1436" s="151">
        <f t="shared" si="52"/>
        <v>0</v>
      </c>
      <c r="L1436" s="151" t="s">
        <v>9021</v>
      </c>
    </row>
    <row r="1437" spans="8:12" x14ac:dyDescent="0.25">
      <c r="H1437" s="151" t="s">
        <v>4096</v>
      </c>
      <c r="I1437" s="151" t="s">
        <v>391</v>
      </c>
      <c r="J1437" s="151" t="s">
        <v>7214</v>
      </c>
      <c r="K1437" s="151">
        <f t="shared" si="52"/>
        <v>650000000000311</v>
      </c>
      <c r="L1437" s="151" t="s">
        <v>9021</v>
      </c>
    </row>
    <row r="1438" spans="8:12" x14ac:dyDescent="0.25">
      <c r="H1438" s="151" t="s">
        <v>4097</v>
      </c>
      <c r="I1438" s="151" t="s">
        <v>6962</v>
      </c>
      <c r="J1438" s="151" t="s">
        <v>6962</v>
      </c>
      <c r="K1438" s="151">
        <f t="shared" si="52"/>
        <v>0</v>
      </c>
      <c r="L1438" s="151" t="s">
        <v>9021</v>
      </c>
    </row>
    <row r="1439" spans="8:12" x14ac:dyDescent="0.25">
      <c r="H1439" s="151" t="s">
        <v>4097</v>
      </c>
      <c r="I1439" s="151" t="s">
        <v>391</v>
      </c>
      <c r="J1439" s="151" t="s">
        <v>7215</v>
      </c>
      <c r="K1439" s="151">
        <f t="shared" si="52"/>
        <v>650000000001511</v>
      </c>
      <c r="L1439" s="151" t="s">
        <v>9021</v>
      </c>
    </row>
    <row r="1440" spans="8:12" x14ac:dyDescent="0.25">
      <c r="H1440" s="151" t="s">
        <v>4098</v>
      </c>
      <c r="I1440" s="151" t="s">
        <v>6962</v>
      </c>
      <c r="J1440" s="151" t="s">
        <v>6962</v>
      </c>
      <c r="K1440" s="151">
        <f t="shared" si="52"/>
        <v>0</v>
      </c>
      <c r="L1440" s="151" t="s">
        <v>9021</v>
      </c>
    </row>
    <row r="1441" spans="8:12" x14ac:dyDescent="0.25">
      <c r="H1441" s="151" t="s">
        <v>4098</v>
      </c>
      <c r="I1441" s="151" t="s">
        <v>391</v>
      </c>
      <c r="J1441" s="151" t="s">
        <v>7216</v>
      </c>
      <c r="K1441" s="151">
        <f t="shared" si="52"/>
        <v>650000000001512</v>
      </c>
      <c r="L1441" s="151" t="s">
        <v>9021</v>
      </c>
    </row>
    <row r="1442" spans="8:12" x14ac:dyDescent="0.25">
      <c r="H1442" s="151" t="s">
        <v>4099</v>
      </c>
      <c r="I1442" s="151" t="s">
        <v>6962</v>
      </c>
      <c r="J1442" s="151" t="s">
        <v>6962</v>
      </c>
      <c r="K1442" s="151">
        <f t="shared" si="52"/>
        <v>0</v>
      </c>
      <c r="L1442" s="151" t="s">
        <v>9021</v>
      </c>
    </row>
    <row r="1443" spans="8:12" x14ac:dyDescent="0.25">
      <c r="H1443" s="151" t="s">
        <v>4099</v>
      </c>
      <c r="I1443" s="151" t="s">
        <v>391</v>
      </c>
      <c r="J1443" s="151" t="s">
        <v>7217</v>
      </c>
      <c r="K1443" s="151">
        <f t="shared" si="52"/>
        <v>650000000000312</v>
      </c>
      <c r="L1443" s="151" t="s">
        <v>9021</v>
      </c>
    </row>
    <row r="1444" spans="8:12" x14ac:dyDescent="0.25">
      <c r="H1444" s="151" t="s">
        <v>4100</v>
      </c>
      <c r="I1444" s="151" t="s">
        <v>6962</v>
      </c>
      <c r="J1444" s="151" t="s">
        <v>6962</v>
      </c>
      <c r="K1444" s="151">
        <f t="shared" si="52"/>
        <v>0</v>
      </c>
      <c r="L1444" s="151" t="s">
        <v>9021</v>
      </c>
    </row>
    <row r="1445" spans="8:12" x14ac:dyDescent="0.25">
      <c r="H1445" s="151" t="s">
        <v>4100</v>
      </c>
      <c r="I1445" s="151" t="s">
        <v>391</v>
      </c>
      <c r="J1445" s="151" t="s">
        <v>7218</v>
      </c>
      <c r="K1445" s="151">
        <f t="shared" si="52"/>
        <v>650000000000313</v>
      </c>
      <c r="L1445" s="151" t="s">
        <v>9021</v>
      </c>
    </row>
    <row r="1446" spans="8:12" x14ac:dyDescent="0.25">
      <c r="H1446" s="151" t="s">
        <v>4101</v>
      </c>
      <c r="I1446" s="151" t="s">
        <v>6962</v>
      </c>
      <c r="J1446" s="151" t="s">
        <v>6962</v>
      </c>
      <c r="K1446" s="151">
        <f t="shared" si="52"/>
        <v>0</v>
      </c>
      <c r="L1446" s="151" t="s">
        <v>9021</v>
      </c>
    </row>
    <row r="1447" spans="8:12" x14ac:dyDescent="0.25">
      <c r="H1447" s="151" t="s">
        <v>4101</v>
      </c>
      <c r="I1447" s="151" t="s">
        <v>391</v>
      </c>
      <c r="J1447" s="151" t="s">
        <v>7219</v>
      </c>
      <c r="K1447" s="151">
        <f t="shared" si="52"/>
        <v>650000000001513</v>
      </c>
      <c r="L1447" s="151" t="s">
        <v>9021</v>
      </c>
    </row>
    <row r="1448" spans="8:12" x14ac:dyDescent="0.25">
      <c r="H1448" s="151" t="s">
        <v>4102</v>
      </c>
      <c r="I1448" s="151" t="s">
        <v>6962</v>
      </c>
      <c r="J1448" s="151" t="s">
        <v>6962</v>
      </c>
      <c r="K1448" s="151">
        <f t="shared" si="52"/>
        <v>0</v>
      </c>
      <c r="L1448" s="151" t="s">
        <v>9021</v>
      </c>
    </row>
    <row r="1449" spans="8:12" x14ac:dyDescent="0.25">
      <c r="H1449" s="151" t="s">
        <v>4102</v>
      </c>
      <c r="I1449" s="151" t="s">
        <v>391</v>
      </c>
      <c r="J1449" s="151" t="s">
        <v>7220</v>
      </c>
      <c r="K1449" s="151">
        <f t="shared" si="52"/>
        <v>650000000001514</v>
      </c>
      <c r="L1449" s="151" t="s">
        <v>9021</v>
      </c>
    </row>
    <row r="1450" spans="8:12" x14ac:dyDescent="0.25">
      <c r="H1450" s="151" t="s">
        <v>6835</v>
      </c>
      <c r="I1450" s="151" t="s">
        <v>6962</v>
      </c>
      <c r="J1450" s="151" t="s">
        <v>6962</v>
      </c>
      <c r="K1450" s="151">
        <f t="shared" si="52"/>
        <v>0</v>
      </c>
      <c r="L1450" s="151" t="s">
        <v>9021</v>
      </c>
    </row>
    <row r="1451" spans="8:12" x14ac:dyDescent="0.25">
      <c r="H1451" s="151" t="s">
        <v>4103</v>
      </c>
      <c r="I1451" s="151" t="s">
        <v>6962</v>
      </c>
      <c r="J1451" s="151" t="s">
        <v>6962</v>
      </c>
      <c r="K1451" s="151">
        <f t="shared" si="52"/>
        <v>0</v>
      </c>
      <c r="L1451" s="151" t="s">
        <v>9021</v>
      </c>
    </row>
    <row r="1452" spans="8:12" x14ac:dyDescent="0.25">
      <c r="H1452" s="151" t="s">
        <v>4103</v>
      </c>
      <c r="I1452" s="151" t="s">
        <v>391</v>
      </c>
      <c r="J1452" s="151" t="s">
        <v>7221</v>
      </c>
      <c r="K1452" s="151">
        <f t="shared" si="52"/>
        <v>650000000000314</v>
      </c>
      <c r="L1452" s="151" t="s">
        <v>9021</v>
      </c>
    </row>
    <row r="1453" spans="8:12" x14ac:dyDescent="0.25">
      <c r="H1453" s="151" t="s">
        <v>4104</v>
      </c>
      <c r="I1453" s="151" t="s">
        <v>6962</v>
      </c>
      <c r="J1453" s="151" t="s">
        <v>6962</v>
      </c>
      <c r="K1453" s="151">
        <f t="shared" si="52"/>
        <v>0</v>
      </c>
      <c r="L1453" s="151" t="s">
        <v>9021</v>
      </c>
    </row>
    <row r="1454" spans="8:12" x14ac:dyDescent="0.25">
      <c r="H1454" s="151" t="s">
        <v>4104</v>
      </c>
      <c r="I1454" s="151" t="s">
        <v>391</v>
      </c>
      <c r="J1454" s="151" t="s">
        <v>7222</v>
      </c>
      <c r="K1454" s="151">
        <f t="shared" si="52"/>
        <v>650000000000315</v>
      </c>
      <c r="L1454" s="151" t="s">
        <v>9021</v>
      </c>
    </row>
    <row r="1455" spans="8:12" x14ac:dyDescent="0.25">
      <c r="H1455" s="151" t="s">
        <v>4105</v>
      </c>
      <c r="I1455" s="151" t="s">
        <v>6962</v>
      </c>
      <c r="J1455" s="151" t="s">
        <v>6962</v>
      </c>
      <c r="K1455" s="151">
        <f t="shared" si="52"/>
        <v>0</v>
      </c>
      <c r="L1455" s="151" t="s">
        <v>9021</v>
      </c>
    </row>
    <row r="1456" spans="8:12" x14ac:dyDescent="0.25">
      <c r="H1456" s="151" t="s">
        <v>4105</v>
      </c>
      <c r="I1456" s="151" t="s">
        <v>391</v>
      </c>
      <c r="J1456" s="151" t="s">
        <v>7223</v>
      </c>
      <c r="K1456" s="151">
        <f t="shared" si="52"/>
        <v>650000000000316</v>
      </c>
      <c r="L1456" s="151" t="s">
        <v>9021</v>
      </c>
    </row>
    <row r="1457" spans="8:12" x14ac:dyDescent="0.25">
      <c r="H1457" s="151" t="s">
        <v>4106</v>
      </c>
      <c r="I1457" s="151" t="s">
        <v>6962</v>
      </c>
      <c r="J1457" s="151" t="s">
        <v>6962</v>
      </c>
      <c r="K1457" s="151">
        <f t="shared" si="52"/>
        <v>0</v>
      </c>
      <c r="L1457" s="151" t="s">
        <v>9021</v>
      </c>
    </row>
    <row r="1458" spans="8:12" x14ac:dyDescent="0.25">
      <c r="H1458" s="151" t="s">
        <v>4106</v>
      </c>
      <c r="I1458" s="151" t="s">
        <v>391</v>
      </c>
      <c r="J1458" s="151" t="s">
        <v>7224</v>
      </c>
      <c r="K1458" s="151">
        <f t="shared" si="52"/>
        <v>650000000001515</v>
      </c>
      <c r="L1458" s="151" t="s">
        <v>9021</v>
      </c>
    </row>
    <row r="1459" spans="8:12" x14ac:dyDescent="0.25">
      <c r="H1459" s="151" t="s">
        <v>4107</v>
      </c>
      <c r="I1459" s="151" t="s">
        <v>6962</v>
      </c>
      <c r="J1459" s="151" t="s">
        <v>6962</v>
      </c>
      <c r="K1459" s="151">
        <f t="shared" si="52"/>
        <v>0</v>
      </c>
      <c r="L1459" s="151" t="s">
        <v>9021</v>
      </c>
    </row>
    <row r="1460" spans="8:12" x14ac:dyDescent="0.25">
      <c r="H1460" s="151" t="s">
        <v>4107</v>
      </c>
      <c r="I1460" s="151" t="s">
        <v>391</v>
      </c>
      <c r="J1460" s="151" t="s">
        <v>7225</v>
      </c>
      <c r="K1460" s="151">
        <f t="shared" si="52"/>
        <v>650000000001516</v>
      </c>
      <c r="L1460" s="151" t="s">
        <v>9021</v>
      </c>
    </row>
    <row r="1461" spans="8:12" x14ac:dyDescent="0.25">
      <c r="H1461" s="151" t="s">
        <v>4108</v>
      </c>
      <c r="I1461" s="151" t="s">
        <v>6962</v>
      </c>
      <c r="J1461" s="151" t="s">
        <v>6962</v>
      </c>
      <c r="K1461" s="151">
        <f t="shared" si="52"/>
        <v>0</v>
      </c>
      <c r="L1461" s="151" t="s">
        <v>9021</v>
      </c>
    </row>
    <row r="1462" spans="8:12" x14ac:dyDescent="0.25">
      <c r="H1462" s="151" t="s">
        <v>4108</v>
      </c>
      <c r="I1462" s="151" t="s">
        <v>391</v>
      </c>
      <c r="J1462" s="151" t="s">
        <v>7226</v>
      </c>
      <c r="K1462" s="151">
        <f t="shared" si="52"/>
        <v>650000000001517</v>
      </c>
      <c r="L1462" s="151" t="s">
        <v>9021</v>
      </c>
    </row>
    <row r="1463" spans="8:12" x14ac:dyDescent="0.25">
      <c r="H1463" s="151" t="s">
        <v>4109</v>
      </c>
      <c r="I1463" s="151" t="s">
        <v>6962</v>
      </c>
      <c r="J1463" s="151" t="s">
        <v>6962</v>
      </c>
      <c r="K1463" s="151">
        <f t="shared" si="52"/>
        <v>0</v>
      </c>
      <c r="L1463" s="151" t="s">
        <v>9021</v>
      </c>
    </row>
    <row r="1464" spans="8:12" x14ac:dyDescent="0.25">
      <c r="H1464" s="151" t="s">
        <v>4109</v>
      </c>
      <c r="I1464" s="151" t="s">
        <v>391</v>
      </c>
      <c r="J1464" s="151" t="s">
        <v>7227</v>
      </c>
      <c r="K1464" s="151">
        <f t="shared" si="52"/>
        <v>650000000000317</v>
      </c>
      <c r="L1464" s="151" t="s">
        <v>9021</v>
      </c>
    </row>
    <row r="1465" spans="8:12" x14ac:dyDescent="0.25">
      <c r="H1465" s="151" t="s">
        <v>4110</v>
      </c>
      <c r="I1465" s="151" t="s">
        <v>6962</v>
      </c>
      <c r="J1465" s="151" t="s">
        <v>6962</v>
      </c>
      <c r="K1465" s="151">
        <f t="shared" si="52"/>
        <v>0</v>
      </c>
      <c r="L1465" s="151" t="s">
        <v>9021</v>
      </c>
    </row>
    <row r="1466" spans="8:12" x14ac:dyDescent="0.25">
      <c r="H1466" s="151" t="s">
        <v>4110</v>
      </c>
      <c r="I1466" s="151" t="s">
        <v>391</v>
      </c>
      <c r="J1466" s="151" t="s">
        <v>7228</v>
      </c>
      <c r="K1466" s="151">
        <f t="shared" si="52"/>
        <v>650000000000318</v>
      </c>
      <c r="L1466" s="151" t="s">
        <v>9021</v>
      </c>
    </row>
    <row r="1467" spans="8:12" x14ac:dyDescent="0.25">
      <c r="H1467" s="151" t="s">
        <v>4111</v>
      </c>
      <c r="I1467" s="151" t="s">
        <v>6962</v>
      </c>
      <c r="J1467" s="151" t="s">
        <v>6962</v>
      </c>
      <c r="K1467" s="151">
        <f t="shared" si="52"/>
        <v>0</v>
      </c>
      <c r="L1467" s="151" t="s">
        <v>9021</v>
      </c>
    </row>
    <row r="1468" spans="8:12" x14ac:dyDescent="0.25">
      <c r="H1468" s="151" t="s">
        <v>4111</v>
      </c>
      <c r="I1468" s="151" t="s">
        <v>391</v>
      </c>
      <c r="J1468" s="151" t="s">
        <v>7229</v>
      </c>
      <c r="K1468" s="151">
        <f t="shared" si="52"/>
        <v>650000000000319</v>
      </c>
      <c r="L1468" s="151" t="s">
        <v>9021</v>
      </c>
    </row>
    <row r="1469" spans="8:12" x14ac:dyDescent="0.25">
      <c r="H1469" s="151" t="s">
        <v>4112</v>
      </c>
      <c r="I1469" s="151" t="s">
        <v>6962</v>
      </c>
      <c r="J1469" s="151" t="s">
        <v>6962</v>
      </c>
      <c r="K1469" s="151">
        <f t="shared" si="52"/>
        <v>0</v>
      </c>
      <c r="L1469" s="151" t="s">
        <v>9021</v>
      </c>
    </row>
    <row r="1470" spans="8:12" x14ac:dyDescent="0.25">
      <c r="H1470" s="151" t="s">
        <v>4112</v>
      </c>
      <c r="I1470" s="151" t="s">
        <v>391</v>
      </c>
      <c r="J1470" s="151" t="s">
        <v>7230</v>
      </c>
      <c r="K1470" s="151">
        <f t="shared" si="52"/>
        <v>650000000001518</v>
      </c>
      <c r="L1470" s="151" t="s">
        <v>9021</v>
      </c>
    </row>
    <row r="1471" spans="8:12" x14ac:dyDescent="0.25">
      <c r="H1471" s="151" t="s">
        <v>4113</v>
      </c>
      <c r="I1471" s="151" t="s">
        <v>6962</v>
      </c>
      <c r="J1471" s="151" t="s">
        <v>6962</v>
      </c>
      <c r="K1471" s="151">
        <f t="shared" si="52"/>
        <v>0</v>
      </c>
      <c r="L1471" s="151" t="s">
        <v>9021</v>
      </c>
    </row>
    <row r="1472" spans="8:12" x14ac:dyDescent="0.25">
      <c r="H1472" s="151" t="s">
        <v>4113</v>
      </c>
      <c r="I1472" s="151" t="s">
        <v>391</v>
      </c>
      <c r="J1472" s="151" t="s">
        <v>7231</v>
      </c>
      <c r="K1472" s="151">
        <f t="shared" si="52"/>
        <v>650000000000320</v>
      </c>
      <c r="L1472" s="151" t="s">
        <v>9021</v>
      </c>
    </row>
    <row r="1473" spans="8:12" x14ac:dyDescent="0.25">
      <c r="H1473" s="151" t="s">
        <v>4114</v>
      </c>
      <c r="I1473" s="151" t="s">
        <v>6962</v>
      </c>
      <c r="J1473" s="151" t="s">
        <v>6962</v>
      </c>
      <c r="K1473" s="151">
        <f t="shared" si="52"/>
        <v>0</v>
      </c>
      <c r="L1473" s="151" t="s">
        <v>9021</v>
      </c>
    </row>
    <row r="1474" spans="8:12" x14ac:dyDescent="0.25">
      <c r="H1474" s="151" t="s">
        <v>4114</v>
      </c>
      <c r="I1474" s="151" t="s">
        <v>391</v>
      </c>
      <c r="J1474" s="151" t="s">
        <v>7232</v>
      </c>
      <c r="K1474" s="151">
        <f t="shared" si="52"/>
        <v>650000000000321</v>
      </c>
      <c r="L1474" s="151" t="s">
        <v>9021</v>
      </c>
    </row>
    <row r="1475" spans="8:12" x14ac:dyDescent="0.25">
      <c r="H1475" s="151" t="s">
        <v>4115</v>
      </c>
      <c r="I1475" s="151" t="s">
        <v>6962</v>
      </c>
      <c r="J1475" s="151" t="s">
        <v>6962</v>
      </c>
      <c r="K1475" s="151">
        <f t="shared" ref="K1475:K1538" si="53">+IFERROR(J1475*1,0)</f>
        <v>0</v>
      </c>
      <c r="L1475" s="151" t="s">
        <v>9021</v>
      </c>
    </row>
    <row r="1476" spans="8:12" x14ac:dyDescent="0.25">
      <c r="H1476" s="151" t="s">
        <v>4115</v>
      </c>
      <c r="I1476" s="151" t="s">
        <v>391</v>
      </c>
      <c r="J1476" s="151" t="s">
        <v>7233</v>
      </c>
      <c r="K1476" s="151">
        <f t="shared" si="53"/>
        <v>650000000001519</v>
      </c>
      <c r="L1476" s="151" t="s">
        <v>9021</v>
      </c>
    </row>
    <row r="1477" spans="8:12" x14ac:dyDescent="0.25">
      <c r="H1477" s="151" t="s">
        <v>6836</v>
      </c>
      <c r="I1477" s="151" t="s">
        <v>6962</v>
      </c>
      <c r="J1477" s="151" t="s">
        <v>6962</v>
      </c>
      <c r="K1477" s="151">
        <f t="shared" si="53"/>
        <v>0</v>
      </c>
      <c r="L1477" s="151" t="s">
        <v>9021</v>
      </c>
    </row>
    <row r="1478" spans="8:12" x14ac:dyDescent="0.25">
      <c r="H1478" s="151" t="s">
        <v>4116</v>
      </c>
      <c r="I1478" s="151" t="s">
        <v>6962</v>
      </c>
      <c r="J1478" s="151" t="s">
        <v>6962</v>
      </c>
      <c r="K1478" s="151">
        <f t="shared" si="53"/>
        <v>0</v>
      </c>
      <c r="L1478" s="151" t="s">
        <v>9021</v>
      </c>
    </row>
    <row r="1479" spans="8:12" x14ac:dyDescent="0.25">
      <c r="H1479" s="151" t="s">
        <v>4116</v>
      </c>
      <c r="I1479" s="151" t="s">
        <v>391</v>
      </c>
      <c r="J1479" s="151" t="s">
        <v>7234</v>
      </c>
      <c r="K1479" s="151">
        <f t="shared" si="53"/>
        <v>650000000001520</v>
      </c>
      <c r="L1479" s="151" t="s">
        <v>9021</v>
      </c>
    </row>
    <row r="1480" spans="8:12" x14ac:dyDescent="0.25">
      <c r="H1480" s="151" t="s">
        <v>4117</v>
      </c>
      <c r="I1480" s="151" t="s">
        <v>6962</v>
      </c>
      <c r="J1480" s="151" t="s">
        <v>6962</v>
      </c>
      <c r="K1480" s="151">
        <f t="shared" si="53"/>
        <v>0</v>
      </c>
      <c r="L1480" s="151" t="s">
        <v>9021</v>
      </c>
    </row>
    <row r="1481" spans="8:12" x14ac:dyDescent="0.25">
      <c r="H1481" s="151" t="s">
        <v>4117</v>
      </c>
      <c r="I1481" s="151" t="s">
        <v>391</v>
      </c>
      <c r="J1481" s="151" t="s">
        <v>7235</v>
      </c>
      <c r="K1481" s="151">
        <f t="shared" si="53"/>
        <v>650000000001521</v>
      </c>
      <c r="L1481" s="151" t="s">
        <v>9021</v>
      </c>
    </row>
    <row r="1482" spans="8:12" x14ac:dyDescent="0.25">
      <c r="H1482" s="151" t="s">
        <v>4118</v>
      </c>
      <c r="I1482" s="151" t="s">
        <v>6962</v>
      </c>
      <c r="J1482" s="151" t="s">
        <v>6962</v>
      </c>
      <c r="K1482" s="151">
        <f t="shared" si="53"/>
        <v>0</v>
      </c>
      <c r="L1482" s="151" t="s">
        <v>9021</v>
      </c>
    </row>
    <row r="1483" spans="8:12" x14ac:dyDescent="0.25">
      <c r="H1483" s="151" t="s">
        <v>4118</v>
      </c>
      <c r="I1483" s="151" t="s">
        <v>391</v>
      </c>
      <c r="J1483" s="151" t="s">
        <v>7236</v>
      </c>
      <c r="K1483" s="151">
        <f t="shared" si="53"/>
        <v>650000000001522</v>
      </c>
      <c r="L1483" s="151" t="s">
        <v>9021</v>
      </c>
    </row>
    <row r="1484" spans="8:12" x14ac:dyDescent="0.25">
      <c r="H1484" s="151" t="s">
        <v>4119</v>
      </c>
      <c r="I1484" s="151" t="s">
        <v>6962</v>
      </c>
      <c r="J1484" s="151" t="s">
        <v>6962</v>
      </c>
      <c r="K1484" s="151">
        <f t="shared" si="53"/>
        <v>0</v>
      </c>
      <c r="L1484" s="151" t="s">
        <v>9021</v>
      </c>
    </row>
    <row r="1485" spans="8:12" x14ac:dyDescent="0.25">
      <c r="H1485" s="151" t="s">
        <v>4119</v>
      </c>
      <c r="I1485" s="151" t="s">
        <v>391</v>
      </c>
      <c r="J1485" s="151" t="s">
        <v>7237</v>
      </c>
      <c r="K1485" s="151">
        <f t="shared" si="53"/>
        <v>650000000001523</v>
      </c>
      <c r="L1485" s="151" t="s">
        <v>9021</v>
      </c>
    </row>
    <row r="1486" spans="8:12" x14ac:dyDescent="0.25">
      <c r="H1486" s="151" t="s">
        <v>4120</v>
      </c>
      <c r="I1486" s="151" t="s">
        <v>6962</v>
      </c>
      <c r="J1486" s="151" t="s">
        <v>6962</v>
      </c>
      <c r="K1486" s="151">
        <f t="shared" si="53"/>
        <v>0</v>
      </c>
      <c r="L1486" s="151" t="s">
        <v>9021</v>
      </c>
    </row>
    <row r="1487" spans="8:12" x14ac:dyDescent="0.25">
      <c r="H1487" s="151" t="s">
        <v>4120</v>
      </c>
      <c r="I1487" s="151" t="s">
        <v>391</v>
      </c>
      <c r="J1487" s="151" t="s">
        <v>7238</v>
      </c>
      <c r="K1487" s="151">
        <f t="shared" si="53"/>
        <v>650000000000322</v>
      </c>
      <c r="L1487" s="151" t="s">
        <v>9021</v>
      </c>
    </row>
    <row r="1488" spans="8:12" x14ac:dyDescent="0.25">
      <c r="H1488" s="151" t="s">
        <v>4121</v>
      </c>
      <c r="I1488" s="151" t="s">
        <v>6962</v>
      </c>
      <c r="J1488" s="151" t="s">
        <v>6962</v>
      </c>
      <c r="K1488" s="151">
        <f t="shared" si="53"/>
        <v>0</v>
      </c>
      <c r="L1488" s="151" t="s">
        <v>9021</v>
      </c>
    </row>
    <row r="1489" spans="8:12" x14ac:dyDescent="0.25">
      <c r="H1489" s="151" t="s">
        <v>4121</v>
      </c>
      <c r="I1489" s="151" t="s">
        <v>391</v>
      </c>
      <c r="J1489" s="151" t="s">
        <v>7239</v>
      </c>
      <c r="K1489" s="151">
        <f t="shared" si="53"/>
        <v>650000000001524</v>
      </c>
      <c r="L1489" s="151" t="s">
        <v>9021</v>
      </c>
    </row>
    <row r="1490" spans="8:12" x14ac:dyDescent="0.25">
      <c r="H1490" s="151" t="s">
        <v>4122</v>
      </c>
      <c r="I1490" s="151" t="s">
        <v>6962</v>
      </c>
      <c r="J1490" s="151" t="s">
        <v>6962</v>
      </c>
      <c r="K1490" s="151">
        <f t="shared" si="53"/>
        <v>0</v>
      </c>
      <c r="L1490" s="151" t="s">
        <v>9021</v>
      </c>
    </row>
    <row r="1491" spans="8:12" x14ac:dyDescent="0.25">
      <c r="H1491" s="151" t="s">
        <v>4122</v>
      </c>
      <c r="I1491" s="151" t="s">
        <v>391</v>
      </c>
      <c r="J1491" s="151" t="s">
        <v>7240</v>
      </c>
      <c r="K1491" s="151">
        <f t="shared" si="53"/>
        <v>650000000000323</v>
      </c>
      <c r="L1491" s="151" t="s">
        <v>9021</v>
      </c>
    </row>
    <row r="1492" spans="8:12" x14ac:dyDescent="0.25">
      <c r="H1492" s="151" t="s">
        <v>4123</v>
      </c>
      <c r="I1492" s="151" t="s">
        <v>6962</v>
      </c>
      <c r="J1492" s="151" t="s">
        <v>6962</v>
      </c>
      <c r="K1492" s="151">
        <f t="shared" si="53"/>
        <v>0</v>
      </c>
      <c r="L1492" s="151" t="s">
        <v>9021</v>
      </c>
    </row>
    <row r="1493" spans="8:12" x14ac:dyDescent="0.25">
      <c r="H1493" s="151" t="s">
        <v>4123</v>
      </c>
      <c r="I1493" s="151" t="s">
        <v>391</v>
      </c>
      <c r="J1493" s="151" t="s">
        <v>7241</v>
      </c>
      <c r="K1493" s="151">
        <f t="shared" si="53"/>
        <v>650000000000324</v>
      </c>
      <c r="L1493" s="151" t="s">
        <v>9021</v>
      </c>
    </row>
    <row r="1494" spans="8:12" x14ac:dyDescent="0.25">
      <c r="H1494" s="151" t="s">
        <v>4124</v>
      </c>
      <c r="I1494" s="151" t="s">
        <v>6962</v>
      </c>
      <c r="J1494" s="151" t="s">
        <v>6962</v>
      </c>
      <c r="K1494" s="151">
        <f t="shared" si="53"/>
        <v>0</v>
      </c>
      <c r="L1494" s="151" t="s">
        <v>9021</v>
      </c>
    </row>
    <row r="1495" spans="8:12" x14ac:dyDescent="0.25">
      <c r="H1495" s="151" t="s">
        <v>4124</v>
      </c>
      <c r="I1495" s="151" t="s">
        <v>391</v>
      </c>
      <c r="J1495" s="151" t="s">
        <v>7242</v>
      </c>
      <c r="K1495" s="151">
        <f t="shared" si="53"/>
        <v>650000000000325</v>
      </c>
      <c r="L1495" s="151" t="s">
        <v>9021</v>
      </c>
    </row>
    <row r="1496" spans="8:12" x14ac:dyDescent="0.25">
      <c r="H1496" s="151" t="s">
        <v>4125</v>
      </c>
      <c r="I1496" s="151" t="s">
        <v>6962</v>
      </c>
      <c r="J1496" s="151" t="s">
        <v>6962</v>
      </c>
      <c r="K1496" s="151">
        <f t="shared" si="53"/>
        <v>0</v>
      </c>
      <c r="L1496" s="151" t="s">
        <v>9021</v>
      </c>
    </row>
    <row r="1497" spans="8:12" x14ac:dyDescent="0.25">
      <c r="H1497" s="151" t="s">
        <v>4125</v>
      </c>
      <c r="I1497" s="151" t="s">
        <v>391</v>
      </c>
      <c r="J1497" s="151" t="s">
        <v>7243</v>
      </c>
      <c r="K1497" s="151">
        <f t="shared" si="53"/>
        <v>650000000000326</v>
      </c>
      <c r="L1497" s="151" t="s">
        <v>9021</v>
      </c>
    </row>
    <row r="1498" spans="8:12" x14ac:dyDescent="0.25">
      <c r="H1498" s="151" t="s">
        <v>6837</v>
      </c>
      <c r="I1498" s="151" t="s">
        <v>6962</v>
      </c>
      <c r="J1498" s="151" t="s">
        <v>6962</v>
      </c>
      <c r="K1498" s="151">
        <f t="shared" si="53"/>
        <v>0</v>
      </c>
      <c r="L1498" s="151" t="s">
        <v>9021</v>
      </c>
    </row>
    <row r="1499" spans="8:12" x14ac:dyDescent="0.25">
      <c r="H1499" s="151" t="s">
        <v>6838</v>
      </c>
      <c r="I1499" s="151" t="s">
        <v>6962</v>
      </c>
      <c r="J1499" s="151" t="s">
        <v>6962</v>
      </c>
      <c r="K1499" s="151">
        <f t="shared" si="53"/>
        <v>0</v>
      </c>
      <c r="L1499" s="151" t="s">
        <v>9022</v>
      </c>
    </row>
    <row r="1500" spans="8:12" x14ac:dyDescent="0.25">
      <c r="H1500" s="151" t="s">
        <v>4126</v>
      </c>
      <c r="I1500" s="151" t="s">
        <v>6962</v>
      </c>
      <c r="J1500" s="151" t="s">
        <v>6962</v>
      </c>
      <c r="K1500" s="151">
        <f t="shared" si="53"/>
        <v>0</v>
      </c>
      <c r="L1500" s="151" t="s">
        <v>9021</v>
      </c>
    </row>
    <row r="1501" spans="8:12" x14ac:dyDescent="0.25">
      <c r="H1501" s="151" t="s">
        <v>4126</v>
      </c>
      <c r="I1501" s="151" t="s">
        <v>391</v>
      </c>
      <c r="J1501" s="151" t="s">
        <v>7244</v>
      </c>
      <c r="K1501" s="151">
        <f t="shared" si="53"/>
        <v>650000000000327</v>
      </c>
      <c r="L1501" s="151" t="s">
        <v>9021</v>
      </c>
    </row>
    <row r="1502" spans="8:12" x14ac:dyDescent="0.25">
      <c r="H1502" s="151" t="s">
        <v>4127</v>
      </c>
      <c r="I1502" s="151" t="s">
        <v>6962</v>
      </c>
      <c r="J1502" s="151" t="s">
        <v>6962</v>
      </c>
      <c r="K1502" s="151">
        <f t="shared" si="53"/>
        <v>0</v>
      </c>
      <c r="L1502" s="151" t="s">
        <v>9021</v>
      </c>
    </row>
    <row r="1503" spans="8:12" x14ac:dyDescent="0.25">
      <c r="H1503" s="151" t="s">
        <v>4127</v>
      </c>
      <c r="I1503" s="151" t="s">
        <v>391</v>
      </c>
      <c r="J1503" s="151" t="s">
        <v>7245</v>
      </c>
      <c r="K1503" s="151">
        <f t="shared" si="53"/>
        <v>650000000000328</v>
      </c>
      <c r="L1503" s="151" t="s">
        <v>9021</v>
      </c>
    </row>
    <row r="1504" spans="8:12" x14ac:dyDescent="0.25">
      <c r="H1504" s="151" t="s">
        <v>6839</v>
      </c>
      <c r="I1504" s="151" t="s">
        <v>6962</v>
      </c>
      <c r="J1504" s="151" t="s">
        <v>6962</v>
      </c>
      <c r="K1504" s="151">
        <f t="shared" si="53"/>
        <v>0</v>
      </c>
      <c r="L1504" s="151" t="s">
        <v>9022</v>
      </c>
    </row>
    <row r="1505" spans="8:12" x14ac:dyDescent="0.25">
      <c r="H1505" s="151" t="s">
        <v>4128</v>
      </c>
      <c r="I1505" s="151" t="s">
        <v>6962</v>
      </c>
      <c r="J1505" s="151" t="s">
        <v>6962</v>
      </c>
      <c r="K1505" s="151">
        <f t="shared" si="53"/>
        <v>0</v>
      </c>
      <c r="L1505" s="151" t="s">
        <v>9021</v>
      </c>
    </row>
    <row r="1506" spans="8:12" x14ac:dyDescent="0.25">
      <c r="H1506" s="151" t="s">
        <v>4128</v>
      </c>
      <c r="I1506" s="151" t="s">
        <v>391</v>
      </c>
      <c r="J1506" s="151" t="s">
        <v>7246</v>
      </c>
      <c r="K1506" s="151">
        <f t="shared" si="53"/>
        <v>650000000000329</v>
      </c>
      <c r="L1506" s="151" t="s">
        <v>9021</v>
      </c>
    </row>
    <row r="1507" spans="8:12" x14ac:dyDescent="0.25">
      <c r="H1507" s="151" t="s">
        <v>4129</v>
      </c>
      <c r="I1507" s="151" t="s">
        <v>6962</v>
      </c>
      <c r="J1507" s="151" t="s">
        <v>6962</v>
      </c>
      <c r="K1507" s="151">
        <f t="shared" si="53"/>
        <v>0</v>
      </c>
      <c r="L1507" s="151" t="s">
        <v>9021</v>
      </c>
    </row>
    <row r="1508" spans="8:12" x14ac:dyDescent="0.25">
      <c r="H1508" s="151" t="s">
        <v>4129</v>
      </c>
      <c r="I1508" s="151" t="s">
        <v>391</v>
      </c>
      <c r="J1508" s="151" t="s">
        <v>7247</v>
      </c>
      <c r="K1508" s="151">
        <f t="shared" si="53"/>
        <v>650000000001525</v>
      </c>
      <c r="L1508" s="151" t="s">
        <v>9021</v>
      </c>
    </row>
    <row r="1509" spans="8:12" x14ac:dyDescent="0.25">
      <c r="H1509" s="151" t="s">
        <v>4130</v>
      </c>
      <c r="I1509" s="151" t="s">
        <v>6962</v>
      </c>
      <c r="J1509" s="151" t="s">
        <v>6962</v>
      </c>
      <c r="K1509" s="151">
        <f t="shared" si="53"/>
        <v>0</v>
      </c>
      <c r="L1509" s="151" t="s">
        <v>9021</v>
      </c>
    </row>
    <row r="1510" spans="8:12" x14ac:dyDescent="0.25">
      <c r="H1510" s="151" t="s">
        <v>4130</v>
      </c>
      <c r="I1510" s="151" t="s">
        <v>391</v>
      </c>
      <c r="J1510" s="151" t="s">
        <v>7248</v>
      </c>
      <c r="K1510" s="151">
        <f t="shared" si="53"/>
        <v>650000000001526</v>
      </c>
      <c r="L1510" s="151" t="s">
        <v>9021</v>
      </c>
    </row>
    <row r="1511" spans="8:12" x14ac:dyDescent="0.25">
      <c r="H1511" s="151" t="s">
        <v>6840</v>
      </c>
      <c r="I1511" s="151" t="s">
        <v>6962</v>
      </c>
      <c r="J1511" s="151" t="s">
        <v>6962</v>
      </c>
      <c r="K1511" s="151">
        <f t="shared" si="53"/>
        <v>0</v>
      </c>
      <c r="L1511" s="151" t="s">
        <v>9021</v>
      </c>
    </row>
    <row r="1512" spans="8:12" x14ac:dyDescent="0.25">
      <c r="H1512" s="151" t="s">
        <v>4131</v>
      </c>
      <c r="I1512" s="151" t="s">
        <v>6962</v>
      </c>
      <c r="J1512" s="151" t="s">
        <v>6962</v>
      </c>
      <c r="K1512" s="151">
        <f t="shared" si="53"/>
        <v>0</v>
      </c>
      <c r="L1512" s="151" t="s">
        <v>9021</v>
      </c>
    </row>
    <row r="1513" spans="8:12" x14ac:dyDescent="0.25">
      <c r="H1513" s="151" t="s">
        <v>4131</v>
      </c>
      <c r="I1513" s="151" t="s">
        <v>391</v>
      </c>
      <c r="J1513" s="151" t="s">
        <v>7249</v>
      </c>
      <c r="K1513" s="151">
        <f t="shared" si="53"/>
        <v>650000000000330</v>
      </c>
      <c r="L1513" s="151" t="s">
        <v>9021</v>
      </c>
    </row>
    <row r="1514" spans="8:12" x14ac:dyDescent="0.25">
      <c r="H1514" s="151" t="s">
        <v>4132</v>
      </c>
      <c r="I1514" s="151" t="s">
        <v>6962</v>
      </c>
      <c r="J1514" s="151" t="s">
        <v>6962</v>
      </c>
      <c r="K1514" s="151">
        <f t="shared" si="53"/>
        <v>0</v>
      </c>
      <c r="L1514" s="151" t="s">
        <v>9021</v>
      </c>
    </row>
    <row r="1515" spans="8:12" x14ac:dyDescent="0.25">
      <c r="H1515" s="151" t="s">
        <v>4132</v>
      </c>
      <c r="I1515" s="151" t="s">
        <v>391</v>
      </c>
      <c r="J1515" s="151" t="s">
        <v>7250</v>
      </c>
      <c r="K1515" s="151">
        <f t="shared" si="53"/>
        <v>650000000000331</v>
      </c>
      <c r="L1515" s="151" t="s">
        <v>9021</v>
      </c>
    </row>
    <row r="1516" spans="8:12" x14ac:dyDescent="0.25">
      <c r="H1516" s="151" t="s">
        <v>4133</v>
      </c>
      <c r="I1516" s="151" t="s">
        <v>6962</v>
      </c>
      <c r="J1516" s="151" t="s">
        <v>6962</v>
      </c>
      <c r="K1516" s="151">
        <f t="shared" si="53"/>
        <v>0</v>
      </c>
      <c r="L1516" s="151" t="s">
        <v>9021</v>
      </c>
    </row>
    <row r="1517" spans="8:12" x14ac:dyDescent="0.25">
      <c r="H1517" s="151" t="s">
        <v>4133</v>
      </c>
      <c r="I1517" s="151" t="s">
        <v>391</v>
      </c>
      <c r="J1517" s="151" t="s">
        <v>7251</v>
      </c>
      <c r="K1517" s="151">
        <f t="shared" si="53"/>
        <v>650000000001527</v>
      </c>
      <c r="L1517" s="151" t="s">
        <v>9021</v>
      </c>
    </row>
    <row r="1518" spans="8:12" x14ac:dyDescent="0.25">
      <c r="H1518" s="151" t="s">
        <v>4134</v>
      </c>
      <c r="I1518" s="151" t="s">
        <v>6962</v>
      </c>
      <c r="J1518" s="151" t="s">
        <v>6962</v>
      </c>
      <c r="K1518" s="151">
        <f t="shared" si="53"/>
        <v>0</v>
      </c>
      <c r="L1518" s="151" t="s">
        <v>9021</v>
      </c>
    </row>
    <row r="1519" spans="8:12" x14ac:dyDescent="0.25">
      <c r="H1519" s="151" t="s">
        <v>4134</v>
      </c>
      <c r="I1519" s="151" t="s">
        <v>391</v>
      </c>
      <c r="J1519" s="151" t="s">
        <v>7252</v>
      </c>
      <c r="K1519" s="151">
        <f t="shared" si="53"/>
        <v>650000000000332</v>
      </c>
      <c r="L1519" s="151" t="s">
        <v>9021</v>
      </c>
    </row>
    <row r="1520" spans="8:12" x14ac:dyDescent="0.25">
      <c r="H1520" s="151" t="s">
        <v>4135</v>
      </c>
      <c r="I1520" s="151" t="s">
        <v>6962</v>
      </c>
      <c r="J1520" s="151" t="s">
        <v>6962</v>
      </c>
      <c r="K1520" s="151">
        <f t="shared" si="53"/>
        <v>0</v>
      </c>
      <c r="L1520" s="151" t="s">
        <v>9021</v>
      </c>
    </row>
    <row r="1521" spans="8:12" x14ac:dyDescent="0.25">
      <c r="H1521" s="151" t="s">
        <v>4135</v>
      </c>
      <c r="I1521" s="151" t="s">
        <v>391</v>
      </c>
      <c r="J1521" s="151" t="s">
        <v>7253</v>
      </c>
      <c r="K1521" s="151">
        <f t="shared" si="53"/>
        <v>650000000001528</v>
      </c>
      <c r="L1521" s="151" t="s">
        <v>9021</v>
      </c>
    </row>
    <row r="1522" spans="8:12" x14ac:dyDescent="0.25">
      <c r="H1522" s="151" t="s">
        <v>4136</v>
      </c>
      <c r="I1522" s="151" t="s">
        <v>6962</v>
      </c>
      <c r="J1522" s="151" t="s">
        <v>6962</v>
      </c>
      <c r="K1522" s="151">
        <f t="shared" si="53"/>
        <v>0</v>
      </c>
      <c r="L1522" s="151" t="s">
        <v>9021</v>
      </c>
    </row>
    <row r="1523" spans="8:12" x14ac:dyDescent="0.25">
      <c r="H1523" s="151" t="s">
        <v>4136</v>
      </c>
      <c r="I1523" s="151" t="s">
        <v>391</v>
      </c>
      <c r="J1523" s="151" t="s">
        <v>7254</v>
      </c>
      <c r="K1523" s="151">
        <f t="shared" si="53"/>
        <v>650000000001529</v>
      </c>
      <c r="L1523" s="151" t="s">
        <v>9021</v>
      </c>
    </row>
    <row r="1524" spans="8:12" x14ac:dyDescent="0.25">
      <c r="H1524" s="151" t="s">
        <v>4137</v>
      </c>
      <c r="I1524" s="151" t="s">
        <v>6962</v>
      </c>
      <c r="J1524" s="151" t="s">
        <v>6962</v>
      </c>
      <c r="K1524" s="151">
        <f t="shared" si="53"/>
        <v>0</v>
      </c>
      <c r="L1524" s="151" t="s">
        <v>9021</v>
      </c>
    </row>
    <row r="1525" spans="8:12" x14ac:dyDescent="0.25">
      <c r="H1525" s="151" t="s">
        <v>4137</v>
      </c>
      <c r="I1525" s="151" t="s">
        <v>391</v>
      </c>
      <c r="J1525" s="151" t="s">
        <v>7255</v>
      </c>
      <c r="K1525" s="151">
        <f t="shared" si="53"/>
        <v>650000000001530</v>
      </c>
      <c r="L1525" s="151" t="s">
        <v>9021</v>
      </c>
    </row>
    <row r="1526" spans="8:12" x14ac:dyDescent="0.25">
      <c r="H1526" s="151" t="s">
        <v>4138</v>
      </c>
      <c r="I1526" s="151" t="s">
        <v>6962</v>
      </c>
      <c r="J1526" s="151" t="s">
        <v>6962</v>
      </c>
      <c r="K1526" s="151">
        <f t="shared" si="53"/>
        <v>0</v>
      </c>
      <c r="L1526" s="151" t="s">
        <v>9021</v>
      </c>
    </row>
    <row r="1527" spans="8:12" x14ac:dyDescent="0.25">
      <c r="H1527" s="151" t="s">
        <v>4138</v>
      </c>
      <c r="I1527" s="151" t="s">
        <v>391</v>
      </c>
      <c r="J1527" s="151" t="s">
        <v>7256</v>
      </c>
      <c r="K1527" s="151">
        <f t="shared" si="53"/>
        <v>650000000001531</v>
      </c>
      <c r="L1527" s="151" t="s">
        <v>9021</v>
      </c>
    </row>
    <row r="1528" spans="8:12" x14ac:dyDescent="0.25">
      <c r="H1528" s="151" t="s">
        <v>4139</v>
      </c>
      <c r="I1528" s="151" t="s">
        <v>6962</v>
      </c>
      <c r="J1528" s="151" t="s">
        <v>6962</v>
      </c>
      <c r="K1528" s="151">
        <f t="shared" si="53"/>
        <v>0</v>
      </c>
      <c r="L1528" s="151" t="s">
        <v>9021</v>
      </c>
    </row>
    <row r="1529" spans="8:12" x14ac:dyDescent="0.25">
      <c r="H1529" s="151" t="s">
        <v>4139</v>
      </c>
      <c r="I1529" s="151" t="s">
        <v>391</v>
      </c>
      <c r="J1529" s="151" t="s">
        <v>7257</v>
      </c>
      <c r="K1529" s="151">
        <f t="shared" si="53"/>
        <v>650000000000333</v>
      </c>
      <c r="L1529" s="151" t="s">
        <v>9021</v>
      </c>
    </row>
    <row r="1530" spans="8:12" x14ac:dyDescent="0.25">
      <c r="H1530" s="151" t="s">
        <v>4140</v>
      </c>
      <c r="I1530" s="151" t="s">
        <v>6962</v>
      </c>
      <c r="J1530" s="151" t="s">
        <v>6962</v>
      </c>
      <c r="K1530" s="151">
        <f t="shared" si="53"/>
        <v>0</v>
      </c>
      <c r="L1530" s="151" t="s">
        <v>9021</v>
      </c>
    </row>
    <row r="1531" spans="8:12" x14ac:dyDescent="0.25">
      <c r="H1531" s="151" t="s">
        <v>4140</v>
      </c>
      <c r="I1531" s="151" t="s">
        <v>391</v>
      </c>
      <c r="J1531" s="151" t="s">
        <v>7258</v>
      </c>
      <c r="K1531" s="151">
        <f t="shared" si="53"/>
        <v>650000000001532</v>
      </c>
      <c r="L1531" s="151" t="s">
        <v>9021</v>
      </c>
    </row>
    <row r="1532" spans="8:12" x14ac:dyDescent="0.25">
      <c r="H1532" s="151" t="s">
        <v>4141</v>
      </c>
      <c r="I1532" s="151" t="s">
        <v>6962</v>
      </c>
      <c r="J1532" s="151" t="s">
        <v>6962</v>
      </c>
      <c r="K1532" s="151">
        <f t="shared" si="53"/>
        <v>0</v>
      </c>
      <c r="L1532" s="151" t="s">
        <v>9021</v>
      </c>
    </row>
    <row r="1533" spans="8:12" x14ac:dyDescent="0.25">
      <c r="H1533" s="151" t="s">
        <v>4141</v>
      </c>
      <c r="I1533" s="151" t="s">
        <v>391</v>
      </c>
      <c r="J1533" s="151" t="s">
        <v>7259</v>
      </c>
      <c r="K1533" s="151">
        <f t="shared" si="53"/>
        <v>650000000000334</v>
      </c>
      <c r="L1533" s="151" t="s">
        <v>9021</v>
      </c>
    </row>
    <row r="1534" spans="8:12" x14ac:dyDescent="0.25">
      <c r="H1534" s="151" t="s">
        <v>4142</v>
      </c>
      <c r="I1534" s="151" t="s">
        <v>6962</v>
      </c>
      <c r="J1534" s="151" t="s">
        <v>6962</v>
      </c>
      <c r="K1534" s="151">
        <f t="shared" si="53"/>
        <v>0</v>
      </c>
      <c r="L1534" s="151" t="s">
        <v>9021</v>
      </c>
    </row>
    <row r="1535" spans="8:12" x14ac:dyDescent="0.25">
      <c r="H1535" s="151" t="s">
        <v>4142</v>
      </c>
      <c r="I1535" s="151" t="s">
        <v>391</v>
      </c>
      <c r="J1535" s="151" t="s">
        <v>7260</v>
      </c>
      <c r="K1535" s="151">
        <f t="shared" si="53"/>
        <v>650000000000335</v>
      </c>
      <c r="L1535" s="151" t="s">
        <v>9021</v>
      </c>
    </row>
    <row r="1536" spans="8:12" x14ac:dyDescent="0.25">
      <c r="H1536" s="151" t="s">
        <v>4143</v>
      </c>
      <c r="I1536" s="151" t="s">
        <v>6962</v>
      </c>
      <c r="J1536" s="151" t="s">
        <v>6962</v>
      </c>
      <c r="K1536" s="151">
        <f t="shared" si="53"/>
        <v>0</v>
      </c>
      <c r="L1536" s="151" t="s">
        <v>9021</v>
      </c>
    </row>
    <row r="1537" spans="8:12" x14ac:dyDescent="0.25">
      <c r="H1537" s="151" t="s">
        <v>4143</v>
      </c>
      <c r="I1537" s="151" t="s">
        <v>391</v>
      </c>
      <c r="J1537" s="151" t="s">
        <v>7261</v>
      </c>
      <c r="K1537" s="151">
        <f t="shared" si="53"/>
        <v>650000000001533</v>
      </c>
      <c r="L1537" s="151" t="s">
        <v>9021</v>
      </c>
    </row>
    <row r="1538" spans="8:12" x14ac:dyDescent="0.25">
      <c r="H1538" s="151" t="s">
        <v>4144</v>
      </c>
      <c r="I1538" s="151" t="s">
        <v>6962</v>
      </c>
      <c r="J1538" s="151" t="s">
        <v>6962</v>
      </c>
      <c r="K1538" s="151">
        <f t="shared" si="53"/>
        <v>0</v>
      </c>
      <c r="L1538" s="151" t="s">
        <v>9021</v>
      </c>
    </row>
    <row r="1539" spans="8:12" x14ac:dyDescent="0.25">
      <c r="H1539" s="151" t="s">
        <v>4144</v>
      </c>
      <c r="I1539" s="151" t="s">
        <v>391</v>
      </c>
      <c r="J1539" s="151" t="s">
        <v>7262</v>
      </c>
      <c r="K1539" s="151">
        <f t="shared" ref="K1539:K1602" si="54">+IFERROR(J1539*1,0)</f>
        <v>650000000000336</v>
      </c>
      <c r="L1539" s="151" t="s">
        <v>9021</v>
      </c>
    </row>
    <row r="1540" spans="8:12" x14ac:dyDescent="0.25">
      <c r="H1540" s="151" t="s">
        <v>4145</v>
      </c>
      <c r="I1540" s="151" t="s">
        <v>6962</v>
      </c>
      <c r="J1540" s="151" t="s">
        <v>6962</v>
      </c>
      <c r="K1540" s="151">
        <f t="shared" si="54"/>
        <v>0</v>
      </c>
      <c r="L1540" s="151" t="s">
        <v>9021</v>
      </c>
    </row>
    <row r="1541" spans="8:12" x14ac:dyDescent="0.25">
      <c r="H1541" s="151" t="s">
        <v>4145</v>
      </c>
      <c r="I1541" s="151" t="s">
        <v>391</v>
      </c>
      <c r="J1541" s="151" t="s">
        <v>7263</v>
      </c>
      <c r="K1541" s="151">
        <f t="shared" si="54"/>
        <v>650000000000337</v>
      </c>
      <c r="L1541" s="151" t="s">
        <v>9021</v>
      </c>
    </row>
    <row r="1542" spans="8:12" x14ac:dyDescent="0.25">
      <c r="H1542" s="151" t="s">
        <v>4146</v>
      </c>
      <c r="I1542" s="151" t="s">
        <v>6962</v>
      </c>
      <c r="J1542" s="151" t="s">
        <v>6962</v>
      </c>
      <c r="K1542" s="151">
        <f t="shared" si="54"/>
        <v>0</v>
      </c>
      <c r="L1542" s="151" t="s">
        <v>9021</v>
      </c>
    </row>
    <row r="1543" spans="8:12" x14ac:dyDescent="0.25">
      <c r="H1543" s="151" t="s">
        <v>4146</v>
      </c>
      <c r="I1543" s="151" t="s">
        <v>391</v>
      </c>
      <c r="J1543" s="151" t="s">
        <v>7264</v>
      </c>
      <c r="K1543" s="151">
        <f t="shared" si="54"/>
        <v>650000000001534</v>
      </c>
      <c r="L1543" s="151" t="s">
        <v>9021</v>
      </c>
    </row>
    <row r="1544" spans="8:12" x14ac:dyDescent="0.25">
      <c r="H1544" s="151" t="s">
        <v>4147</v>
      </c>
      <c r="I1544" s="151" t="s">
        <v>6962</v>
      </c>
      <c r="J1544" s="151" t="s">
        <v>6962</v>
      </c>
      <c r="K1544" s="151">
        <f t="shared" si="54"/>
        <v>0</v>
      </c>
      <c r="L1544" s="151" t="s">
        <v>9021</v>
      </c>
    </row>
    <row r="1545" spans="8:12" x14ac:dyDescent="0.25">
      <c r="H1545" s="151" t="s">
        <v>4147</v>
      </c>
      <c r="I1545" s="151" t="s">
        <v>391</v>
      </c>
      <c r="J1545" s="151" t="s">
        <v>7265</v>
      </c>
      <c r="K1545" s="151">
        <f t="shared" si="54"/>
        <v>650000000000338</v>
      </c>
      <c r="L1545" s="151" t="s">
        <v>9021</v>
      </c>
    </row>
    <row r="1546" spans="8:12" x14ac:dyDescent="0.25">
      <c r="H1546" s="151" t="s">
        <v>4148</v>
      </c>
      <c r="I1546" s="151" t="s">
        <v>6962</v>
      </c>
      <c r="J1546" s="151" t="s">
        <v>6962</v>
      </c>
      <c r="K1546" s="151">
        <f t="shared" si="54"/>
        <v>0</v>
      </c>
      <c r="L1546" s="151" t="s">
        <v>9021</v>
      </c>
    </row>
    <row r="1547" spans="8:12" x14ac:dyDescent="0.25">
      <c r="H1547" s="151" t="s">
        <v>4148</v>
      </c>
      <c r="I1547" s="151" t="s">
        <v>391</v>
      </c>
      <c r="J1547" s="151" t="s">
        <v>7266</v>
      </c>
      <c r="K1547" s="151">
        <f t="shared" si="54"/>
        <v>650000000000339</v>
      </c>
      <c r="L1547" s="151" t="s">
        <v>9021</v>
      </c>
    </row>
    <row r="1548" spans="8:12" x14ac:dyDescent="0.25">
      <c r="H1548" s="151" t="s">
        <v>4149</v>
      </c>
      <c r="I1548" s="151" t="s">
        <v>6962</v>
      </c>
      <c r="J1548" s="151" t="s">
        <v>6962</v>
      </c>
      <c r="K1548" s="151">
        <f t="shared" si="54"/>
        <v>0</v>
      </c>
      <c r="L1548" s="151" t="s">
        <v>9021</v>
      </c>
    </row>
    <row r="1549" spans="8:12" x14ac:dyDescent="0.25">
      <c r="H1549" s="151" t="s">
        <v>4149</v>
      </c>
      <c r="I1549" s="151" t="s">
        <v>391</v>
      </c>
      <c r="J1549" s="151" t="s">
        <v>7267</v>
      </c>
      <c r="K1549" s="151">
        <f t="shared" si="54"/>
        <v>650000000000340</v>
      </c>
      <c r="L1549" s="151" t="s">
        <v>9021</v>
      </c>
    </row>
    <row r="1550" spans="8:12" x14ac:dyDescent="0.25">
      <c r="H1550" s="151" t="s">
        <v>4150</v>
      </c>
      <c r="I1550" s="151" t="s">
        <v>6962</v>
      </c>
      <c r="J1550" s="151" t="s">
        <v>6962</v>
      </c>
      <c r="K1550" s="151">
        <f t="shared" si="54"/>
        <v>0</v>
      </c>
      <c r="L1550" s="151" t="s">
        <v>9021</v>
      </c>
    </row>
    <row r="1551" spans="8:12" x14ac:dyDescent="0.25">
      <c r="H1551" s="151" t="s">
        <v>4150</v>
      </c>
      <c r="I1551" s="151" t="s">
        <v>391</v>
      </c>
      <c r="J1551" s="151" t="s">
        <v>7268</v>
      </c>
      <c r="K1551" s="151">
        <f t="shared" si="54"/>
        <v>650000000000341</v>
      </c>
      <c r="L1551" s="151" t="s">
        <v>9021</v>
      </c>
    </row>
    <row r="1552" spans="8:12" x14ac:dyDescent="0.25">
      <c r="H1552" s="151" t="s">
        <v>4151</v>
      </c>
      <c r="I1552" s="151" t="s">
        <v>6962</v>
      </c>
      <c r="J1552" s="151" t="s">
        <v>6962</v>
      </c>
      <c r="K1552" s="151">
        <f t="shared" si="54"/>
        <v>0</v>
      </c>
      <c r="L1552" s="151" t="s">
        <v>9021</v>
      </c>
    </row>
    <row r="1553" spans="8:12" x14ac:dyDescent="0.25">
      <c r="H1553" s="151" t="s">
        <v>4151</v>
      </c>
      <c r="I1553" s="151" t="s">
        <v>391</v>
      </c>
      <c r="J1553" s="151" t="s">
        <v>7269</v>
      </c>
      <c r="K1553" s="151">
        <f t="shared" si="54"/>
        <v>650000000000342</v>
      </c>
      <c r="L1553" s="151" t="s">
        <v>9021</v>
      </c>
    </row>
    <row r="1554" spans="8:12" x14ac:dyDescent="0.25">
      <c r="H1554" s="151" t="s">
        <v>4152</v>
      </c>
      <c r="I1554" s="151" t="s">
        <v>6962</v>
      </c>
      <c r="J1554" s="151" t="s">
        <v>6962</v>
      </c>
      <c r="K1554" s="151">
        <f t="shared" si="54"/>
        <v>0</v>
      </c>
      <c r="L1554" s="151" t="s">
        <v>9021</v>
      </c>
    </row>
    <row r="1555" spans="8:12" x14ac:dyDescent="0.25">
      <c r="H1555" s="151" t="s">
        <v>4152</v>
      </c>
      <c r="I1555" s="151" t="s">
        <v>391</v>
      </c>
      <c r="J1555" s="151" t="s">
        <v>7270</v>
      </c>
      <c r="K1555" s="151">
        <f t="shared" si="54"/>
        <v>650000000000343</v>
      </c>
      <c r="L1555" s="151" t="s">
        <v>9021</v>
      </c>
    </row>
    <row r="1556" spans="8:12" x14ac:dyDescent="0.25">
      <c r="H1556" s="151" t="s">
        <v>4153</v>
      </c>
      <c r="I1556" s="151" t="s">
        <v>6962</v>
      </c>
      <c r="J1556" s="151" t="s">
        <v>6962</v>
      </c>
      <c r="K1556" s="151">
        <f t="shared" si="54"/>
        <v>0</v>
      </c>
      <c r="L1556" s="151" t="s">
        <v>9021</v>
      </c>
    </row>
    <row r="1557" spans="8:12" x14ac:dyDescent="0.25">
      <c r="H1557" s="151" t="s">
        <v>4153</v>
      </c>
      <c r="I1557" s="151" t="s">
        <v>391</v>
      </c>
      <c r="J1557" s="151" t="s">
        <v>7271</v>
      </c>
      <c r="K1557" s="151">
        <f t="shared" si="54"/>
        <v>650000000001535</v>
      </c>
      <c r="L1557" s="151" t="s">
        <v>9021</v>
      </c>
    </row>
    <row r="1558" spans="8:12" x14ac:dyDescent="0.25">
      <c r="H1558" s="151" t="s">
        <v>4154</v>
      </c>
      <c r="I1558" s="151" t="s">
        <v>6962</v>
      </c>
      <c r="J1558" s="151" t="s">
        <v>6962</v>
      </c>
      <c r="K1558" s="151">
        <f t="shared" si="54"/>
        <v>0</v>
      </c>
      <c r="L1558" s="151" t="s">
        <v>9021</v>
      </c>
    </row>
    <row r="1559" spans="8:12" x14ac:dyDescent="0.25">
      <c r="H1559" s="151" t="s">
        <v>4154</v>
      </c>
      <c r="I1559" s="151" t="s">
        <v>391</v>
      </c>
      <c r="J1559" s="151" t="s">
        <v>7272</v>
      </c>
      <c r="K1559" s="151">
        <f t="shared" si="54"/>
        <v>650000000001536</v>
      </c>
      <c r="L1559" s="151" t="s">
        <v>9021</v>
      </c>
    </row>
    <row r="1560" spans="8:12" x14ac:dyDescent="0.25">
      <c r="H1560" s="151" t="s">
        <v>4155</v>
      </c>
      <c r="I1560" s="151" t="s">
        <v>6962</v>
      </c>
      <c r="J1560" s="151" t="s">
        <v>6962</v>
      </c>
      <c r="K1560" s="151">
        <f t="shared" si="54"/>
        <v>0</v>
      </c>
      <c r="L1560" s="151" t="s">
        <v>9021</v>
      </c>
    </row>
    <row r="1561" spans="8:12" x14ac:dyDescent="0.25">
      <c r="H1561" s="151" t="s">
        <v>4155</v>
      </c>
      <c r="I1561" s="151" t="s">
        <v>391</v>
      </c>
      <c r="J1561" s="151" t="s">
        <v>7273</v>
      </c>
      <c r="K1561" s="151">
        <f t="shared" si="54"/>
        <v>650000000000344</v>
      </c>
      <c r="L1561" s="151" t="s">
        <v>9021</v>
      </c>
    </row>
    <row r="1562" spans="8:12" x14ac:dyDescent="0.25">
      <c r="H1562" s="151" t="s">
        <v>4156</v>
      </c>
      <c r="I1562" s="151" t="s">
        <v>6962</v>
      </c>
      <c r="J1562" s="151" t="s">
        <v>6962</v>
      </c>
      <c r="K1562" s="151">
        <f t="shared" si="54"/>
        <v>0</v>
      </c>
      <c r="L1562" s="151" t="s">
        <v>9021</v>
      </c>
    </row>
    <row r="1563" spans="8:12" x14ac:dyDescent="0.25">
      <c r="H1563" s="151" t="s">
        <v>4156</v>
      </c>
      <c r="I1563" s="151" t="s">
        <v>391</v>
      </c>
      <c r="J1563" s="151" t="s">
        <v>7274</v>
      </c>
      <c r="K1563" s="151">
        <f t="shared" si="54"/>
        <v>650000000000345</v>
      </c>
      <c r="L1563" s="151" t="s">
        <v>9021</v>
      </c>
    </row>
    <row r="1564" spans="8:12" x14ac:dyDescent="0.25">
      <c r="H1564" s="151" t="s">
        <v>4157</v>
      </c>
      <c r="I1564" s="151" t="s">
        <v>6962</v>
      </c>
      <c r="J1564" s="151" t="s">
        <v>6962</v>
      </c>
      <c r="K1564" s="151">
        <f t="shared" si="54"/>
        <v>0</v>
      </c>
      <c r="L1564" s="151" t="s">
        <v>9021</v>
      </c>
    </row>
    <row r="1565" spans="8:12" x14ac:dyDescent="0.25">
      <c r="H1565" s="151" t="s">
        <v>4157</v>
      </c>
      <c r="I1565" s="151" t="s">
        <v>391</v>
      </c>
      <c r="J1565" s="151" t="s">
        <v>7275</v>
      </c>
      <c r="K1565" s="151">
        <f t="shared" si="54"/>
        <v>650000000001537</v>
      </c>
      <c r="L1565" s="151" t="s">
        <v>9021</v>
      </c>
    </row>
    <row r="1566" spans="8:12" x14ac:dyDescent="0.25">
      <c r="H1566" s="151" t="s">
        <v>4158</v>
      </c>
      <c r="I1566" s="151" t="s">
        <v>6962</v>
      </c>
      <c r="J1566" s="151" t="s">
        <v>6962</v>
      </c>
      <c r="K1566" s="151">
        <f t="shared" si="54"/>
        <v>0</v>
      </c>
      <c r="L1566" s="151" t="s">
        <v>9021</v>
      </c>
    </row>
    <row r="1567" spans="8:12" x14ac:dyDescent="0.25">
      <c r="H1567" s="151" t="s">
        <v>4158</v>
      </c>
      <c r="I1567" s="151" t="s">
        <v>391</v>
      </c>
      <c r="J1567" s="151" t="s">
        <v>7276</v>
      </c>
      <c r="K1567" s="151">
        <f t="shared" si="54"/>
        <v>650000000001538</v>
      </c>
      <c r="L1567" s="151" t="s">
        <v>9021</v>
      </c>
    </row>
    <row r="1568" spans="8:12" x14ac:dyDescent="0.25">
      <c r="H1568" s="151" t="s">
        <v>4159</v>
      </c>
      <c r="I1568" s="151" t="s">
        <v>6962</v>
      </c>
      <c r="J1568" s="151" t="s">
        <v>6962</v>
      </c>
      <c r="K1568" s="151">
        <f t="shared" si="54"/>
        <v>0</v>
      </c>
      <c r="L1568" s="151" t="s">
        <v>9021</v>
      </c>
    </row>
    <row r="1569" spans="8:12" x14ac:dyDescent="0.25">
      <c r="H1569" s="151" t="s">
        <v>4159</v>
      </c>
      <c r="I1569" s="151" t="s">
        <v>391</v>
      </c>
      <c r="J1569" s="151" t="s">
        <v>7277</v>
      </c>
      <c r="K1569" s="151">
        <f t="shared" si="54"/>
        <v>650000000000346</v>
      </c>
      <c r="L1569" s="151" t="s">
        <v>9021</v>
      </c>
    </row>
    <row r="1570" spans="8:12" x14ac:dyDescent="0.25">
      <c r="H1570" s="151" t="s">
        <v>4160</v>
      </c>
      <c r="I1570" s="151" t="s">
        <v>6962</v>
      </c>
      <c r="J1570" s="151" t="s">
        <v>6962</v>
      </c>
      <c r="K1570" s="151">
        <f t="shared" si="54"/>
        <v>0</v>
      </c>
      <c r="L1570" s="151" t="s">
        <v>9021</v>
      </c>
    </row>
    <row r="1571" spans="8:12" x14ac:dyDescent="0.25">
      <c r="H1571" s="151" t="s">
        <v>4160</v>
      </c>
      <c r="I1571" s="151" t="s">
        <v>391</v>
      </c>
      <c r="J1571" s="151" t="s">
        <v>7278</v>
      </c>
      <c r="K1571" s="151">
        <f t="shared" si="54"/>
        <v>650000000000347</v>
      </c>
      <c r="L1571" s="151" t="s">
        <v>9021</v>
      </c>
    </row>
    <row r="1572" spans="8:12" x14ac:dyDescent="0.25">
      <c r="H1572" s="151" t="s">
        <v>4161</v>
      </c>
      <c r="I1572" s="151" t="s">
        <v>6962</v>
      </c>
      <c r="J1572" s="151" t="s">
        <v>6962</v>
      </c>
      <c r="K1572" s="151">
        <f t="shared" si="54"/>
        <v>0</v>
      </c>
      <c r="L1572" s="151" t="s">
        <v>9022</v>
      </c>
    </row>
    <row r="1573" spans="8:12" x14ac:dyDescent="0.25">
      <c r="H1573" s="151" t="s">
        <v>4161</v>
      </c>
      <c r="I1573" s="151" t="s">
        <v>391</v>
      </c>
      <c r="J1573" s="151" t="s">
        <v>7279</v>
      </c>
      <c r="K1573" s="151">
        <f t="shared" si="54"/>
        <v>650000000000348</v>
      </c>
      <c r="L1573" s="151" t="s">
        <v>9022</v>
      </c>
    </row>
    <row r="1574" spans="8:12" x14ac:dyDescent="0.25">
      <c r="H1574" s="151" t="s">
        <v>4162</v>
      </c>
      <c r="I1574" s="151" t="s">
        <v>6962</v>
      </c>
      <c r="J1574" s="151" t="s">
        <v>6962</v>
      </c>
      <c r="K1574" s="151">
        <f t="shared" si="54"/>
        <v>0</v>
      </c>
      <c r="L1574" s="151" t="s">
        <v>9021</v>
      </c>
    </row>
    <row r="1575" spans="8:12" x14ac:dyDescent="0.25">
      <c r="H1575" s="151" t="s">
        <v>4162</v>
      </c>
      <c r="I1575" s="151" t="s">
        <v>391</v>
      </c>
      <c r="J1575" s="151" t="s">
        <v>7280</v>
      </c>
      <c r="K1575" s="151">
        <f t="shared" si="54"/>
        <v>650000000000349</v>
      </c>
      <c r="L1575" s="151" t="s">
        <v>9021</v>
      </c>
    </row>
    <row r="1576" spans="8:12" x14ac:dyDescent="0.25">
      <c r="H1576" s="151" t="s">
        <v>4163</v>
      </c>
      <c r="I1576" s="151" t="s">
        <v>6962</v>
      </c>
      <c r="J1576" s="151" t="s">
        <v>6962</v>
      </c>
      <c r="K1576" s="151">
        <f t="shared" si="54"/>
        <v>0</v>
      </c>
      <c r="L1576" s="151" t="s">
        <v>9021</v>
      </c>
    </row>
    <row r="1577" spans="8:12" x14ac:dyDescent="0.25">
      <c r="H1577" s="151" t="s">
        <v>4163</v>
      </c>
      <c r="I1577" s="151" t="s">
        <v>391</v>
      </c>
      <c r="J1577" s="151" t="s">
        <v>7281</v>
      </c>
      <c r="K1577" s="151">
        <f t="shared" si="54"/>
        <v>650000000000350</v>
      </c>
      <c r="L1577" s="151" t="s">
        <v>9021</v>
      </c>
    </row>
    <row r="1578" spans="8:12" x14ac:dyDescent="0.25">
      <c r="H1578" s="151" t="s">
        <v>4164</v>
      </c>
      <c r="I1578" s="151" t="s">
        <v>6962</v>
      </c>
      <c r="J1578" s="151" t="s">
        <v>6962</v>
      </c>
      <c r="K1578" s="151">
        <f t="shared" si="54"/>
        <v>0</v>
      </c>
      <c r="L1578" s="151" t="s">
        <v>9021</v>
      </c>
    </row>
    <row r="1579" spans="8:12" x14ac:dyDescent="0.25">
      <c r="H1579" s="151" t="s">
        <v>4164</v>
      </c>
      <c r="I1579" s="151" t="s">
        <v>391</v>
      </c>
      <c r="J1579" s="151" t="s">
        <v>7282</v>
      </c>
      <c r="K1579" s="151">
        <f t="shared" si="54"/>
        <v>650000000001539</v>
      </c>
      <c r="L1579" s="151" t="s">
        <v>9021</v>
      </c>
    </row>
    <row r="1580" spans="8:12" x14ac:dyDescent="0.25">
      <c r="H1580" s="151" t="s">
        <v>4165</v>
      </c>
      <c r="I1580" s="151" t="s">
        <v>6962</v>
      </c>
      <c r="J1580" s="151" t="s">
        <v>6962</v>
      </c>
      <c r="K1580" s="151">
        <f t="shared" si="54"/>
        <v>0</v>
      </c>
      <c r="L1580" s="151" t="s">
        <v>9021</v>
      </c>
    </row>
    <row r="1581" spans="8:12" x14ac:dyDescent="0.25">
      <c r="H1581" s="151" t="s">
        <v>4165</v>
      </c>
      <c r="I1581" s="151" t="s">
        <v>391</v>
      </c>
      <c r="J1581" s="151" t="s">
        <v>7283</v>
      </c>
      <c r="K1581" s="151">
        <f t="shared" si="54"/>
        <v>650000000001540</v>
      </c>
      <c r="L1581" s="151" t="s">
        <v>9021</v>
      </c>
    </row>
    <row r="1582" spans="8:12" x14ac:dyDescent="0.25">
      <c r="H1582" s="151" t="s">
        <v>6841</v>
      </c>
      <c r="I1582" s="151" t="s">
        <v>6962</v>
      </c>
      <c r="J1582" s="151" t="s">
        <v>6962</v>
      </c>
      <c r="K1582" s="151">
        <f t="shared" si="54"/>
        <v>0</v>
      </c>
      <c r="L1582" s="151" t="s">
        <v>9021</v>
      </c>
    </row>
    <row r="1583" spans="8:12" x14ac:dyDescent="0.25">
      <c r="H1583" s="151" t="s">
        <v>4166</v>
      </c>
      <c r="I1583" s="151" t="s">
        <v>6962</v>
      </c>
      <c r="J1583" s="151" t="s">
        <v>6962</v>
      </c>
      <c r="K1583" s="151">
        <f t="shared" si="54"/>
        <v>0</v>
      </c>
      <c r="L1583" s="151" t="s">
        <v>9021</v>
      </c>
    </row>
    <row r="1584" spans="8:12" x14ac:dyDescent="0.25">
      <c r="H1584" s="151" t="s">
        <v>4166</v>
      </c>
      <c r="I1584" s="151" t="s">
        <v>391</v>
      </c>
      <c r="J1584" s="151" t="s">
        <v>7284</v>
      </c>
      <c r="K1584" s="151">
        <f t="shared" si="54"/>
        <v>650000000000351</v>
      </c>
      <c r="L1584" s="151" t="s">
        <v>9021</v>
      </c>
    </row>
    <row r="1585" spans="8:12" x14ac:dyDescent="0.25">
      <c r="H1585" s="151" t="s">
        <v>4167</v>
      </c>
      <c r="I1585" s="151" t="s">
        <v>6962</v>
      </c>
      <c r="J1585" s="151" t="s">
        <v>6962</v>
      </c>
      <c r="K1585" s="151">
        <f t="shared" si="54"/>
        <v>0</v>
      </c>
      <c r="L1585" s="151" t="s">
        <v>9021</v>
      </c>
    </row>
    <row r="1586" spans="8:12" x14ac:dyDescent="0.25">
      <c r="H1586" s="151" t="s">
        <v>4167</v>
      </c>
      <c r="I1586" s="151" t="s">
        <v>391</v>
      </c>
      <c r="J1586" s="151" t="s">
        <v>7285</v>
      </c>
      <c r="K1586" s="151">
        <f t="shared" si="54"/>
        <v>650000000000352</v>
      </c>
      <c r="L1586" s="151" t="s">
        <v>9021</v>
      </c>
    </row>
    <row r="1587" spans="8:12" x14ac:dyDescent="0.25">
      <c r="H1587" s="151" t="s">
        <v>4168</v>
      </c>
      <c r="I1587" s="151" t="s">
        <v>6962</v>
      </c>
      <c r="J1587" s="151" t="s">
        <v>6962</v>
      </c>
      <c r="K1587" s="151">
        <f t="shared" si="54"/>
        <v>0</v>
      </c>
      <c r="L1587" s="151" t="s">
        <v>9021</v>
      </c>
    </row>
    <row r="1588" spans="8:12" x14ac:dyDescent="0.25">
      <c r="H1588" s="151" t="s">
        <v>4168</v>
      </c>
      <c r="I1588" s="151" t="s">
        <v>391</v>
      </c>
      <c r="J1588" s="151" t="s">
        <v>7286</v>
      </c>
      <c r="K1588" s="151">
        <f t="shared" si="54"/>
        <v>650000000000353</v>
      </c>
      <c r="L1588" s="151" t="s">
        <v>9021</v>
      </c>
    </row>
    <row r="1589" spans="8:12" x14ac:dyDescent="0.25">
      <c r="H1589" s="151" t="s">
        <v>6842</v>
      </c>
      <c r="I1589" s="151" t="s">
        <v>6962</v>
      </c>
      <c r="J1589" s="151" t="s">
        <v>6962</v>
      </c>
      <c r="K1589" s="151">
        <f t="shared" si="54"/>
        <v>0</v>
      </c>
      <c r="L1589" s="151" t="s">
        <v>9021</v>
      </c>
    </row>
    <row r="1590" spans="8:12" x14ac:dyDescent="0.25">
      <c r="H1590" s="151" t="s">
        <v>4169</v>
      </c>
      <c r="I1590" s="151" t="s">
        <v>6962</v>
      </c>
      <c r="J1590" s="151" t="s">
        <v>6962</v>
      </c>
      <c r="K1590" s="151">
        <f t="shared" si="54"/>
        <v>0</v>
      </c>
      <c r="L1590" s="151" t="s">
        <v>9021</v>
      </c>
    </row>
    <row r="1591" spans="8:12" x14ac:dyDescent="0.25">
      <c r="H1591" s="151" t="s">
        <v>4169</v>
      </c>
      <c r="I1591" s="151" t="s">
        <v>391</v>
      </c>
      <c r="J1591" s="151" t="s">
        <v>7287</v>
      </c>
      <c r="K1591" s="151">
        <f t="shared" si="54"/>
        <v>650000000000355</v>
      </c>
      <c r="L1591" s="151" t="s">
        <v>9021</v>
      </c>
    </row>
    <row r="1592" spans="8:12" x14ac:dyDescent="0.25">
      <c r="H1592" s="151" t="s">
        <v>4170</v>
      </c>
      <c r="I1592" s="151" t="s">
        <v>6962</v>
      </c>
      <c r="J1592" s="151" t="s">
        <v>6962</v>
      </c>
      <c r="K1592" s="151">
        <f t="shared" si="54"/>
        <v>0</v>
      </c>
      <c r="L1592" s="151" t="s">
        <v>9021</v>
      </c>
    </row>
    <row r="1593" spans="8:12" x14ac:dyDescent="0.25">
      <c r="H1593" s="151" t="s">
        <v>4170</v>
      </c>
      <c r="I1593" s="151" t="s">
        <v>391</v>
      </c>
      <c r="J1593" s="151" t="s">
        <v>7288</v>
      </c>
      <c r="K1593" s="151">
        <f t="shared" si="54"/>
        <v>650000000000356</v>
      </c>
      <c r="L1593" s="151" t="s">
        <v>9021</v>
      </c>
    </row>
    <row r="1594" spans="8:12" x14ac:dyDescent="0.25">
      <c r="H1594" s="151" t="s">
        <v>4171</v>
      </c>
      <c r="I1594" s="151" t="s">
        <v>6962</v>
      </c>
      <c r="J1594" s="151" t="s">
        <v>6962</v>
      </c>
      <c r="K1594" s="151">
        <f t="shared" si="54"/>
        <v>0</v>
      </c>
      <c r="L1594" s="151" t="s">
        <v>9021</v>
      </c>
    </row>
    <row r="1595" spans="8:12" x14ac:dyDescent="0.25">
      <c r="H1595" s="151" t="s">
        <v>4171</v>
      </c>
      <c r="I1595" s="151" t="s">
        <v>391</v>
      </c>
      <c r="J1595" s="151" t="s">
        <v>7289</v>
      </c>
      <c r="K1595" s="151">
        <f t="shared" si="54"/>
        <v>650000000000357</v>
      </c>
      <c r="L1595" s="151" t="s">
        <v>9021</v>
      </c>
    </row>
    <row r="1596" spans="8:12" x14ac:dyDescent="0.25">
      <c r="H1596" s="151" t="s">
        <v>4172</v>
      </c>
      <c r="I1596" s="151" t="s">
        <v>6962</v>
      </c>
      <c r="J1596" s="151" t="s">
        <v>6962</v>
      </c>
      <c r="K1596" s="151">
        <f t="shared" si="54"/>
        <v>0</v>
      </c>
      <c r="L1596" s="151" t="s">
        <v>9021</v>
      </c>
    </row>
    <row r="1597" spans="8:12" x14ac:dyDescent="0.25">
      <c r="H1597" s="151" t="s">
        <v>4172</v>
      </c>
      <c r="I1597" s="151" t="s">
        <v>391</v>
      </c>
      <c r="J1597" s="151" t="s">
        <v>7290</v>
      </c>
      <c r="K1597" s="151">
        <f t="shared" si="54"/>
        <v>650000000000358</v>
      </c>
      <c r="L1597" s="151" t="s">
        <v>9021</v>
      </c>
    </row>
    <row r="1598" spans="8:12" x14ac:dyDescent="0.25">
      <c r="H1598" s="151" t="s">
        <v>4173</v>
      </c>
      <c r="I1598" s="151" t="s">
        <v>6962</v>
      </c>
      <c r="J1598" s="151" t="s">
        <v>6962</v>
      </c>
      <c r="K1598" s="151">
        <f t="shared" si="54"/>
        <v>0</v>
      </c>
      <c r="L1598" s="151" t="s">
        <v>9021</v>
      </c>
    </row>
    <row r="1599" spans="8:12" x14ac:dyDescent="0.25">
      <c r="H1599" s="151" t="s">
        <v>4173</v>
      </c>
      <c r="I1599" s="151" t="s">
        <v>391</v>
      </c>
      <c r="J1599" s="151" t="s">
        <v>7291</v>
      </c>
      <c r="K1599" s="151">
        <f t="shared" si="54"/>
        <v>650000000001541</v>
      </c>
      <c r="L1599" s="151" t="s">
        <v>9021</v>
      </c>
    </row>
    <row r="1600" spans="8:12" x14ac:dyDescent="0.25">
      <c r="H1600" s="151" t="s">
        <v>4174</v>
      </c>
      <c r="I1600" s="151" t="s">
        <v>6962</v>
      </c>
      <c r="J1600" s="151" t="s">
        <v>6962</v>
      </c>
      <c r="K1600" s="151">
        <f t="shared" si="54"/>
        <v>0</v>
      </c>
      <c r="L1600" s="151" t="s">
        <v>9021</v>
      </c>
    </row>
    <row r="1601" spans="8:12" x14ac:dyDescent="0.25">
      <c r="H1601" s="151" t="s">
        <v>4174</v>
      </c>
      <c r="I1601" s="151" t="s">
        <v>391</v>
      </c>
      <c r="J1601" s="151" t="s">
        <v>7292</v>
      </c>
      <c r="K1601" s="151">
        <f t="shared" si="54"/>
        <v>650000000000360</v>
      </c>
      <c r="L1601" s="151" t="s">
        <v>9021</v>
      </c>
    </row>
    <row r="1602" spans="8:12" x14ac:dyDescent="0.25">
      <c r="H1602" s="151" t="s">
        <v>4175</v>
      </c>
      <c r="I1602" s="151" t="s">
        <v>6962</v>
      </c>
      <c r="J1602" s="151" t="s">
        <v>6962</v>
      </c>
      <c r="K1602" s="151">
        <f t="shared" si="54"/>
        <v>0</v>
      </c>
      <c r="L1602" s="151" t="s">
        <v>9021</v>
      </c>
    </row>
    <row r="1603" spans="8:12" x14ac:dyDescent="0.25">
      <c r="H1603" s="151" t="s">
        <v>4175</v>
      </c>
      <c r="I1603" s="151" t="s">
        <v>391</v>
      </c>
      <c r="J1603" s="151" t="s">
        <v>7293</v>
      </c>
      <c r="K1603" s="151">
        <f t="shared" ref="K1603:K1666" si="55">+IFERROR(J1603*1,0)</f>
        <v>650000000001542</v>
      </c>
      <c r="L1603" s="151" t="s">
        <v>9021</v>
      </c>
    </row>
    <row r="1604" spans="8:12" x14ac:dyDescent="0.25">
      <c r="H1604" s="151" t="s">
        <v>4176</v>
      </c>
      <c r="I1604" s="151" t="s">
        <v>6962</v>
      </c>
      <c r="J1604" s="151" t="s">
        <v>6962</v>
      </c>
      <c r="K1604" s="151">
        <f t="shared" si="55"/>
        <v>0</v>
      </c>
      <c r="L1604" s="151" t="s">
        <v>9021</v>
      </c>
    </row>
    <row r="1605" spans="8:12" x14ac:dyDescent="0.25">
      <c r="H1605" s="151" t="s">
        <v>4176</v>
      </c>
      <c r="I1605" s="151" t="s">
        <v>391</v>
      </c>
      <c r="J1605" s="151" t="s">
        <v>7294</v>
      </c>
      <c r="K1605" s="151">
        <f t="shared" si="55"/>
        <v>650000000001543</v>
      </c>
      <c r="L1605" s="151" t="s">
        <v>9021</v>
      </c>
    </row>
    <row r="1606" spans="8:12" x14ac:dyDescent="0.25">
      <c r="H1606" s="151" t="s">
        <v>4177</v>
      </c>
      <c r="I1606" s="151" t="s">
        <v>6962</v>
      </c>
      <c r="J1606" s="151" t="s">
        <v>6962</v>
      </c>
      <c r="K1606" s="151">
        <f t="shared" si="55"/>
        <v>0</v>
      </c>
      <c r="L1606" s="151" t="s">
        <v>9021</v>
      </c>
    </row>
    <row r="1607" spans="8:12" x14ac:dyDescent="0.25">
      <c r="H1607" s="151" t="s">
        <v>4177</v>
      </c>
      <c r="I1607" s="151" t="s">
        <v>391</v>
      </c>
      <c r="J1607" s="151" t="s">
        <v>7295</v>
      </c>
      <c r="K1607" s="151">
        <f t="shared" si="55"/>
        <v>650000000001544</v>
      </c>
      <c r="L1607" s="151" t="s">
        <v>9021</v>
      </c>
    </row>
    <row r="1608" spans="8:12" x14ac:dyDescent="0.25">
      <c r="H1608" s="151" t="s">
        <v>4178</v>
      </c>
      <c r="I1608" s="151" t="s">
        <v>6962</v>
      </c>
      <c r="J1608" s="151" t="s">
        <v>6962</v>
      </c>
      <c r="K1608" s="151">
        <f t="shared" si="55"/>
        <v>0</v>
      </c>
      <c r="L1608" s="151" t="s">
        <v>9021</v>
      </c>
    </row>
    <row r="1609" spans="8:12" x14ac:dyDescent="0.25">
      <c r="H1609" s="151" t="s">
        <v>4178</v>
      </c>
      <c r="I1609" s="151" t="s">
        <v>391</v>
      </c>
      <c r="J1609" s="151" t="s">
        <v>7296</v>
      </c>
      <c r="K1609" s="151">
        <f t="shared" si="55"/>
        <v>650000000000361</v>
      </c>
      <c r="L1609" s="151" t="s">
        <v>9021</v>
      </c>
    </row>
    <row r="1610" spans="8:12" x14ac:dyDescent="0.25">
      <c r="H1610" s="151" t="s">
        <v>4179</v>
      </c>
      <c r="I1610" s="151" t="s">
        <v>6962</v>
      </c>
      <c r="J1610" s="151" t="s">
        <v>6962</v>
      </c>
      <c r="K1610" s="151">
        <f t="shared" si="55"/>
        <v>0</v>
      </c>
      <c r="L1610" s="151" t="s">
        <v>9021</v>
      </c>
    </row>
    <row r="1611" spans="8:12" x14ac:dyDescent="0.25">
      <c r="H1611" s="151" t="s">
        <v>4179</v>
      </c>
      <c r="I1611" s="151" t="s">
        <v>391</v>
      </c>
      <c r="J1611" s="151" t="s">
        <v>7297</v>
      </c>
      <c r="K1611" s="151">
        <f t="shared" si="55"/>
        <v>650000000000362</v>
      </c>
      <c r="L1611" s="151" t="s">
        <v>9021</v>
      </c>
    </row>
    <row r="1612" spans="8:12" x14ac:dyDescent="0.25">
      <c r="H1612" s="151" t="s">
        <v>4180</v>
      </c>
      <c r="I1612" s="151" t="s">
        <v>6962</v>
      </c>
      <c r="J1612" s="151" t="s">
        <v>6962</v>
      </c>
      <c r="K1612" s="151">
        <f t="shared" si="55"/>
        <v>0</v>
      </c>
      <c r="L1612" s="151" t="s">
        <v>9021</v>
      </c>
    </row>
    <row r="1613" spans="8:12" x14ac:dyDescent="0.25">
      <c r="H1613" s="151" t="s">
        <v>4180</v>
      </c>
      <c r="I1613" s="151" t="s">
        <v>391</v>
      </c>
      <c r="J1613" s="151" t="s">
        <v>7298</v>
      </c>
      <c r="K1613" s="151">
        <f t="shared" si="55"/>
        <v>650000000000363</v>
      </c>
      <c r="L1613" s="151" t="s">
        <v>9021</v>
      </c>
    </row>
    <row r="1614" spans="8:12" x14ac:dyDescent="0.25">
      <c r="H1614" s="151" t="s">
        <v>4181</v>
      </c>
      <c r="I1614" s="151" t="s">
        <v>6962</v>
      </c>
      <c r="J1614" s="151" t="s">
        <v>6962</v>
      </c>
      <c r="K1614" s="151">
        <f t="shared" si="55"/>
        <v>0</v>
      </c>
      <c r="L1614" s="151" t="s">
        <v>9021</v>
      </c>
    </row>
    <row r="1615" spans="8:12" x14ac:dyDescent="0.25">
      <c r="H1615" s="151" t="s">
        <v>4181</v>
      </c>
      <c r="I1615" s="151" t="s">
        <v>391</v>
      </c>
      <c r="J1615" s="151" t="s">
        <v>7299</v>
      </c>
      <c r="K1615" s="151">
        <f t="shared" si="55"/>
        <v>650000000000364</v>
      </c>
      <c r="L1615" s="151" t="s">
        <v>9021</v>
      </c>
    </row>
    <row r="1616" spans="8:12" x14ac:dyDescent="0.25">
      <c r="H1616" s="151" t="s">
        <v>6843</v>
      </c>
      <c r="I1616" s="151" t="s">
        <v>6962</v>
      </c>
      <c r="J1616" s="151" t="s">
        <v>6962</v>
      </c>
      <c r="K1616" s="151">
        <f t="shared" si="55"/>
        <v>0</v>
      </c>
      <c r="L1616" s="151" t="s">
        <v>9021</v>
      </c>
    </row>
    <row r="1617" spans="8:12" x14ac:dyDescent="0.25">
      <c r="H1617" s="151" t="s">
        <v>4182</v>
      </c>
      <c r="I1617" s="151" t="s">
        <v>6962</v>
      </c>
      <c r="J1617" s="151" t="s">
        <v>6962</v>
      </c>
      <c r="K1617" s="151">
        <f t="shared" si="55"/>
        <v>0</v>
      </c>
      <c r="L1617" s="151" t="s">
        <v>9021</v>
      </c>
    </row>
    <row r="1618" spans="8:12" x14ac:dyDescent="0.25">
      <c r="H1618" s="151" t="s">
        <v>4182</v>
      </c>
      <c r="I1618" s="151" t="s">
        <v>391</v>
      </c>
      <c r="J1618" s="151" t="s">
        <v>7300</v>
      </c>
      <c r="K1618" s="151">
        <f t="shared" si="55"/>
        <v>650000000000365</v>
      </c>
      <c r="L1618" s="151" t="s">
        <v>9021</v>
      </c>
    </row>
    <row r="1619" spans="8:12" x14ac:dyDescent="0.25">
      <c r="H1619" s="151" t="s">
        <v>4183</v>
      </c>
      <c r="I1619" s="151" t="s">
        <v>6962</v>
      </c>
      <c r="J1619" s="151" t="s">
        <v>6962</v>
      </c>
      <c r="K1619" s="151">
        <f t="shared" si="55"/>
        <v>0</v>
      </c>
      <c r="L1619" s="151" t="s">
        <v>9021</v>
      </c>
    </row>
    <row r="1620" spans="8:12" x14ac:dyDescent="0.25">
      <c r="H1620" s="151" t="s">
        <v>4183</v>
      </c>
      <c r="I1620" s="151" t="s">
        <v>391</v>
      </c>
      <c r="J1620" s="151" t="s">
        <v>7301</v>
      </c>
      <c r="K1620" s="151">
        <f t="shared" si="55"/>
        <v>650000000000366</v>
      </c>
      <c r="L1620" s="151" t="s">
        <v>9021</v>
      </c>
    </row>
    <row r="1621" spans="8:12" x14ac:dyDescent="0.25">
      <c r="H1621" s="151" t="s">
        <v>4184</v>
      </c>
      <c r="I1621" s="151" t="s">
        <v>6962</v>
      </c>
      <c r="J1621" s="151" t="s">
        <v>6962</v>
      </c>
      <c r="K1621" s="151">
        <f t="shared" si="55"/>
        <v>0</v>
      </c>
      <c r="L1621" s="151" t="s">
        <v>9022</v>
      </c>
    </row>
    <row r="1622" spans="8:12" x14ac:dyDescent="0.25">
      <c r="H1622" s="151" t="s">
        <v>4184</v>
      </c>
      <c r="I1622" s="151" t="s">
        <v>391</v>
      </c>
      <c r="J1622" s="151" t="s">
        <v>7302</v>
      </c>
      <c r="K1622" s="151">
        <f t="shared" si="55"/>
        <v>650000000000367</v>
      </c>
      <c r="L1622" s="151" t="s">
        <v>9022</v>
      </c>
    </row>
    <row r="1623" spans="8:12" x14ac:dyDescent="0.25">
      <c r="H1623" s="151" t="s">
        <v>4185</v>
      </c>
      <c r="I1623" s="151" t="s">
        <v>6962</v>
      </c>
      <c r="J1623" s="151" t="s">
        <v>6962</v>
      </c>
      <c r="K1623" s="151">
        <f t="shared" si="55"/>
        <v>0</v>
      </c>
      <c r="L1623" s="151" t="s">
        <v>9021</v>
      </c>
    </row>
    <row r="1624" spans="8:12" x14ac:dyDescent="0.25">
      <c r="H1624" s="151" t="s">
        <v>4185</v>
      </c>
      <c r="I1624" s="151" t="s">
        <v>391</v>
      </c>
      <c r="J1624" s="151" t="s">
        <v>7303</v>
      </c>
      <c r="K1624" s="151">
        <f t="shared" si="55"/>
        <v>650000000001545</v>
      </c>
      <c r="L1624" s="151" t="s">
        <v>9021</v>
      </c>
    </row>
    <row r="1625" spans="8:12" x14ac:dyDescent="0.25">
      <c r="H1625" s="151" t="s">
        <v>4186</v>
      </c>
      <c r="I1625" s="151" t="s">
        <v>6962</v>
      </c>
      <c r="J1625" s="151" t="s">
        <v>6962</v>
      </c>
      <c r="K1625" s="151">
        <f t="shared" si="55"/>
        <v>0</v>
      </c>
      <c r="L1625" s="151" t="s">
        <v>9021</v>
      </c>
    </row>
    <row r="1626" spans="8:12" x14ac:dyDescent="0.25">
      <c r="H1626" s="151" t="s">
        <v>4186</v>
      </c>
      <c r="I1626" s="151" t="s">
        <v>391</v>
      </c>
      <c r="J1626" s="151" t="s">
        <v>7304</v>
      </c>
      <c r="K1626" s="151">
        <f t="shared" si="55"/>
        <v>650000000001546</v>
      </c>
      <c r="L1626" s="151" t="s">
        <v>9021</v>
      </c>
    </row>
    <row r="1627" spans="8:12" x14ac:dyDescent="0.25">
      <c r="H1627" s="151" t="s">
        <v>4187</v>
      </c>
      <c r="I1627" s="151" t="s">
        <v>6962</v>
      </c>
      <c r="J1627" s="151" t="s">
        <v>6962</v>
      </c>
      <c r="K1627" s="151">
        <f t="shared" si="55"/>
        <v>0</v>
      </c>
      <c r="L1627" s="151" t="s">
        <v>9021</v>
      </c>
    </row>
    <row r="1628" spans="8:12" x14ac:dyDescent="0.25">
      <c r="H1628" s="151" t="s">
        <v>4187</v>
      </c>
      <c r="I1628" s="151" t="s">
        <v>391</v>
      </c>
      <c r="J1628" s="151" t="s">
        <v>7305</v>
      </c>
      <c r="K1628" s="151">
        <f t="shared" si="55"/>
        <v>650000000001547</v>
      </c>
      <c r="L1628" s="151" t="s">
        <v>9021</v>
      </c>
    </row>
    <row r="1629" spans="8:12" x14ac:dyDescent="0.25">
      <c r="H1629" s="151" t="s">
        <v>4188</v>
      </c>
      <c r="I1629" s="151" t="s">
        <v>6962</v>
      </c>
      <c r="J1629" s="151" t="s">
        <v>6962</v>
      </c>
      <c r="K1629" s="151">
        <f t="shared" si="55"/>
        <v>0</v>
      </c>
      <c r="L1629" s="151" t="s">
        <v>9021</v>
      </c>
    </row>
    <row r="1630" spans="8:12" x14ac:dyDescent="0.25">
      <c r="H1630" s="151" t="s">
        <v>4188</v>
      </c>
      <c r="I1630" s="151" t="s">
        <v>391</v>
      </c>
      <c r="J1630" s="151" t="s">
        <v>7306</v>
      </c>
      <c r="K1630" s="151">
        <f t="shared" si="55"/>
        <v>650000000001548</v>
      </c>
      <c r="L1630" s="151" t="s">
        <v>9021</v>
      </c>
    </row>
    <row r="1631" spans="8:12" x14ac:dyDescent="0.25">
      <c r="H1631" s="151" t="s">
        <v>4189</v>
      </c>
      <c r="I1631" s="151" t="s">
        <v>6962</v>
      </c>
      <c r="J1631" s="151" t="s">
        <v>6962</v>
      </c>
      <c r="K1631" s="151">
        <f t="shared" si="55"/>
        <v>0</v>
      </c>
      <c r="L1631" s="151" t="s">
        <v>9021</v>
      </c>
    </row>
    <row r="1632" spans="8:12" x14ac:dyDescent="0.25">
      <c r="H1632" s="151" t="s">
        <v>4189</v>
      </c>
      <c r="I1632" s="151" t="s">
        <v>391</v>
      </c>
      <c r="J1632" s="151" t="s">
        <v>7307</v>
      </c>
      <c r="K1632" s="151">
        <f t="shared" si="55"/>
        <v>650000000000368</v>
      </c>
      <c r="L1632" s="151" t="s">
        <v>9021</v>
      </c>
    </row>
    <row r="1633" spans="8:12" x14ac:dyDescent="0.25">
      <c r="H1633" s="151" t="s">
        <v>4190</v>
      </c>
      <c r="I1633" s="151" t="s">
        <v>6962</v>
      </c>
      <c r="J1633" s="151" t="s">
        <v>6962</v>
      </c>
      <c r="K1633" s="151">
        <f t="shared" si="55"/>
        <v>0</v>
      </c>
      <c r="L1633" s="151" t="s">
        <v>9021</v>
      </c>
    </row>
    <row r="1634" spans="8:12" x14ac:dyDescent="0.25">
      <c r="H1634" s="151" t="s">
        <v>4190</v>
      </c>
      <c r="I1634" s="151" t="s">
        <v>391</v>
      </c>
      <c r="J1634" s="151" t="s">
        <v>7308</v>
      </c>
      <c r="K1634" s="151">
        <f t="shared" si="55"/>
        <v>650000000001549</v>
      </c>
      <c r="L1634" s="151" t="s">
        <v>9021</v>
      </c>
    </row>
    <row r="1635" spans="8:12" x14ac:dyDescent="0.25">
      <c r="H1635" s="151" t="s">
        <v>4191</v>
      </c>
      <c r="I1635" s="151" t="s">
        <v>6962</v>
      </c>
      <c r="J1635" s="151" t="s">
        <v>6962</v>
      </c>
      <c r="K1635" s="151">
        <f t="shared" si="55"/>
        <v>0</v>
      </c>
      <c r="L1635" s="151" t="s">
        <v>9021</v>
      </c>
    </row>
    <row r="1636" spans="8:12" x14ac:dyDescent="0.25">
      <c r="H1636" s="151" t="s">
        <v>4191</v>
      </c>
      <c r="I1636" s="151" t="s">
        <v>391</v>
      </c>
      <c r="J1636" s="151" t="s">
        <v>7309</v>
      </c>
      <c r="K1636" s="151">
        <f t="shared" si="55"/>
        <v>650000000001550</v>
      </c>
      <c r="L1636" s="151" t="s">
        <v>9021</v>
      </c>
    </row>
    <row r="1637" spans="8:12" x14ac:dyDescent="0.25">
      <c r="H1637" s="151" t="s">
        <v>4192</v>
      </c>
      <c r="I1637" s="151" t="s">
        <v>6962</v>
      </c>
      <c r="J1637" s="151" t="s">
        <v>6962</v>
      </c>
      <c r="K1637" s="151">
        <f t="shared" si="55"/>
        <v>0</v>
      </c>
      <c r="L1637" s="151" t="s">
        <v>9021</v>
      </c>
    </row>
    <row r="1638" spans="8:12" x14ac:dyDescent="0.25">
      <c r="H1638" s="151" t="s">
        <v>4192</v>
      </c>
      <c r="I1638" s="151" t="s">
        <v>391</v>
      </c>
      <c r="J1638" s="151" t="s">
        <v>7310</v>
      </c>
      <c r="K1638" s="151">
        <f t="shared" si="55"/>
        <v>650000000001551</v>
      </c>
      <c r="L1638" s="151" t="s">
        <v>9021</v>
      </c>
    </row>
    <row r="1639" spans="8:12" x14ac:dyDescent="0.25">
      <c r="H1639" s="151" t="s">
        <v>4193</v>
      </c>
      <c r="I1639" s="151" t="s">
        <v>6962</v>
      </c>
      <c r="J1639" s="151" t="s">
        <v>6962</v>
      </c>
      <c r="K1639" s="151">
        <f t="shared" si="55"/>
        <v>0</v>
      </c>
      <c r="L1639" s="151" t="s">
        <v>9021</v>
      </c>
    </row>
    <row r="1640" spans="8:12" x14ac:dyDescent="0.25">
      <c r="H1640" s="151" t="s">
        <v>4193</v>
      </c>
      <c r="I1640" s="151" t="s">
        <v>391</v>
      </c>
      <c r="J1640" s="151" t="s">
        <v>7311</v>
      </c>
      <c r="K1640" s="151">
        <f t="shared" si="55"/>
        <v>650000000001552</v>
      </c>
      <c r="L1640" s="151" t="s">
        <v>9021</v>
      </c>
    </row>
    <row r="1641" spans="8:12" x14ac:dyDescent="0.25">
      <c r="H1641" s="151" t="s">
        <v>4194</v>
      </c>
      <c r="I1641" s="151" t="s">
        <v>6962</v>
      </c>
      <c r="J1641" s="151" t="s">
        <v>6962</v>
      </c>
      <c r="K1641" s="151">
        <f t="shared" si="55"/>
        <v>0</v>
      </c>
      <c r="L1641" s="151" t="s">
        <v>9021</v>
      </c>
    </row>
    <row r="1642" spans="8:12" x14ac:dyDescent="0.25">
      <c r="H1642" s="151" t="s">
        <v>4194</v>
      </c>
      <c r="I1642" s="151" t="s">
        <v>391</v>
      </c>
      <c r="J1642" s="151" t="s">
        <v>7312</v>
      </c>
      <c r="K1642" s="151">
        <f t="shared" si="55"/>
        <v>650000000000369</v>
      </c>
      <c r="L1642" s="151" t="s">
        <v>9021</v>
      </c>
    </row>
    <row r="1643" spans="8:12" x14ac:dyDescent="0.25">
      <c r="H1643" s="151" t="s">
        <v>4195</v>
      </c>
      <c r="I1643" s="151" t="s">
        <v>6962</v>
      </c>
      <c r="J1643" s="151" t="s">
        <v>6962</v>
      </c>
      <c r="K1643" s="151">
        <f t="shared" si="55"/>
        <v>0</v>
      </c>
      <c r="L1643" s="151" t="s">
        <v>9021</v>
      </c>
    </row>
    <row r="1644" spans="8:12" x14ac:dyDescent="0.25">
      <c r="H1644" s="151" t="s">
        <v>4195</v>
      </c>
      <c r="I1644" s="151" t="s">
        <v>391</v>
      </c>
      <c r="J1644" s="151" t="s">
        <v>7313</v>
      </c>
      <c r="K1644" s="151">
        <f t="shared" si="55"/>
        <v>650000000000370</v>
      </c>
      <c r="L1644" s="151" t="s">
        <v>9021</v>
      </c>
    </row>
    <row r="1645" spans="8:12" x14ac:dyDescent="0.25">
      <c r="H1645" s="151" t="s">
        <v>4196</v>
      </c>
      <c r="I1645" s="151" t="s">
        <v>6962</v>
      </c>
      <c r="J1645" s="151" t="s">
        <v>6962</v>
      </c>
      <c r="K1645" s="151">
        <f t="shared" si="55"/>
        <v>0</v>
      </c>
      <c r="L1645" s="151" t="s">
        <v>9021</v>
      </c>
    </row>
    <row r="1646" spans="8:12" x14ac:dyDescent="0.25">
      <c r="H1646" s="151" t="s">
        <v>4196</v>
      </c>
      <c r="I1646" s="151" t="s">
        <v>391</v>
      </c>
      <c r="J1646" s="151" t="s">
        <v>7314</v>
      </c>
      <c r="K1646" s="151">
        <f t="shared" si="55"/>
        <v>650000000000371</v>
      </c>
      <c r="L1646" s="151" t="s">
        <v>9021</v>
      </c>
    </row>
    <row r="1647" spans="8:12" x14ac:dyDescent="0.25">
      <c r="H1647" s="151" t="s">
        <v>4197</v>
      </c>
      <c r="I1647" s="151" t="s">
        <v>6962</v>
      </c>
      <c r="J1647" s="151" t="s">
        <v>6962</v>
      </c>
      <c r="K1647" s="151">
        <f t="shared" si="55"/>
        <v>0</v>
      </c>
      <c r="L1647" s="151" t="s">
        <v>9021</v>
      </c>
    </row>
    <row r="1648" spans="8:12" x14ac:dyDescent="0.25">
      <c r="H1648" s="151" t="s">
        <v>4197</v>
      </c>
      <c r="I1648" s="151" t="s">
        <v>391</v>
      </c>
      <c r="J1648" s="151" t="s">
        <v>7315</v>
      </c>
      <c r="K1648" s="151">
        <f t="shared" si="55"/>
        <v>650000000001553</v>
      </c>
      <c r="L1648" s="151" t="s">
        <v>9021</v>
      </c>
    </row>
    <row r="1649" spans="8:12" x14ac:dyDescent="0.25">
      <c r="H1649" s="151" t="s">
        <v>6844</v>
      </c>
      <c r="I1649" s="151" t="s">
        <v>6962</v>
      </c>
      <c r="J1649" s="151" t="s">
        <v>6962</v>
      </c>
      <c r="K1649" s="151">
        <f t="shared" si="55"/>
        <v>0</v>
      </c>
      <c r="L1649" s="151" t="s">
        <v>9021</v>
      </c>
    </row>
    <row r="1650" spans="8:12" x14ac:dyDescent="0.25">
      <c r="H1650" s="151" t="s">
        <v>4198</v>
      </c>
      <c r="I1650" s="151" t="s">
        <v>6962</v>
      </c>
      <c r="J1650" s="151" t="s">
        <v>6962</v>
      </c>
      <c r="K1650" s="151">
        <f t="shared" si="55"/>
        <v>0</v>
      </c>
      <c r="L1650" s="151" t="s">
        <v>9021</v>
      </c>
    </row>
    <row r="1651" spans="8:12" x14ac:dyDescent="0.25">
      <c r="H1651" s="151" t="s">
        <v>4198</v>
      </c>
      <c r="I1651" s="151" t="s">
        <v>391</v>
      </c>
      <c r="J1651" s="151" t="s">
        <v>7316</v>
      </c>
      <c r="K1651" s="151">
        <f t="shared" si="55"/>
        <v>650000000000372</v>
      </c>
      <c r="L1651" s="151" t="s">
        <v>9021</v>
      </c>
    </row>
    <row r="1652" spans="8:12" x14ac:dyDescent="0.25">
      <c r="H1652" s="151" t="s">
        <v>4199</v>
      </c>
      <c r="I1652" s="151" t="s">
        <v>6962</v>
      </c>
      <c r="J1652" s="151" t="s">
        <v>6962</v>
      </c>
      <c r="K1652" s="151">
        <f t="shared" si="55"/>
        <v>0</v>
      </c>
      <c r="L1652" s="151" t="s">
        <v>9021</v>
      </c>
    </row>
    <row r="1653" spans="8:12" x14ac:dyDescent="0.25">
      <c r="H1653" s="151" t="s">
        <v>4199</v>
      </c>
      <c r="I1653" s="151" t="s">
        <v>391</v>
      </c>
      <c r="J1653" s="151" t="s">
        <v>7317</v>
      </c>
      <c r="K1653" s="151">
        <f t="shared" si="55"/>
        <v>650000000001554</v>
      </c>
      <c r="L1653" s="151" t="s">
        <v>9021</v>
      </c>
    </row>
    <row r="1654" spans="8:12" x14ac:dyDescent="0.25">
      <c r="H1654" s="151" t="s">
        <v>4200</v>
      </c>
      <c r="I1654" s="151" t="s">
        <v>6962</v>
      </c>
      <c r="J1654" s="151" t="s">
        <v>6962</v>
      </c>
      <c r="K1654" s="151">
        <f t="shared" si="55"/>
        <v>0</v>
      </c>
      <c r="L1654" s="151" t="s">
        <v>9021</v>
      </c>
    </row>
    <row r="1655" spans="8:12" x14ac:dyDescent="0.25">
      <c r="H1655" s="151" t="s">
        <v>4200</v>
      </c>
      <c r="I1655" s="151" t="s">
        <v>391</v>
      </c>
      <c r="J1655" s="151" t="s">
        <v>7318</v>
      </c>
      <c r="K1655" s="151">
        <f t="shared" si="55"/>
        <v>650000000000373</v>
      </c>
      <c r="L1655" s="151" t="s">
        <v>9021</v>
      </c>
    </row>
    <row r="1656" spans="8:12" x14ac:dyDescent="0.25">
      <c r="H1656" s="151" t="s">
        <v>4201</v>
      </c>
      <c r="I1656" s="151" t="s">
        <v>6962</v>
      </c>
      <c r="J1656" s="151" t="s">
        <v>6962</v>
      </c>
      <c r="K1656" s="151">
        <f t="shared" si="55"/>
        <v>0</v>
      </c>
      <c r="L1656" s="151" t="s">
        <v>9021</v>
      </c>
    </row>
    <row r="1657" spans="8:12" x14ac:dyDescent="0.25">
      <c r="H1657" s="151" t="s">
        <v>4201</v>
      </c>
      <c r="I1657" s="151" t="s">
        <v>391</v>
      </c>
      <c r="J1657" s="151" t="s">
        <v>7319</v>
      </c>
      <c r="K1657" s="151">
        <f t="shared" si="55"/>
        <v>650000000000374</v>
      </c>
      <c r="L1657" s="151" t="s">
        <v>9021</v>
      </c>
    </row>
    <row r="1658" spans="8:12" x14ac:dyDescent="0.25">
      <c r="H1658" s="151" t="s">
        <v>4202</v>
      </c>
      <c r="I1658" s="151" t="s">
        <v>6962</v>
      </c>
      <c r="J1658" s="151" t="s">
        <v>6962</v>
      </c>
      <c r="K1658" s="151">
        <f t="shared" si="55"/>
        <v>0</v>
      </c>
      <c r="L1658" s="151" t="s">
        <v>9021</v>
      </c>
    </row>
    <row r="1659" spans="8:12" x14ac:dyDescent="0.25">
      <c r="H1659" s="151" t="s">
        <v>4202</v>
      </c>
      <c r="I1659" s="151" t="s">
        <v>391</v>
      </c>
      <c r="J1659" s="151" t="s">
        <v>7320</v>
      </c>
      <c r="K1659" s="151">
        <f t="shared" si="55"/>
        <v>650000000000375</v>
      </c>
      <c r="L1659" s="151" t="s">
        <v>9021</v>
      </c>
    </row>
    <row r="1660" spans="8:12" x14ac:dyDescent="0.25">
      <c r="H1660" s="151" t="s">
        <v>4203</v>
      </c>
      <c r="I1660" s="151" t="s">
        <v>6962</v>
      </c>
      <c r="J1660" s="151" t="s">
        <v>6962</v>
      </c>
      <c r="K1660" s="151">
        <f t="shared" si="55"/>
        <v>0</v>
      </c>
      <c r="L1660" s="151" t="s">
        <v>9021</v>
      </c>
    </row>
    <row r="1661" spans="8:12" x14ac:dyDescent="0.25">
      <c r="H1661" s="151" t="s">
        <v>4203</v>
      </c>
      <c r="I1661" s="151" t="s">
        <v>391</v>
      </c>
      <c r="J1661" s="151" t="s">
        <v>7321</v>
      </c>
      <c r="K1661" s="151">
        <f t="shared" si="55"/>
        <v>650000000000376</v>
      </c>
      <c r="L1661" s="151" t="s">
        <v>9021</v>
      </c>
    </row>
    <row r="1662" spans="8:12" x14ac:dyDescent="0.25">
      <c r="H1662" s="151" t="s">
        <v>4204</v>
      </c>
      <c r="I1662" s="151" t="s">
        <v>6962</v>
      </c>
      <c r="J1662" s="151" t="s">
        <v>6962</v>
      </c>
      <c r="K1662" s="151">
        <f t="shared" si="55"/>
        <v>0</v>
      </c>
      <c r="L1662" s="151" t="s">
        <v>9021</v>
      </c>
    </row>
    <row r="1663" spans="8:12" x14ac:dyDescent="0.25">
      <c r="H1663" s="151" t="s">
        <v>4204</v>
      </c>
      <c r="I1663" s="151" t="s">
        <v>391</v>
      </c>
      <c r="J1663" s="151" t="s">
        <v>7322</v>
      </c>
      <c r="K1663" s="151">
        <f t="shared" si="55"/>
        <v>650000000000377</v>
      </c>
      <c r="L1663" s="151" t="s">
        <v>9021</v>
      </c>
    </row>
    <row r="1664" spans="8:12" x14ac:dyDescent="0.25">
      <c r="H1664" s="151" t="s">
        <v>4205</v>
      </c>
      <c r="I1664" s="151" t="s">
        <v>6962</v>
      </c>
      <c r="J1664" s="151" t="s">
        <v>6962</v>
      </c>
      <c r="K1664" s="151">
        <f t="shared" si="55"/>
        <v>0</v>
      </c>
      <c r="L1664" s="151" t="s">
        <v>9021</v>
      </c>
    </row>
    <row r="1665" spans="8:12" x14ac:dyDescent="0.25">
      <c r="H1665" s="151" t="s">
        <v>4205</v>
      </c>
      <c r="I1665" s="151" t="s">
        <v>391</v>
      </c>
      <c r="J1665" s="151" t="s">
        <v>7323</v>
      </c>
      <c r="K1665" s="151">
        <f t="shared" si="55"/>
        <v>650000000001555</v>
      </c>
      <c r="L1665" s="151" t="s">
        <v>9021</v>
      </c>
    </row>
    <row r="1666" spans="8:12" x14ac:dyDescent="0.25">
      <c r="H1666" s="151" t="s">
        <v>4206</v>
      </c>
      <c r="I1666" s="151" t="s">
        <v>6962</v>
      </c>
      <c r="J1666" s="151" t="s">
        <v>6962</v>
      </c>
      <c r="K1666" s="151">
        <f t="shared" si="55"/>
        <v>0</v>
      </c>
      <c r="L1666" s="151" t="s">
        <v>9021</v>
      </c>
    </row>
    <row r="1667" spans="8:12" x14ac:dyDescent="0.25">
      <c r="H1667" s="151" t="s">
        <v>4206</v>
      </c>
      <c r="I1667" s="151" t="s">
        <v>391</v>
      </c>
      <c r="J1667" s="151" t="s">
        <v>7324</v>
      </c>
      <c r="K1667" s="151">
        <f t="shared" ref="K1667:K1730" si="56">+IFERROR(J1667*1,0)</f>
        <v>650000000001556</v>
      </c>
      <c r="L1667" s="151" t="s">
        <v>9021</v>
      </c>
    </row>
    <row r="1668" spans="8:12" x14ac:dyDescent="0.25">
      <c r="H1668" s="151" t="s">
        <v>4207</v>
      </c>
      <c r="I1668" s="151" t="s">
        <v>6962</v>
      </c>
      <c r="J1668" s="151" t="s">
        <v>6962</v>
      </c>
      <c r="K1668" s="151">
        <f t="shared" si="56"/>
        <v>0</v>
      </c>
      <c r="L1668" s="151" t="s">
        <v>9021</v>
      </c>
    </row>
    <row r="1669" spans="8:12" x14ac:dyDescent="0.25">
      <c r="H1669" s="151" t="s">
        <v>4207</v>
      </c>
      <c r="I1669" s="151" t="s">
        <v>391</v>
      </c>
      <c r="J1669" s="151" t="s">
        <v>7325</v>
      </c>
      <c r="K1669" s="151">
        <f t="shared" si="56"/>
        <v>650000000000378</v>
      </c>
      <c r="L1669" s="151" t="s">
        <v>9021</v>
      </c>
    </row>
    <row r="1670" spans="8:12" x14ac:dyDescent="0.25">
      <c r="H1670" s="151" t="s">
        <v>6845</v>
      </c>
      <c r="I1670" s="151" t="s">
        <v>6962</v>
      </c>
      <c r="J1670" s="151" t="s">
        <v>6962</v>
      </c>
      <c r="K1670" s="151">
        <f t="shared" si="56"/>
        <v>0</v>
      </c>
      <c r="L1670" s="151" t="s">
        <v>9021</v>
      </c>
    </row>
    <row r="1671" spans="8:12" x14ac:dyDescent="0.25">
      <c r="H1671" s="151" t="s">
        <v>4208</v>
      </c>
      <c r="I1671" s="151" t="s">
        <v>6962</v>
      </c>
      <c r="J1671" s="151" t="s">
        <v>6962</v>
      </c>
      <c r="K1671" s="151">
        <f t="shared" si="56"/>
        <v>0</v>
      </c>
      <c r="L1671" s="151" t="s">
        <v>9021</v>
      </c>
    </row>
    <row r="1672" spans="8:12" x14ac:dyDescent="0.25">
      <c r="H1672" s="151" t="s">
        <v>4208</v>
      </c>
      <c r="I1672" s="151" t="s">
        <v>391</v>
      </c>
      <c r="J1672" s="151" t="s">
        <v>7326</v>
      </c>
      <c r="K1672" s="151">
        <f t="shared" si="56"/>
        <v>650000000001557</v>
      </c>
      <c r="L1672" s="151" t="s">
        <v>9021</v>
      </c>
    </row>
    <row r="1673" spans="8:12" x14ac:dyDescent="0.25">
      <c r="H1673" s="151" t="s">
        <v>4209</v>
      </c>
      <c r="I1673" s="151" t="s">
        <v>6962</v>
      </c>
      <c r="J1673" s="151" t="s">
        <v>6962</v>
      </c>
      <c r="K1673" s="151">
        <f t="shared" si="56"/>
        <v>0</v>
      </c>
      <c r="L1673" s="151" t="s">
        <v>9021</v>
      </c>
    </row>
    <row r="1674" spans="8:12" x14ac:dyDescent="0.25">
      <c r="H1674" s="151" t="s">
        <v>4209</v>
      </c>
      <c r="I1674" s="151" t="s">
        <v>391</v>
      </c>
      <c r="J1674" s="151" t="s">
        <v>7327</v>
      </c>
      <c r="K1674" s="151">
        <f t="shared" si="56"/>
        <v>650000000000379</v>
      </c>
      <c r="L1674" s="151" t="s">
        <v>9021</v>
      </c>
    </row>
    <row r="1675" spans="8:12" x14ac:dyDescent="0.25">
      <c r="H1675" s="151" t="s">
        <v>4210</v>
      </c>
      <c r="I1675" s="151" t="s">
        <v>6962</v>
      </c>
      <c r="J1675" s="151" t="s">
        <v>6962</v>
      </c>
      <c r="K1675" s="151">
        <f t="shared" si="56"/>
        <v>0</v>
      </c>
      <c r="L1675" s="151" t="s">
        <v>9021</v>
      </c>
    </row>
    <row r="1676" spans="8:12" x14ac:dyDescent="0.25">
      <c r="H1676" s="151" t="s">
        <v>4210</v>
      </c>
      <c r="I1676" s="151" t="s">
        <v>391</v>
      </c>
      <c r="J1676" s="151" t="s">
        <v>7328</v>
      </c>
      <c r="K1676" s="151">
        <f t="shared" si="56"/>
        <v>650000000001558</v>
      </c>
      <c r="L1676" s="151" t="s">
        <v>9021</v>
      </c>
    </row>
    <row r="1677" spans="8:12" x14ac:dyDescent="0.25">
      <c r="H1677" s="151" t="s">
        <v>6846</v>
      </c>
      <c r="I1677" s="151" t="s">
        <v>6962</v>
      </c>
      <c r="J1677" s="151" t="s">
        <v>6962</v>
      </c>
      <c r="K1677" s="151">
        <f t="shared" si="56"/>
        <v>0</v>
      </c>
      <c r="L1677" s="151" t="s">
        <v>9021</v>
      </c>
    </row>
    <row r="1678" spans="8:12" x14ac:dyDescent="0.25">
      <c r="H1678" s="151" t="s">
        <v>4211</v>
      </c>
      <c r="I1678" s="151" t="s">
        <v>6962</v>
      </c>
      <c r="J1678" s="151" t="s">
        <v>6962</v>
      </c>
      <c r="K1678" s="151">
        <f t="shared" si="56"/>
        <v>0</v>
      </c>
      <c r="L1678" s="151" t="s">
        <v>9021</v>
      </c>
    </row>
    <row r="1679" spans="8:12" x14ac:dyDescent="0.25">
      <c r="H1679" s="151" t="s">
        <v>4211</v>
      </c>
      <c r="I1679" s="151" t="s">
        <v>391</v>
      </c>
      <c r="J1679" s="151" t="s">
        <v>7329</v>
      </c>
      <c r="K1679" s="151">
        <f t="shared" si="56"/>
        <v>650000000001559</v>
      </c>
      <c r="L1679" s="151" t="s">
        <v>9021</v>
      </c>
    </row>
    <row r="1680" spans="8:12" x14ac:dyDescent="0.25">
      <c r="H1680" s="151" t="s">
        <v>4212</v>
      </c>
      <c r="I1680" s="151" t="s">
        <v>6962</v>
      </c>
      <c r="J1680" s="151" t="s">
        <v>6962</v>
      </c>
      <c r="K1680" s="151">
        <f t="shared" si="56"/>
        <v>0</v>
      </c>
      <c r="L1680" s="151" t="s">
        <v>9021</v>
      </c>
    </row>
    <row r="1681" spans="8:12" x14ac:dyDescent="0.25">
      <c r="H1681" s="151" t="s">
        <v>4212</v>
      </c>
      <c r="I1681" s="151" t="s">
        <v>391</v>
      </c>
      <c r="J1681" s="151" t="s">
        <v>7330</v>
      </c>
      <c r="K1681" s="151">
        <f t="shared" si="56"/>
        <v>650000000001560</v>
      </c>
      <c r="L1681" s="151" t="s">
        <v>9021</v>
      </c>
    </row>
    <row r="1682" spans="8:12" x14ac:dyDescent="0.25">
      <c r="H1682" s="151" t="s">
        <v>4213</v>
      </c>
      <c r="I1682" s="151" t="s">
        <v>6962</v>
      </c>
      <c r="J1682" s="151" t="s">
        <v>6962</v>
      </c>
      <c r="K1682" s="151">
        <f t="shared" si="56"/>
        <v>0</v>
      </c>
      <c r="L1682" s="151" t="s">
        <v>9021</v>
      </c>
    </row>
    <row r="1683" spans="8:12" x14ac:dyDescent="0.25">
      <c r="H1683" s="151" t="s">
        <v>4213</v>
      </c>
      <c r="I1683" s="151" t="s">
        <v>391</v>
      </c>
      <c r="J1683" s="151" t="s">
        <v>7331</v>
      </c>
      <c r="K1683" s="151">
        <f t="shared" si="56"/>
        <v>650000000001561</v>
      </c>
      <c r="L1683" s="151" t="s">
        <v>9021</v>
      </c>
    </row>
    <row r="1684" spans="8:12" x14ac:dyDescent="0.25">
      <c r="H1684" s="151" t="s">
        <v>6847</v>
      </c>
      <c r="I1684" s="151" t="s">
        <v>6962</v>
      </c>
      <c r="J1684" s="151" t="s">
        <v>6962</v>
      </c>
      <c r="K1684" s="151">
        <f t="shared" si="56"/>
        <v>0</v>
      </c>
      <c r="L1684" s="151" t="s">
        <v>9021</v>
      </c>
    </row>
    <row r="1685" spans="8:12" x14ac:dyDescent="0.25">
      <c r="H1685" s="151" t="s">
        <v>4214</v>
      </c>
      <c r="I1685" s="151" t="s">
        <v>6962</v>
      </c>
      <c r="J1685" s="151" t="s">
        <v>6962</v>
      </c>
      <c r="K1685" s="151">
        <f t="shared" si="56"/>
        <v>0</v>
      </c>
      <c r="L1685" s="151" t="s">
        <v>9021</v>
      </c>
    </row>
    <row r="1686" spans="8:12" x14ac:dyDescent="0.25">
      <c r="H1686" s="151" t="s">
        <v>4214</v>
      </c>
      <c r="I1686" s="151" t="s">
        <v>391</v>
      </c>
      <c r="J1686" s="151" t="s">
        <v>7332</v>
      </c>
      <c r="K1686" s="151">
        <f t="shared" si="56"/>
        <v>650000000001562</v>
      </c>
      <c r="L1686" s="151" t="s">
        <v>9021</v>
      </c>
    </row>
    <row r="1687" spans="8:12" x14ac:dyDescent="0.25">
      <c r="H1687" s="151" t="s">
        <v>4215</v>
      </c>
      <c r="I1687" s="151" t="s">
        <v>6962</v>
      </c>
      <c r="J1687" s="151" t="s">
        <v>6962</v>
      </c>
      <c r="K1687" s="151">
        <f t="shared" si="56"/>
        <v>0</v>
      </c>
      <c r="L1687" s="151" t="s">
        <v>9021</v>
      </c>
    </row>
    <row r="1688" spans="8:12" x14ac:dyDescent="0.25">
      <c r="H1688" s="151" t="s">
        <v>4215</v>
      </c>
      <c r="I1688" s="151" t="s">
        <v>391</v>
      </c>
      <c r="J1688" s="151" t="s">
        <v>7333</v>
      </c>
      <c r="K1688" s="151">
        <f t="shared" si="56"/>
        <v>650000000001563</v>
      </c>
      <c r="L1688" s="151" t="s">
        <v>9021</v>
      </c>
    </row>
    <row r="1689" spans="8:12" x14ac:dyDescent="0.25">
      <c r="H1689" s="151" t="s">
        <v>4216</v>
      </c>
      <c r="I1689" s="151" t="s">
        <v>6962</v>
      </c>
      <c r="J1689" s="151" t="s">
        <v>6962</v>
      </c>
      <c r="K1689" s="151">
        <f t="shared" si="56"/>
        <v>0</v>
      </c>
      <c r="L1689" s="151" t="s">
        <v>9021</v>
      </c>
    </row>
    <row r="1690" spans="8:12" x14ac:dyDescent="0.25">
      <c r="H1690" s="151" t="s">
        <v>4216</v>
      </c>
      <c r="I1690" s="151" t="s">
        <v>391</v>
      </c>
      <c r="J1690" s="151" t="s">
        <v>7334</v>
      </c>
      <c r="K1690" s="151">
        <f t="shared" si="56"/>
        <v>650000000001564</v>
      </c>
      <c r="L1690" s="151" t="s">
        <v>9021</v>
      </c>
    </row>
    <row r="1691" spans="8:12" x14ac:dyDescent="0.25">
      <c r="H1691" s="151" t="s">
        <v>4217</v>
      </c>
      <c r="I1691" s="151" t="s">
        <v>6962</v>
      </c>
      <c r="J1691" s="151" t="s">
        <v>6962</v>
      </c>
      <c r="K1691" s="151">
        <f t="shared" si="56"/>
        <v>0</v>
      </c>
      <c r="L1691" s="151" t="s">
        <v>9021</v>
      </c>
    </row>
    <row r="1692" spans="8:12" x14ac:dyDescent="0.25">
      <c r="H1692" s="151" t="s">
        <v>4217</v>
      </c>
      <c r="I1692" s="151" t="s">
        <v>391</v>
      </c>
      <c r="J1692" s="151" t="s">
        <v>7335</v>
      </c>
      <c r="K1692" s="151">
        <f t="shared" si="56"/>
        <v>650000000000380</v>
      </c>
      <c r="L1692" s="151" t="s">
        <v>9021</v>
      </c>
    </row>
    <row r="1693" spans="8:12" x14ac:dyDescent="0.25">
      <c r="H1693" s="151" t="s">
        <v>4218</v>
      </c>
      <c r="I1693" s="151" t="s">
        <v>6962</v>
      </c>
      <c r="J1693" s="151" t="s">
        <v>6962</v>
      </c>
      <c r="K1693" s="151">
        <f t="shared" si="56"/>
        <v>0</v>
      </c>
      <c r="L1693" s="151" t="s">
        <v>9021</v>
      </c>
    </row>
    <row r="1694" spans="8:12" x14ac:dyDescent="0.25">
      <c r="H1694" s="151" t="s">
        <v>4218</v>
      </c>
      <c r="I1694" s="151" t="s">
        <v>391</v>
      </c>
      <c r="J1694" s="151" t="s">
        <v>7336</v>
      </c>
      <c r="K1694" s="151">
        <f t="shared" si="56"/>
        <v>650000000001565</v>
      </c>
      <c r="L1694" s="151" t="s">
        <v>9021</v>
      </c>
    </row>
    <row r="1695" spans="8:12" x14ac:dyDescent="0.25">
      <c r="H1695" s="151" t="s">
        <v>4219</v>
      </c>
      <c r="I1695" s="151" t="s">
        <v>6962</v>
      </c>
      <c r="J1695" s="151" t="s">
        <v>6962</v>
      </c>
      <c r="K1695" s="151">
        <f t="shared" si="56"/>
        <v>0</v>
      </c>
      <c r="L1695" s="151" t="s">
        <v>9021</v>
      </c>
    </row>
    <row r="1696" spans="8:12" x14ac:dyDescent="0.25">
      <c r="H1696" s="151" t="s">
        <v>4219</v>
      </c>
      <c r="I1696" s="151" t="s">
        <v>391</v>
      </c>
      <c r="J1696" s="151" t="s">
        <v>7337</v>
      </c>
      <c r="K1696" s="151">
        <f t="shared" si="56"/>
        <v>650000000000381</v>
      </c>
      <c r="L1696" s="151" t="s">
        <v>9021</v>
      </c>
    </row>
    <row r="1697" spans="8:12" x14ac:dyDescent="0.25">
      <c r="H1697" s="151" t="s">
        <v>4220</v>
      </c>
      <c r="I1697" s="151" t="s">
        <v>6962</v>
      </c>
      <c r="J1697" s="151" t="s">
        <v>6962</v>
      </c>
      <c r="K1697" s="151">
        <f t="shared" si="56"/>
        <v>0</v>
      </c>
      <c r="L1697" s="151" t="s">
        <v>9021</v>
      </c>
    </row>
    <row r="1698" spans="8:12" x14ac:dyDescent="0.25">
      <c r="H1698" s="151" t="s">
        <v>4220</v>
      </c>
      <c r="I1698" s="151" t="s">
        <v>391</v>
      </c>
      <c r="J1698" s="151" t="s">
        <v>7338</v>
      </c>
      <c r="K1698" s="151">
        <f t="shared" si="56"/>
        <v>650000000001566</v>
      </c>
      <c r="L1698" s="151" t="s">
        <v>9021</v>
      </c>
    </row>
    <row r="1699" spans="8:12" x14ac:dyDescent="0.25">
      <c r="H1699" s="151" t="s">
        <v>4221</v>
      </c>
      <c r="I1699" s="151" t="s">
        <v>6962</v>
      </c>
      <c r="J1699" s="151" t="s">
        <v>6962</v>
      </c>
      <c r="K1699" s="151">
        <f t="shared" si="56"/>
        <v>0</v>
      </c>
      <c r="L1699" s="151" t="s">
        <v>9021</v>
      </c>
    </row>
    <row r="1700" spans="8:12" x14ac:dyDescent="0.25">
      <c r="H1700" s="151" t="s">
        <v>4221</v>
      </c>
      <c r="I1700" s="151" t="s">
        <v>391</v>
      </c>
      <c r="J1700" s="151" t="s">
        <v>7339</v>
      </c>
      <c r="K1700" s="151">
        <f t="shared" si="56"/>
        <v>650000000001567</v>
      </c>
      <c r="L1700" s="151" t="s">
        <v>9021</v>
      </c>
    </row>
    <row r="1701" spans="8:12" x14ac:dyDescent="0.25">
      <c r="H1701" s="151" t="s">
        <v>4222</v>
      </c>
      <c r="I1701" s="151" t="s">
        <v>6962</v>
      </c>
      <c r="J1701" s="151" t="s">
        <v>6962</v>
      </c>
      <c r="K1701" s="151">
        <f t="shared" si="56"/>
        <v>0</v>
      </c>
      <c r="L1701" s="151" t="s">
        <v>9021</v>
      </c>
    </row>
    <row r="1702" spans="8:12" x14ac:dyDescent="0.25">
      <c r="H1702" s="151" t="s">
        <v>4222</v>
      </c>
      <c r="I1702" s="151" t="s">
        <v>391</v>
      </c>
      <c r="J1702" s="151" t="s">
        <v>7340</v>
      </c>
      <c r="K1702" s="151">
        <f t="shared" si="56"/>
        <v>650000000001568</v>
      </c>
      <c r="L1702" s="151" t="s">
        <v>9021</v>
      </c>
    </row>
    <row r="1703" spans="8:12" x14ac:dyDescent="0.25">
      <c r="H1703" s="151" t="s">
        <v>4223</v>
      </c>
      <c r="I1703" s="151" t="s">
        <v>6962</v>
      </c>
      <c r="J1703" s="151" t="s">
        <v>6962</v>
      </c>
      <c r="K1703" s="151">
        <f t="shared" si="56"/>
        <v>0</v>
      </c>
      <c r="L1703" s="151" t="s">
        <v>9021</v>
      </c>
    </row>
    <row r="1704" spans="8:12" x14ac:dyDescent="0.25">
      <c r="H1704" s="151" t="s">
        <v>4223</v>
      </c>
      <c r="I1704" s="151" t="s">
        <v>391</v>
      </c>
      <c r="J1704" s="151" t="s">
        <v>7341</v>
      </c>
      <c r="K1704" s="151">
        <f t="shared" si="56"/>
        <v>650000000000382</v>
      </c>
      <c r="L1704" s="151" t="s">
        <v>9021</v>
      </c>
    </row>
    <row r="1705" spans="8:12" x14ac:dyDescent="0.25">
      <c r="H1705" s="151" t="s">
        <v>4224</v>
      </c>
      <c r="I1705" s="151" t="s">
        <v>6962</v>
      </c>
      <c r="J1705" s="151" t="s">
        <v>6962</v>
      </c>
      <c r="K1705" s="151">
        <f t="shared" si="56"/>
        <v>0</v>
      </c>
      <c r="L1705" s="151" t="s">
        <v>9021</v>
      </c>
    </row>
    <row r="1706" spans="8:12" x14ac:dyDescent="0.25">
      <c r="H1706" s="151" t="s">
        <v>4224</v>
      </c>
      <c r="I1706" s="151" t="s">
        <v>391</v>
      </c>
      <c r="J1706" s="151" t="s">
        <v>7342</v>
      </c>
      <c r="K1706" s="151">
        <f t="shared" si="56"/>
        <v>650000000000383</v>
      </c>
      <c r="L1706" s="151" t="s">
        <v>9021</v>
      </c>
    </row>
    <row r="1707" spans="8:12" x14ac:dyDescent="0.25">
      <c r="H1707" s="151" t="s">
        <v>4225</v>
      </c>
      <c r="I1707" s="151" t="s">
        <v>6962</v>
      </c>
      <c r="J1707" s="151" t="s">
        <v>6962</v>
      </c>
      <c r="K1707" s="151">
        <f t="shared" si="56"/>
        <v>0</v>
      </c>
      <c r="L1707" s="151" t="s">
        <v>9021</v>
      </c>
    </row>
    <row r="1708" spans="8:12" x14ac:dyDescent="0.25">
      <c r="H1708" s="151" t="s">
        <v>4225</v>
      </c>
      <c r="I1708" s="151" t="s">
        <v>391</v>
      </c>
      <c r="J1708" s="151" t="s">
        <v>7343</v>
      </c>
      <c r="K1708" s="151">
        <f t="shared" si="56"/>
        <v>650000000000384</v>
      </c>
      <c r="L1708" s="151" t="s">
        <v>9021</v>
      </c>
    </row>
    <row r="1709" spans="8:12" x14ac:dyDescent="0.25">
      <c r="H1709" s="151" t="s">
        <v>4226</v>
      </c>
      <c r="I1709" s="151" t="s">
        <v>6962</v>
      </c>
      <c r="J1709" s="151" t="s">
        <v>6962</v>
      </c>
      <c r="K1709" s="151">
        <f t="shared" si="56"/>
        <v>0</v>
      </c>
      <c r="L1709" s="151" t="s">
        <v>9021</v>
      </c>
    </row>
    <row r="1710" spans="8:12" x14ac:dyDescent="0.25">
      <c r="H1710" s="151" t="s">
        <v>4226</v>
      </c>
      <c r="I1710" s="151" t="s">
        <v>391</v>
      </c>
      <c r="J1710" s="151" t="s">
        <v>7344</v>
      </c>
      <c r="K1710" s="151">
        <f t="shared" si="56"/>
        <v>650000000001569</v>
      </c>
      <c r="L1710" s="151" t="s">
        <v>9021</v>
      </c>
    </row>
    <row r="1711" spans="8:12" x14ac:dyDescent="0.25">
      <c r="H1711" s="151" t="s">
        <v>6848</v>
      </c>
      <c r="I1711" s="151" t="s">
        <v>6962</v>
      </c>
      <c r="J1711" s="151" t="s">
        <v>6962</v>
      </c>
      <c r="K1711" s="151">
        <f t="shared" si="56"/>
        <v>0</v>
      </c>
      <c r="L1711" s="151" t="s">
        <v>9021</v>
      </c>
    </row>
    <row r="1712" spans="8:12" x14ac:dyDescent="0.25">
      <c r="H1712" s="151" t="s">
        <v>4227</v>
      </c>
      <c r="I1712" s="151" t="s">
        <v>6962</v>
      </c>
      <c r="J1712" s="151" t="s">
        <v>6962</v>
      </c>
      <c r="K1712" s="151">
        <f t="shared" si="56"/>
        <v>0</v>
      </c>
      <c r="L1712" s="151" t="s">
        <v>9021</v>
      </c>
    </row>
    <row r="1713" spans="8:12" x14ac:dyDescent="0.25">
      <c r="H1713" s="151" t="s">
        <v>4227</v>
      </c>
      <c r="I1713" s="151" t="s">
        <v>391</v>
      </c>
      <c r="J1713" s="151" t="s">
        <v>7345</v>
      </c>
      <c r="K1713" s="151">
        <f t="shared" si="56"/>
        <v>650000000000385</v>
      </c>
      <c r="L1713" s="151" t="s">
        <v>9021</v>
      </c>
    </row>
    <row r="1714" spans="8:12" x14ac:dyDescent="0.25">
      <c r="H1714" s="151" t="s">
        <v>4228</v>
      </c>
      <c r="I1714" s="151" t="s">
        <v>6962</v>
      </c>
      <c r="J1714" s="151" t="s">
        <v>6962</v>
      </c>
      <c r="K1714" s="151">
        <f t="shared" si="56"/>
        <v>0</v>
      </c>
      <c r="L1714" s="151" t="s">
        <v>9021</v>
      </c>
    </row>
    <row r="1715" spans="8:12" x14ac:dyDescent="0.25">
      <c r="H1715" s="151" t="s">
        <v>4228</v>
      </c>
      <c r="I1715" s="151" t="s">
        <v>391</v>
      </c>
      <c r="J1715" s="151" t="s">
        <v>7346</v>
      </c>
      <c r="K1715" s="151">
        <f t="shared" si="56"/>
        <v>650000000000386</v>
      </c>
      <c r="L1715" s="151" t="s">
        <v>9021</v>
      </c>
    </row>
    <row r="1716" spans="8:12" x14ac:dyDescent="0.25">
      <c r="H1716" s="151" t="s">
        <v>4229</v>
      </c>
      <c r="I1716" s="151" t="s">
        <v>6962</v>
      </c>
      <c r="J1716" s="151" t="s">
        <v>6962</v>
      </c>
      <c r="K1716" s="151">
        <f t="shared" si="56"/>
        <v>0</v>
      </c>
      <c r="L1716" s="151" t="s">
        <v>9021</v>
      </c>
    </row>
    <row r="1717" spans="8:12" x14ac:dyDescent="0.25">
      <c r="H1717" s="151" t="s">
        <v>4229</v>
      </c>
      <c r="I1717" s="151" t="s">
        <v>391</v>
      </c>
      <c r="J1717" s="151" t="s">
        <v>7347</v>
      </c>
      <c r="K1717" s="151">
        <f t="shared" si="56"/>
        <v>650000000000387</v>
      </c>
      <c r="L1717" s="151" t="s">
        <v>9021</v>
      </c>
    </row>
    <row r="1718" spans="8:12" x14ac:dyDescent="0.25">
      <c r="H1718" s="151" t="s">
        <v>4230</v>
      </c>
      <c r="I1718" s="151" t="s">
        <v>6962</v>
      </c>
      <c r="J1718" s="151" t="s">
        <v>6962</v>
      </c>
      <c r="K1718" s="151">
        <f t="shared" si="56"/>
        <v>0</v>
      </c>
      <c r="L1718" s="151" t="s">
        <v>9021</v>
      </c>
    </row>
    <row r="1719" spans="8:12" x14ac:dyDescent="0.25">
      <c r="H1719" s="151" t="s">
        <v>4230</v>
      </c>
      <c r="I1719" s="151" t="s">
        <v>391</v>
      </c>
      <c r="J1719" s="151" t="s">
        <v>7348</v>
      </c>
      <c r="K1719" s="151">
        <f t="shared" si="56"/>
        <v>650000000001570</v>
      </c>
      <c r="L1719" s="151" t="s">
        <v>9021</v>
      </c>
    </row>
    <row r="1720" spans="8:12" x14ac:dyDescent="0.25">
      <c r="H1720" s="151" t="s">
        <v>4231</v>
      </c>
      <c r="I1720" s="151" t="s">
        <v>6962</v>
      </c>
      <c r="J1720" s="151" t="s">
        <v>6962</v>
      </c>
      <c r="K1720" s="151">
        <f t="shared" si="56"/>
        <v>0</v>
      </c>
      <c r="L1720" s="151" t="s">
        <v>9021</v>
      </c>
    </row>
    <row r="1721" spans="8:12" x14ac:dyDescent="0.25">
      <c r="H1721" s="151" t="s">
        <v>4231</v>
      </c>
      <c r="I1721" s="151" t="s">
        <v>391</v>
      </c>
      <c r="J1721" s="151" t="s">
        <v>7349</v>
      </c>
      <c r="K1721" s="151">
        <f t="shared" si="56"/>
        <v>650000000001571</v>
      </c>
      <c r="L1721" s="151" t="s">
        <v>9021</v>
      </c>
    </row>
    <row r="1722" spans="8:12" x14ac:dyDescent="0.25">
      <c r="H1722" s="151" t="s">
        <v>4232</v>
      </c>
      <c r="I1722" s="151" t="s">
        <v>6962</v>
      </c>
      <c r="J1722" s="151" t="s">
        <v>6962</v>
      </c>
      <c r="K1722" s="151">
        <f t="shared" si="56"/>
        <v>0</v>
      </c>
      <c r="L1722" s="151" t="s">
        <v>9021</v>
      </c>
    </row>
    <row r="1723" spans="8:12" x14ac:dyDescent="0.25">
      <c r="H1723" s="151" t="s">
        <v>4232</v>
      </c>
      <c r="I1723" s="151" t="s">
        <v>391</v>
      </c>
      <c r="J1723" s="151" t="s">
        <v>7350</v>
      </c>
      <c r="K1723" s="151">
        <f t="shared" si="56"/>
        <v>650000000001572</v>
      </c>
      <c r="L1723" s="151" t="s">
        <v>9021</v>
      </c>
    </row>
    <row r="1724" spans="8:12" x14ac:dyDescent="0.25">
      <c r="H1724" s="151" t="s">
        <v>4233</v>
      </c>
      <c r="I1724" s="151" t="s">
        <v>6962</v>
      </c>
      <c r="J1724" s="151" t="s">
        <v>6962</v>
      </c>
      <c r="K1724" s="151">
        <f t="shared" si="56"/>
        <v>0</v>
      </c>
      <c r="L1724" s="151" t="s">
        <v>9021</v>
      </c>
    </row>
    <row r="1725" spans="8:12" x14ac:dyDescent="0.25">
      <c r="H1725" s="151" t="s">
        <v>4233</v>
      </c>
      <c r="I1725" s="151" t="s">
        <v>391</v>
      </c>
      <c r="J1725" s="151" t="s">
        <v>7351</v>
      </c>
      <c r="K1725" s="151">
        <f t="shared" si="56"/>
        <v>650000000000388</v>
      </c>
      <c r="L1725" s="151" t="s">
        <v>9021</v>
      </c>
    </row>
    <row r="1726" spans="8:12" x14ac:dyDescent="0.25">
      <c r="H1726" s="151" t="s">
        <v>4234</v>
      </c>
      <c r="I1726" s="151" t="s">
        <v>6962</v>
      </c>
      <c r="J1726" s="151" t="s">
        <v>6962</v>
      </c>
      <c r="K1726" s="151">
        <f t="shared" si="56"/>
        <v>0</v>
      </c>
      <c r="L1726" s="151" t="s">
        <v>9021</v>
      </c>
    </row>
    <row r="1727" spans="8:12" x14ac:dyDescent="0.25">
      <c r="H1727" s="151" t="s">
        <v>4234</v>
      </c>
      <c r="I1727" s="151" t="s">
        <v>391</v>
      </c>
      <c r="J1727" s="151" t="s">
        <v>7352</v>
      </c>
      <c r="K1727" s="151">
        <f t="shared" si="56"/>
        <v>650000000001573</v>
      </c>
      <c r="L1727" s="151" t="s">
        <v>9021</v>
      </c>
    </row>
    <row r="1728" spans="8:12" x14ac:dyDescent="0.25">
      <c r="H1728" s="151" t="s">
        <v>4235</v>
      </c>
      <c r="I1728" s="151" t="s">
        <v>6962</v>
      </c>
      <c r="J1728" s="151" t="s">
        <v>6962</v>
      </c>
      <c r="K1728" s="151">
        <f t="shared" si="56"/>
        <v>0</v>
      </c>
      <c r="L1728" s="151" t="s">
        <v>9021</v>
      </c>
    </row>
    <row r="1729" spans="8:12" x14ac:dyDescent="0.25">
      <c r="H1729" s="151" t="s">
        <v>4235</v>
      </c>
      <c r="I1729" s="151" t="s">
        <v>391</v>
      </c>
      <c r="J1729" s="151" t="s">
        <v>7353</v>
      </c>
      <c r="K1729" s="151">
        <f t="shared" si="56"/>
        <v>650000000000389</v>
      </c>
      <c r="L1729" s="151" t="s">
        <v>9021</v>
      </c>
    </row>
    <row r="1730" spans="8:12" x14ac:dyDescent="0.25">
      <c r="H1730" s="151" t="s">
        <v>4236</v>
      </c>
      <c r="I1730" s="151" t="s">
        <v>6962</v>
      </c>
      <c r="J1730" s="151" t="s">
        <v>6962</v>
      </c>
      <c r="K1730" s="151">
        <f t="shared" si="56"/>
        <v>0</v>
      </c>
      <c r="L1730" s="151" t="s">
        <v>9021</v>
      </c>
    </row>
    <row r="1731" spans="8:12" x14ac:dyDescent="0.25">
      <c r="H1731" s="151" t="s">
        <v>4236</v>
      </c>
      <c r="I1731" s="151" t="s">
        <v>391</v>
      </c>
      <c r="J1731" s="151" t="s">
        <v>7354</v>
      </c>
      <c r="K1731" s="151">
        <f t="shared" ref="K1731:K1794" si="57">+IFERROR(J1731*1,0)</f>
        <v>650000000000390</v>
      </c>
      <c r="L1731" s="151" t="s">
        <v>9021</v>
      </c>
    </row>
    <row r="1732" spans="8:12" x14ac:dyDescent="0.25">
      <c r="H1732" s="151" t="s">
        <v>6849</v>
      </c>
      <c r="I1732" s="151" t="s">
        <v>6962</v>
      </c>
      <c r="J1732" s="151" t="s">
        <v>6962</v>
      </c>
      <c r="K1732" s="151">
        <f t="shared" si="57"/>
        <v>0</v>
      </c>
      <c r="L1732" s="151" t="s">
        <v>9021</v>
      </c>
    </row>
    <row r="1733" spans="8:12" x14ac:dyDescent="0.25">
      <c r="H1733" s="151" t="s">
        <v>4237</v>
      </c>
      <c r="I1733" s="151" t="s">
        <v>6962</v>
      </c>
      <c r="J1733" s="151" t="s">
        <v>6962</v>
      </c>
      <c r="K1733" s="151">
        <f t="shared" si="57"/>
        <v>0</v>
      </c>
      <c r="L1733" s="151" t="s">
        <v>9021</v>
      </c>
    </row>
    <row r="1734" spans="8:12" x14ac:dyDescent="0.25">
      <c r="H1734" s="151" t="s">
        <v>4237</v>
      </c>
      <c r="I1734" s="151" t="s">
        <v>391</v>
      </c>
      <c r="J1734" s="151" t="s">
        <v>7355</v>
      </c>
      <c r="K1734" s="151">
        <f t="shared" si="57"/>
        <v>650000000000391</v>
      </c>
      <c r="L1734" s="151" t="s">
        <v>9021</v>
      </c>
    </row>
    <row r="1735" spans="8:12" x14ac:dyDescent="0.25">
      <c r="H1735" s="151" t="s">
        <v>4238</v>
      </c>
      <c r="I1735" s="151" t="s">
        <v>6962</v>
      </c>
      <c r="J1735" s="151" t="s">
        <v>6962</v>
      </c>
      <c r="K1735" s="151">
        <f t="shared" si="57"/>
        <v>0</v>
      </c>
      <c r="L1735" s="151" t="s">
        <v>9021</v>
      </c>
    </row>
    <row r="1736" spans="8:12" x14ac:dyDescent="0.25">
      <c r="H1736" s="151" t="s">
        <v>4238</v>
      </c>
      <c r="I1736" s="151" t="s">
        <v>391</v>
      </c>
      <c r="J1736" s="151" t="s">
        <v>7356</v>
      </c>
      <c r="K1736" s="151">
        <f t="shared" si="57"/>
        <v>650000000000392</v>
      </c>
      <c r="L1736" s="151" t="s">
        <v>9021</v>
      </c>
    </row>
    <row r="1737" spans="8:12" x14ac:dyDescent="0.25">
      <c r="H1737" s="151" t="s">
        <v>4239</v>
      </c>
      <c r="I1737" s="151" t="s">
        <v>6962</v>
      </c>
      <c r="J1737" s="151" t="s">
        <v>6962</v>
      </c>
      <c r="K1737" s="151">
        <f t="shared" si="57"/>
        <v>0</v>
      </c>
      <c r="L1737" s="151" t="s">
        <v>9021</v>
      </c>
    </row>
    <row r="1738" spans="8:12" x14ac:dyDescent="0.25">
      <c r="H1738" s="151" t="s">
        <v>4239</v>
      </c>
      <c r="I1738" s="151" t="s">
        <v>391</v>
      </c>
      <c r="J1738" s="151" t="s">
        <v>7357</v>
      </c>
      <c r="K1738" s="151">
        <f t="shared" si="57"/>
        <v>650000000000393</v>
      </c>
      <c r="L1738" s="151" t="s">
        <v>9021</v>
      </c>
    </row>
    <row r="1739" spans="8:12" x14ac:dyDescent="0.25">
      <c r="H1739" s="151" t="s">
        <v>4240</v>
      </c>
      <c r="I1739" s="151" t="s">
        <v>6962</v>
      </c>
      <c r="J1739" s="151" t="s">
        <v>6962</v>
      </c>
      <c r="K1739" s="151">
        <f t="shared" si="57"/>
        <v>0</v>
      </c>
      <c r="L1739" s="151" t="s">
        <v>9021</v>
      </c>
    </row>
    <row r="1740" spans="8:12" x14ac:dyDescent="0.25">
      <c r="H1740" s="151" t="s">
        <v>4240</v>
      </c>
      <c r="I1740" s="151" t="s">
        <v>391</v>
      </c>
      <c r="J1740" s="151" t="s">
        <v>7358</v>
      </c>
      <c r="K1740" s="151">
        <f t="shared" si="57"/>
        <v>650000000001574</v>
      </c>
      <c r="L1740" s="151" t="s">
        <v>9021</v>
      </c>
    </row>
    <row r="1741" spans="8:12" x14ac:dyDescent="0.25">
      <c r="H1741" s="151" t="s">
        <v>4241</v>
      </c>
      <c r="I1741" s="151" t="s">
        <v>6962</v>
      </c>
      <c r="J1741" s="151" t="s">
        <v>6962</v>
      </c>
      <c r="K1741" s="151">
        <f t="shared" si="57"/>
        <v>0</v>
      </c>
      <c r="L1741" s="151" t="s">
        <v>9021</v>
      </c>
    </row>
    <row r="1742" spans="8:12" x14ac:dyDescent="0.25">
      <c r="H1742" s="151" t="s">
        <v>4241</v>
      </c>
      <c r="I1742" s="151" t="s">
        <v>391</v>
      </c>
      <c r="J1742" s="151" t="s">
        <v>7359</v>
      </c>
      <c r="K1742" s="151">
        <f t="shared" si="57"/>
        <v>650000000000394</v>
      </c>
      <c r="L1742" s="151" t="s">
        <v>9021</v>
      </c>
    </row>
    <row r="1743" spans="8:12" x14ac:dyDescent="0.25">
      <c r="H1743" s="151" t="s">
        <v>4242</v>
      </c>
      <c r="I1743" s="151" t="s">
        <v>6962</v>
      </c>
      <c r="J1743" s="151" t="s">
        <v>6962</v>
      </c>
      <c r="K1743" s="151">
        <f t="shared" si="57"/>
        <v>0</v>
      </c>
      <c r="L1743" s="151" t="s">
        <v>9021</v>
      </c>
    </row>
    <row r="1744" spans="8:12" x14ac:dyDescent="0.25">
      <c r="H1744" s="151" t="s">
        <v>4242</v>
      </c>
      <c r="I1744" s="151" t="s">
        <v>391</v>
      </c>
      <c r="J1744" s="151" t="s">
        <v>7360</v>
      </c>
      <c r="K1744" s="151">
        <f t="shared" si="57"/>
        <v>650000000000395</v>
      </c>
      <c r="L1744" s="151" t="s">
        <v>9021</v>
      </c>
    </row>
    <row r="1745" spans="8:12" x14ac:dyDescent="0.25">
      <c r="H1745" s="151" t="s">
        <v>4243</v>
      </c>
      <c r="I1745" s="151" t="s">
        <v>6962</v>
      </c>
      <c r="J1745" s="151" t="s">
        <v>6962</v>
      </c>
      <c r="K1745" s="151">
        <f t="shared" si="57"/>
        <v>0</v>
      </c>
      <c r="L1745" s="151" t="s">
        <v>9021</v>
      </c>
    </row>
    <row r="1746" spans="8:12" x14ac:dyDescent="0.25">
      <c r="H1746" s="151" t="s">
        <v>4243</v>
      </c>
      <c r="I1746" s="151" t="s">
        <v>391</v>
      </c>
      <c r="J1746" s="151" t="s">
        <v>7361</v>
      </c>
      <c r="K1746" s="151">
        <f t="shared" si="57"/>
        <v>650000000000396</v>
      </c>
      <c r="L1746" s="151" t="s">
        <v>9021</v>
      </c>
    </row>
    <row r="1747" spans="8:12" x14ac:dyDescent="0.25">
      <c r="H1747" s="151" t="s">
        <v>4244</v>
      </c>
      <c r="I1747" s="151" t="s">
        <v>6962</v>
      </c>
      <c r="J1747" s="151" t="s">
        <v>6962</v>
      </c>
      <c r="K1747" s="151">
        <f t="shared" si="57"/>
        <v>0</v>
      </c>
      <c r="L1747" s="151" t="s">
        <v>9021</v>
      </c>
    </row>
    <row r="1748" spans="8:12" x14ac:dyDescent="0.25">
      <c r="H1748" s="151" t="s">
        <v>4244</v>
      </c>
      <c r="I1748" s="151" t="s">
        <v>391</v>
      </c>
      <c r="J1748" s="151" t="s">
        <v>7362</v>
      </c>
      <c r="K1748" s="151">
        <f t="shared" si="57"/>
        <v>650000000000397</v>
      </c>
      <c r="L1748" s="151" t="s">
        <v>9021</v>
      </c>
    </row>
    <row r="1749" spans="8:12" x14ac:dyDescent="0.25">
      <c r="H1749" s="151" t="s">
        <v>4245</v>
      </c>
      <c r="I1749" s="151" t="s">
        <v>6962</v>
      </c>
      <c r="J1749" s="151" t="s">
        <v>6962</v>
      </c>
      <c r="K1749" s="151">
        <f t="shared" si="57"/>
        <v>0</v>
      </c>
      <c r="L1749" s="151" t="s">
        <v>9021</v>
      </c>
    </row>
    <row r="1750" spans="8:12" x14ac:dyDescent="0.25">
      <c r="H1750" s="151" t="s">
        <v>4245</v>
      </c>
      <c r="I1750" s="151" t="s">
        <v>391</v>
      </c>
      <c r="J1750" s="151" t="s">
        <v>7363</v>
      </c>
      <c r="K1750" s="151">
        <f t="shared" si="57"/>
        <v>650000000000398</v>
      </c>
      <c r="L1750" s="151" t="s">
        <v>9021</v>
      </c>
    </row>
    <row r="1751" spans="8:12" x14ac:dyDescent="0.25">
      <c r="H1751" s="151" t="s">
        <v>4246</v>
      </c>
      <c r="I1751" s="151" t="s">
        <v>6962</v>
      </c>
      <c r="J1751" s="151" t="s">
        <v>6962</v>
      </c>
      <c r="K1751" s="151">
        <f t="shared" si="57"/>
        <v>0</v>
      </c>
      <c r="L1751" s="151" t="s">
        <v>9021</v>
      </c>
    </row>
    <row r="1752" spans="8:12" x14ac:dyDescent="0.25">
      <c r="H1752" s="151" t="s">
        <v>4246</v>
      </c>
      <c r="I1752" s="151" t="s">
        <v>391</v>
      </c>
      <c r="J1752" s="151" t="s">
        <v>7364</v>
      </c>
      <c r="K1752" s="151">
        <f t="shared" si="57"/>
        <v>650000000001575</v>
      </c>
      <c r="L1752" s="151" t="s">
        <v>9021</v>
      </c>
    </row>
    <row r="1753" spans="8:12" x14ac:dyDescent="0.25">
      <c r="H1753" s="151" t="s">
        <v>4247</v>
      </c>
      <c r="I1753" s="151" t="s">
        <v>6962</v>
      </c>
      <c r="J1753" s="151" t="s">
        <v>6962</v>
      </c>
      <c r="K1753" s="151">
        <f t="shared" si="57"/>
        <v>0</v>
      </c>
      <c r="L1753" s="151" t="s">
        <v>9021</v>
      </c>
    </row>
    <row r="1754" spans="8:12" x14ac:dyDescent="0.25">
      <c r="H1754" s="151" t="s">
        <v>4247</v>
      </c>
      <c r="I1754" s="151" t="s">
        <v>391</v>
      </c>
      <c r="J1754" s="151" t="s">
        <v>7365</v>
      </c>
      <c r="K1754" s="151">
        <f t="shared" si="57"/>
        <v>650000000000399</v>
      </c>
      <c r="L1754" s="151" t="s">
        <v>9021</v>
      </c>
    </row>
    <row r="1755" spans="8:12" x14ac:dyDescent="0.25">
      <c r="H1755" s="151" t="s">
        <v>4248</v>
      </c>
      <c r="I1755" s="151" t="s">
        <v>6962</v>
      </c>
      <c r="J1755" s="151" t="s">
        <v>6962</v>
      </c>
      <c r="K1755" s="151">
        <f t="shared" si="57"/>
        <v>0</v>
      </c>
      <c r="L1755" s="151" t="s">
        <v>9021</v>
      </c>
    </row>
    <row r="1756" spans="8:12" x14ac:dyDescent="0.25">
      <c r="H1756" s="151" t="s">
        <v>4248</v>
      </c>
      <c r="I1756" s="151" t="s">
        <v>391</v>
      </c>
      <c r="J1756" s="151" t="s">
        <v>7366</v>
      </c>
      <c r="K1756" s="151">
        <f t="shared" si="57"/>
        <v>650000000000400</v>
      </c>
      <c r="L1756" s="151" t="s">
        <v>9021</v>
      </c>
    </row>
    <row r="1757" spans="8:12" x14ac:dyDescent="0.25">
      <c r="H1757" s="151" t="s">
        <v>4249</v>
      </c>
      <c r="I1757" s="151" t="s">
        <v>6962</v>
      </c>
      <c r="J1757" s="151" t="s">
        <v>6962</v>
      </c>
      <c r="K1757" s="151">
        <f t="shared" si="57"/>
        <v>0</v>
      </c>
      <c r="L1757" s="151" t="s">
        <v>9021</v>
      </c>
    </row>
    <row r="1758" spans="8:12" x14ac:dyDescent="0.25">
      <c r="H1758" s="151" t="s">
        <v>4249</v>
      </c>
      <c r="I1758" s="151" t="s">
        <v>391</v>
      </c>
      <c r="J1758" s="151" t="s">
        <v>7367</v>
      </c>
      <c r="K1758" s="151">
        <f t="shared" si="57"/>
        <v>650000000001576</v>
      </c>
      <c r="L1758" s="151" t="s">
        <v>9021</v>
      </c>
    </row>
    <row r="1759" spans="8:12" x14ac:dyDescent="0.25">
      <c r="H1759" s="151" t="s">
        <v>4250</v>
      </c>
      <c r="I1759" s="151" t="s">
        <v>6962</v>
      </c>
      <c r="J1759" s="151" t="s">
        <v>6962</v>
      </c>
      <c r="K1759" s="151">
        <f t="shared" si="57"/>
        <v>0</v>
      </c>
      <c r="L1759" s="151" t="s">
        <v>9021</v>
      </c>
    </row>
    <row r="1760" spans="8:12" x14ac:dyDescent="0.25">
      <c r="H1760" s="151" t="s">
        <v>4250</v>
      </c>
      <c r="I1760" s="151" t="s">
        <v>391</v>
      </c>
      <c r="J1760" s="151" t="s">
        <v>7368</v>
      </c>
      <c r="K1760" s="151">
        <f t="shared" si="57"/>
        <v>650000000001577</v>
      </c>
      <c r="L1760" s="151" t="s">
        <v>9021</v>
      </c>
    </row>
    <row r="1761" spans="8:12" x14ac:dyDescent="0.25">
      <c r="H1761" s="151" t="s">
        <v>4251</v>
      </c>
      <c r="I1761" s="151" t="s">
        <v>6962</v>
      </c>
      <c r="J1761" s="151" t="s">
        <v>6962</v>
      </c>
      <c r="K1761" s="151">
        <f t="shared" si="57"/>
        <v>0</v>
      </c>
      <c r="L1761" s="151" t="s">
        <v>9021</v>
      </c>
    </row>
    <row r="1762" spans="8:12" x14ac:dyDescent="0.25">
      <c r="H1762" s="151" t="s">
        <v>4251</v>
      </c>
      <c r="I1762" s="151" t="s">
        <v>391</v>
      </c>
      <c r="J1762" s="151" t="s">
        <v>7369</v>
      </c>
      <c r="K1762" s="151">
        <f t="shared" si="57"/>
        <v>650000000001578</v>
      </c>
      <c r="L1762" s="151" t="s">
        <v>9021</v>
      </c>
    </row>
    <row r="1763" spans="8:12" x14ac:dyDescent="0.25">
      <c r="H1763" s="151" t="s">
        <v>4252</v>
      </c>
      <c r="I1763" s="151" t="s">
        <v>6962</v>
      </c>
      <c r="J1763" s="151" t="s">
        <v>6962</v>
      </c>
      <c r="K1763" s="151">
        <f t="shared" si="57"/>
        <v>0</v>
      </c>
      <c r="L1763" s="151" t="s">
        <v>9022</v>
      </c>
    </row>
    <row r="1764" spans="8:12" x14ac:dyDescent="0.25">
      <c r="H1764" s="151" t="s">
        <v>4252</v>
      </c>
      <c r="I1764" s="151" t="s">
        <v>391</v>
      </c>
      <c r="J1764" s="151" t="s">
        <v>7370</v>
      </c>
      <c r="K1764" s="151">
        <f t="shared" si="57"/>
        <v>650000000000401</v>
      </c>
      <c r="L1764" s="151" t="s">
        <v>9022</v>
      </c>
    </row>
    <row r="1765" spans="8:12" x14ac:dyDescent="0.25">
      <c r="H1765" s="151" t="s">
        <v>4253</v>
      </c>
      <c r="I1765" s="151" t="s">
        <v>6962</v>
      </c>
      <c r="J1765" s="151" t="s">
        <v>6962</v>
      </c>
      <c r="K1765" s="151">
        <f t="shared" si="57"/>
        <v>0</v>
      </c>
      <c r="L1765" s="151" t="s">
        <v>9021</v>
      </c>
    </row>
    <row r="1766" spans="8:12" x14ac:dyDescent="0.25">
      <c r="H1766" s="151" t="s">
        <v>4253</v>
      </c>
      <c r="I1766" s="151" t="s">
        <v>391</v>
      </c>
      <c r="J1766" s="151" t="s">
        <v>7371</v>
      </c>
      <c r="K1766" s="151">
        <f t="shared" si="57"/>
        <v>650000000000402</v>
      </c>
      <c r="L1766" s="151" t="s">
        <v>9021</v>
      </c>
    </row>
    <row r="1767" spans="8:12" x14ac:dyDescent="0.25">
      <c r="H1767" s="151" t="s">
        <v>4254</v>
      </c>
      <c r="I1767" s="151" t="s">
        <v>6962</v>
      </c>
      <c r="J1767" s="151" t="s">
        <v>6962</v>
      </c>
      <c r="K1767" s="151">
        <f t="shared" si="57"/>
        <v>0</v>
      </c>
      <c r="L1767" s="151" t="s">
        <v>9021</v>
      </c>
    </row>
    <row r="1768" spans="8:12" x14ac:dyDescent="0.25">
      <c r="H1768" s="151" t="s">
        <v>4254</v>
      </c>
      <c r="I1768" s="151" t="s">
        <v>391</v>
      </c>
      <c r="J1768" s="151" t="s">
        <v>7372</v>
      </c>
      <c r="K1768" s="151">
        <f t="shared" si="57"/>
        <v>650000000000403</v>
      </c>
      <c r="L1768" s="151" t="s">
        <v>9021</v>
      </c>
    </row>
    <row r="1769" spans="8:12" x14ac:dyDescent="0.25">
      <c r="H1769" s="151" t="s">
        <v>4255</v>
      </c>
      <c r="I1769" s="151" t="s">
        <v>6962</v>
      </c>
      <c r="J1769" s="151" t="s">
        <v>6962</v>
      </c>
      <c r="K1769" s="151">
        <f t="shared" si="57"/>
        <v>0</v>
      </c>
      <c r="L1769" s="151" t="s">
        <v>9021</v>
      </c>
    </row>
    <row r="1770" spans="8:12" x14ac:dyDescent="0.25">
      <c r="H1770" s="151" t="s">
        <v>4255</v>
      </c>
      <c r="I1770" s="151" t="s">
        <v>391</v>
      </c>
      <c r="J1770" s="151" t="s">
        <v>7373</v>
      </c>
      <c r="K1770" s="151">
        <f t="shared" si="57"/>
        <v>650000000000404</v>
      </c>
      <c r="L1770" s="151" t="s">
        <v>9021</v>
      </c>
    </row>
    <row r="1771" spans="8:12" x14ac:dyDescent="0.25">
      <c r="H1771" s="151" t="s">
        <v>6850</v>
      </c>
      <c r="I1771" s="151" t="s">
        <v>6962</v>
      </c>
      <c r="J1771" s="151" t="s">
        <v>6962</v>
      </c>
      <c r="K1771" s="151">
        <f t="shared" si="57"/>
        <v>0</v>
      </c>
      <c r="L1771" s="151" t="s">
        <v>9021</v>
      </c>
    </row>
    <row r="1772" spans="8:12" x14ac:dyDescent="0.25">
      <c r="H1772" s="151" t="s">
        <v>4256</v>
      </c>
      <c r="I1772" s="151" t="s">
        <v>6962</v>
      </c>
      <c r="J1772" s="151" t="s">
        <v>6962</v>
      </c>
      <c r="K1772" s="151">
        <f t="shared" si="57"/>
        <v>0</v>
      </c>
      <c r="L1772" s="151" t="s">
        <v>9021</v>
      </c>
    </row>
    <row r="1773" spans="8:12" x14ac:dyDescent="0.25">
      <c r="H1773" s="151" t="s">
        <v>4256</v>
      </c>
      <c r="I1773" s="151" t="s">
        <v>391</v>
      </c>
      <c r="J1773" s="151" t="s">
        <v>7374</v>
      </c>
      <c r="K1773" s="151">
        <f t="shared" si="57"/>
        <v>650000000000405</v>
      </c>
      <c r="L1773" s="151" t="s">
        <v>9021</v>
      </c>
    </row>
    <row r="1774" spans="8:12" x14ac:dyDescent="0.25">
      <c r="H1774" s="151" t="s">
        <v>4257</v>
      </c>
      <c r="I1774" s="151" t="s">
        <v>6962</v>
      </c>
      <c r="J1774" s="151" t="s">
        <v>6962</v>
      </c>
      <c r="K1774" s="151">
        <f t="shared" si="57"/>
        <v>0</v>
      </c>
      <c r="L1774" s="151" t="s">
        <v>9021</v>
      </c>
    </row>
    <row r="1775" spans="8:12" x14ac:dyDescent="0.25">
      <c r="H1775" s="151" t="s">
        <v>4257</v>
      </c>
      <c r="I1775" s="151" t="s">
        <v>391</v>
      </c>
      <c r="J1775" s="151" t="s">
        <v>7375</v>
      </c>
      <c r="K1775" s="151">
        <f t="shared" si="57"/>
        <v>650000000001579</v>
      </c>
      <c r="L1775" s="151" t="s">
        <v>9021</v>
      </c>
    </row>
    <row r="1776" spans="8:12" x14ac:dyDescent="0.25">
      <c r="H1776" s="151" t="s">
        <v>4258</v>
      </c>
      <c r="I1776" s="151" t="s">
        <v>6962</v>
      </c>
      <c r="J1776" s="151" t="s">
        <v>6962</v>
      </c>
      <c r="K1776" s="151">
        <f t="shared" si="57"/>
        <v>0</v>
      </c>
      <c r="L1776" s="151" t="s">
        <v>9021</v>
      </c>
    </row>
    <row r="1777" spans="8:12" x14ac:dyDescent="0.25">
      <c r="H1777" s="151" t="s">
        <v>4258</v>
      </c>
      <c r="I1777" s="151" t="s">
        <v>391</v>
      </c>
      <c r="J1777" s="151" t="s">
        <v>7376</v>
      </c>
      <c r="K1777" s="151">
        <f t="shared" si="57"/>
        <v>650000000001580</v>
      </c>
      <c r="L1777" s="151" t="s">
        <v>9021</v>
      </c>
    </row>
    <row r="1778" spans="8:12" x14ac:dyDescent="0.25">
      <c r="H1778" s="151" t="s">
        <v>4259</v>
      </c>
      <c r="I1778" s="151" t="s">
        <v>6962</v>
      </c>
      <c r="J1778" s="151" t="s">
        <v>6962</v>
      </c>
      <c r="K1778" s="151">
        <f t="shared" si="57"/>
        <v>0</v>
      </c>
      <c r="L1778" s="151" t="s">
        <v>9021</v>
      </c>
    </row>
    <row r="1779" spans="8:12" x14ac:dyDescent="0.25">
      <c r="H1779" s="151" t="s">
        <v>4259</v>
      </c>
      <c r="I1779" s="151" t="s">
        <v>391</v>
      </c>
      <c r="J1779" s="151" t="s">
        <v>7377</v>
      </c>
      <c r="K1779" s="151">
        <f t="shared" si="57"/>
        <v>650000000000406</v>
      </c>
      <c r="L1779" s="151" t="s">
        <v>9021</v>
      </c>
    </row>
    <row r="1780" spans="8:12" x14ac:dyDescent="0.25">
      <c r="H1780" s="151" t="s">
        <v>4260</v>
      </c>
      <c r="I1780" s="151" t="s">
        <v>6962</v>
      </c>
      <c r="J1780" s="151" t="s">
        <v>6962</v>
      </c>
      <c r="K1780" s="151">
        <f t="shared" si="57"/>
        <v>0</v>
      </c>
      <c r="L1780" s="151" t="s">
        <v>9021</v>
      </c>
    </row>
    <row r="1781" spans="8:12" x14ac:dyDescent="0.25">
      <c r="H1781" s="151" t="s">
        <v>4260</v>
      </c>
      <c r="I1781" s="151" t="s">
        <v>391</v>
      </c>
      <c r="J1781" s="151" t="s">
        <v>7378</v>
      </c>
      <c r="K1781" s="151">
        <f t="shared" si="57"/>
        <v>650000000001581</v>
      </c>
      <c r="L1781" s="151" t="s">
        <v>9021</v>
      </c>
    </row>
    <row r="1782" spans="8:12" x14ac:dyDescent="0.25">
      <c r="H1782" s="151" t="s">
        <v>4261</v>
      </c>
      <c r="I1782" s="151" t="s">
        <v>6962</v>
      </c>
      <c r="J1782" s="151" t="s">
        <v>6962</v>
      </c>
      <c r="K1782" s="151">
        <f t="shared" si="57"/>
        <v>0</v>
      </c>
      <c r="L1782" s="151" t="s">
        <v>9021</v>
      </c>
    </row>
    <row r="1783" spans="8:12" x14ac:dyDescent="0.25">
      <c r="H1783" s="151" t="s">
        <v>4261</v>
      </c>
      <c r="I1783" s="151" t="s">
        <v>391</v>
      </c>
      <c r="J1783" s="151" t="s">
        <v>7379</v>
      </c>
      <c r="K1783" s="151">
        <f t="shared" si="57"/>
        <v>650000000000407</v>
      </c>
      <c r="L1783" s="151" t="s">
        <v>9021</v>
      </c>
    </row>
    <row r="1784" spans="8:12" x14ac:dyDescent="0.25">
      <c r="H1784" s="151" t="s">
        <v>4262</v>
      </c>
      <c r="I1784" s="151" t="s">
        <v>6962</v>
      </c>
      <c r="J1784" s="151" t="s">
        <v>6962</v>
      </c>
      <c r="K1784" s="151">
        <f t="shared" si="57"/>
        <v>0</v>
      </c>
      <c r="L1784" s="151" t="s">
        <v>9021</v>
      </c>
    </row>
    <row r="1785" spans="8:12" x14ac:dyDescent="0.25">
      <c r="H1785" s="151" t="s">
        <v>4262</v>
      </c>
      <c r="I1785" s="151" t="s">
        <v>391</v>
      </c>
      <c r="J1785" s="151" t="s">
        <v>7380</v>
      </c>
      <c r="K1785" s="151">
        <f t="shared" si="57"/>
        <v>650000000001582</v>
      </c>
      <c r="L1785" s="151" t="s">
        <v>9021</v>
      </c>
    </row>
    <row r="1786" spans="8:12" x14ac:dyDescent="0.25">
      <c r="H1786" s="151" t="s">
        <v>4263</v>
      </c>
      <c r="I1786" s="151" t="s">
        <v>6962</v>
      </c>
      <c r="J1786" s="151" t="s">
        <v>6962</v>
      </c>
      <c r="K1786" s="151">
        <f t="shared" si="57"/>
        <v>0</v>
      </c>
      <c r="L1786" s="151" t="s">
        <v>9021</v>
      </c>
    </row>
    <row r="1787" spans="8:12" x14ac:dyDescent="0.25">
      <c r="H1787" s="151" t="s">
        <v>4263</v>
      </c>
      <c r="I1787" s="151" t="s">
        <v>391</v>
      </c>
      <c r="J1787" s="151" t="s">
        <v>7381</v>
      </c>
      <c r="K1787" s="151">
        <f t="shared" si="57"/>
        <v>650000000000408</v>
      </c>
      <c r="L1787" s="151" t="s">
        <v>9021</v>
      </c>
    </row>
    <row r="1788" spans="8:12" x14ac:dyDescent="0.25">
      <c r="H1788" s="151" t="s">
        <v>4264</v>
      </c>
      <c r="I1788" s="151" t="s">
        <v>6962</v>
      </c>
      <c r="J1788" s="151" t="s">
        <v>6962</v>
      </c>
      <c r="K1788" s="151">
        <f t="shared" si="57"/>
        <v>0</v>
      </c>
      <c r="L1788" s="151" t="s">
        <v>9021</v>
      </c>
    </row>
    <row r="1789" spans="8:12" x14ac:dyDescent="0.25">
      <c r="H1789" s="151" t="s">
        <v>4264</v>
      </c>
      <c r="I1789" s="151" t="s">
        <v>391</v>
      </c>
      <c r="J1789" s="151" t="s">
        <v>7382</v>
      </c>
      <c r="K1789" s="151">
        <f t="shared" si="57"/>
        <v>650000000001583</v>
      </c>
      <c r="L1789" s="151" t="s">
        <v>9021</v>
      </c>
    </row>
    <row r="1790" spans="8:12" x14ac:dyDescent="0.25">
      <c r="H1790" s="151" t="s">
        <v>4265</v>
      </c>
      <c r="I1790" s="151" t="s">
        <v>6962</v>
      </c>
      <c r="J1790" s="151" t="s">
        <v>6962</v>
      </c>
      <c r="K1790" s="151">
        <f t="shared" si="57"/>
        <v>0</v>
      </c>
      <c r="L1790" s="151" t="s">
        <v>9021</v>
      </c>
    </row>
    <row r="1791" spans="8:12" x14ac:dyDescent="0.25">
      <c r="H1791" s="151" t="s">
        <v>4265</v>
      </c>
      <c r="I1791" s="151" t="s">
        <v>391</v>
      </c>
      <c r="J1791" s="151" t="s">
        <v>7383</v>
      </c>
      <c r="K1791" s="151">
        <f t="shared" si="57"/>
        <v>650000000001584</v>
      </c>
      <c r="L1791" s="151" t="s">
        <v>9021</v>
      </c>
    </row>
    <row r="1792" spans="8:12" x14ac:dyDescent="0.25">
      <c r="H1792" s="151" t="s">
        <v>4266</v>
      </c>
      <c r="I1792" s="151" t="s">
        <v>6962</v>
      </c>
      <c r="J1792" s="151" t="s">
        <v>6962</v>
      </c>
      <c r="K1792" s="151">
        <f t="shared" si="57"/>
        <v>0</v>
      </c>
      <c r="L1792" s="151" t="s">
        <v>9021</v>
      </c>
    </row>
    <row r="1793" spans="8:12" x14ac:dyDescent="0.25">
      <c r="H1793" s="151" t="s">
        <v>4266</v>
      </c>
      <c r="I1793" s="151" t="s">
        <v>391</v>
      </c>
      <c r="J1793" s="151" t="s">
        <v>7384</v>
      </c>
      <c r="K1793" s="151">
        <f t="shared" si="57"/>
        <v>650000000000409</v>
      </c>
      <c r="L1793" s="151" t="s">
        <v>9021</v>
      </c>
    </row>
    <row r="1794" spans="8:12" x14ac:dyDescent="0.25">
      <c r="H1794" s="151" t="s">
        <v>4267</v>
      </c>
      <c r="I1794" s="151" t="s">
        <v>6962</v>
      </c>
      <c r="J1794" s="151" t="s">
        <v>6962</v>
      </c>
      <c r="K1794" s="151">
        <f t="shared" si="57"/>
        <v>0</v>
      </c>
      <c r="L1794" s="151" t="s">
        <v>9021</v>
      </c>
    </row>
    <row r="1795" spans="8:12" x14ac:dyDescent="0.25">
      <c r="H1795" s="151" t="s">
        <v>4267</v>
      </c>
      <c r="I1795" s="151" t="s">
        <v>391</v>
      </c>
      <c r="J1795" s="151" t="s">
        <v>7385</v>
      </c>
      <c r="K1795" s="151">
        <f t="shared" ref="K1795:K1858" si="58">+IFERROR(J1795*1,0)</f>
        <v>650000000000410</v>
      </c>
      <c r="L1795" s="151" t="s">
        <v>9021</v>
      </c>
    </row>
    <row r="1796" spans="8:12" x14ac:dyDescent="0.25">
      <c r="H1796" s="151" t="s">
        <v>4268</v>
      </c>
      <c r="I1796" s="151" t="s">
        <v>6962</v>
      </c>
      <c r="J1796" s="151" t="s">
        <v>6962</v>
      </c>
      <c r="K1796" s="151">
        <f t="shared" si="58"/>
        <v>0</v>
      </c>
      <c r="L1796" s="151" t="s">
        <v>9021</v>
      </c>
    </row>
    <row r="1797" spans="8:12" x14ac:dyDescent="0.25">
      <c r="H1797" s="151" t="s">
        <v>4268</v>
      </c>
      <c r="I1797" s="151" t="s">
        <v>391</v>
      </c>
      <c r="J1797" s="151" t="s">
        <v>7386</v>
      </c>
      <c r="K1797" s="151">
        <f t="shared" si="58"/>
        <v>650000000001585</v>
      </c>
      <c r="L1797" s="151" t="s">
        <v>9021</v>
      </c>
    </row>
    <row r="1798" spans="8:12" x14ac:dyDescent="0.25">
      <c r="H1798" s="151" t="s">
        <v>4269</v>
      </c>
      <c r="I1798" s="151" t="s">
        <v>6962</v>
      </c>
      <c r="J1798" s="151" t="s">
        <v>6962</v>
      </c>
      <c r="K1798" s="151">
        <f t="shared" si="58"/>
        <v>0</v>
      </c>
      <c r="L1798" s="151" t="s">
        <v>9021</v>
      </c>
    </row>
    <row r="1799" spans="8:12" x14ac:dyDescent="0.25">
      <c r="H1799" s="151" t="s">
        <v>4269</v>
      </c>
      <c r="I1799" s="151" t="s">
        <v>391</v>
      </c>
      <c r="J1799" s="151" t="s">
        <v>7387</v>
      </c>
      <c r="K1799" s="151">
        <f t="shared" si="58"/>
        <v>650000000001586</v>
      </c>
      <c r="L1799" s="151" t="s">
        <v>9021</v>
      </c>
    </row>
    <row r="1800" spans="8:12" x14ac:dyDescent="0.25">
      <c r="H1800" s="151" t="s">
        <v>4270</v>
      </c>
      <c r="I1800" s="151" t="s">
        <v>6962</v>
      </c>
      <c r="J1800" s="151" t="s">
        <v>6962</v>
      </c>
      <c r="K1800" s="151">
        <f t="shared" si="58"/>
        <v>0</v>
      </c>
      <c r="L1800" s="151" t="s">
        <v>9021</v>
      </c>
    </row>
    <row r="1801" spans="8:12" x14ac:dyDescent="0.25">
      <c r="H1801" s="151" t="s">
        <v>4270</v>
      </c>
      <c r="I1801" s="151" t="s">
        <v>391</v>
      </c>
      <c r="J1801" s="151" t="s">
        <v>7388</v>
      </c>
      <c r="K1801" s="151">
        <f t="shared" si="58"/>
        <v>650000000001587</v>
      </c>
      <c r="L1801" s="151" t="s">
        <v>9021</v>
      </c>
    </row>
    <row r="1802" spans="8:12" x14ac:dyDescent="0.25">
      <c r="H1802" s="151" t="s">
        <v>4271</v>
      </c>
      <c r="I1802" s="151" t="s">
        <v>6962</v>
      </c>
      <c r="J1802" s="151" t="s">
        <v>6962</v>
      </c>
      <c r="K1802" s="151">
        <f t="shared" si="58"/>
        <v>0</v>
      </c>
      <c r="L1802" s="151" t="s">
        <v>9021</v>
      </c>
    </row>
    <row r="1803" spans="8:12" x14ac:dyDescent="0.25">
      <c r="H1803" s="151" t="s">
        <v>4271</v>
      </c>
      <c r="I1803" s="151" t="s">
        <v>391</v>
      </c>
      <c r="J1803" s="151" t="s">
        <v>7389</v>
      </c>
      <c r="K1803" s="151">
        <f t="shared" si="58"/>
        <v>650000000001588</v>
      </c>
      <c r="L1803" s="151" t="s">
        <v>9021</v>
      </c>
    </row>
    <row r="1804" spans="8:12" x14ac:dyDescent="0.25">
      <c r="H1804" s="151" t="s">
        <v>4272</v>
      </c>
      <c r="I1804" s="151" t="s">
        <v>6962</v>
      </c>
      <c r="J1804" s="151" t="s">
        <v>6962</v>
      </c>
      <c r="K1804" s="151">
        <f t="shared" si="58"/>
        <v>0</v>
      </c>
      <c r="L1804" s="151" t="s">
        <v>9021</v>
      </c>
    </row>
    <row r="1805" spans="8:12" x14ac:dyDescent="0.25">
      <c r="H1805" s="151" t="s">
        <v>4272</v>
      </c>
      <c r="I1805" s="151" t="s">
        <v>391</v>
      </c>
      <c r="J1805" s="151" t="s">
        <v>7390</v>
      </c>
      <c r="K1805" s="151">
        <f t="shared" si="58"/>
        <v>650000000001589</v>
      </c>
      <c r="L1805" s="151" t="s">
        <v>9021</v>
      </c>
    </row>
    <row r="1806" spans="8:12" x14ac:dyDescent="0.25">
      <c r="H1806" s="151" t="s">
        <v>4273</v>
      </c>
      <c r="I1806" s="151" t="s">
        <v>6962</v>
      </c>
      <c r="J1806" s="151" t="s">
        <v>6962</v>
      </c>
      <c r="K1806" s="151">
        <f t="shared" si="58"/>
        <v>0</v>
      </c>
      <c r="L1806" s="151" t="s">
        <v>9021</v>
      </c>
    </row>
    <row r="1807" spans="8:12" x14ac:dyDescent="0.25">
      <c r="H1807" s="151" t="s">
        <v>4273</v>
      </c>
      <c r="I1807" s="151" t="s">
        <v>391</v>
      </c>
      <c r="J1807" s="151" t="s">
        <v>7391</v>
      </c>
      <c r="K1807" s="151">
        <f t="shared" si="58"/>
        <v>650000000001590</v>
      </c>
      <c r="L1807" s="151" t="s">
        <v>9021</v>
      </c>
    </row>
    <row r="1808" spans="8:12" x14ac:dyDescent="0.25">
      <c r="H1808" s="151" t="s">
        <v>4274</v>
      </c>
      <c r="I1808" s="151" t="s">
        <v>6962</v>
      </c>
      <c r="J1808" s="151" t="s">
        <v>6962</v>
      </c>
      <c r="K1808" s="151">
        <f t="shared" si="58"/>
        <v>0</v>
      </c>
      <c r="L1808" s="151" t="s">
        <v>9021</v>
      </c>
    </row>
    <row r="1809" spans="8:12" x14ac:dyDescent="0.25">
      <c r="H1809" s="151" t="s">
        <v>4274</v>
      </c>
      <c r="I1809" s="151" t="s">
        <v>391</v>
      </c>
      <c r="J1809" s="151" t="s">
        <v>7392</v>
      </c>
      <c r="K1809" s="151">
        <f t="shared" si="58"/>
        <v>650000000001591</v>
      </c>
      <c r="L1809" s="151" t="s">
        <v>9021</v>
      </c>
    </row>
    <row r="1810" spans="8:12" x14ac:dyDescent="0.25">
      <c r="H1810" s="151" t="s">
        <v>4275</v>
      </c>
      <c r="I1810" s="151" t="s">
        <v>6962</v>
      </c>
      <c r="J1810" s="151" t="s">
        <v>6962</v>
      </c>
      <c r="K1810" s="151">
        <f t="shared" si="58"/>
        <v>0</v>
      </c>
      <c r="L1810" s="151" t="s">
        <v>9021</v>
      </c>
    </row>
    <row r="1811" spans="8:12" x14ac:dyDescent="0.25">
      <c r="H1811" s="151" t="s">
        <v>4275</v>
      </c>
      <c r="I1811" s="151" t="s">
        <v>391</v>
      </c>
      <c r="J1811" s="151" t="s">
        <v>7393</v>
      </c>
      <c r="K1811" s="151">
        <f t="shared" si="58"/>
        <v>650000000000411</v>
      </c>
      <c r="L1811" s="151" t="s">
        <v>9021</v>
      </c>
    </row>
    <row r="1812" spans="8:12" x14ac:dyDescent="0.25">
      <c r="H1812" s="151" t="s">
        <v>4276</v>
      </c>
      <c r="I1812" s="151" t="s">
        <v>6962</v>
      </c>
      <c r="J1812" s="151" t="s">
        <v>6962</v>
      </c>
      <c r="K1812" s="151">
        <f t="shared" si="58"/>
        <v>0</v>
      </c>
      <c r="L1812" s="151" t="s">
        <v>9026</v>
      </c>
    </row>
    <row r="1813" spans="8:12" x14ac:dyDescent="0.25">
      <c r="H1813" s="151" t="s">
        <v>4276</v>
      </c>
      <c r="I1813" s="151" t="s">
        <v>391</v>
      </c>
      <c r="J1813" s="151" t="s">
        <v>7394</v>
      </c>
      <c r="K1813" s="151">
        <f t="shared" si="58"/>
        <v>650000000000412</v>
      </c>
      <c r="L1813" s="151" t="s">
        <v>9026</v>
      </c>
    </row>
    <row r="1814" spans="8:12" x14ac:dyDescent="0.25">
      <c r="H1814" s="151" t="s">
        <v>4277</v>
      </c>
      <c r="I1814" s="151" t="s">
        <v>6962</v>
      </c>
      <c r="J1814" s="151" t="s">
        <v>6962</v>
      </c>
      <c r="K1814" s="151">
        <f t="shared" si="58"/>
        <v>0</v>
      </c>
      <c r="L1814" s="151" t="s">
        <v>9025</v>
      </c>
    </row>
    <row r="1815" spans="8:12" x14ac:dyDescent="0.25">
      <c r="H1815" s="151" t="s">
        <v>4277</v>
      </c>
      <c r="I1815" s="151" t="s">
        <v>391</v>
      </c>
      <c r="J1815" s="151" t="s">
        <v>7395</v>
      </c>
      <c r="K1815" s="151">
        <f t="shared" si="58"/>
        <v>650000000000413</v>
      </c>
      <c r="L1815" s="151" t="s">
        <v>9025</v>
      </c>
    </row>
    <row r="1816" spans="8:12" x14ac:dyDescent="0.25">
      <c r="H1816" s="151" t="s">
        <v>4278</v>
      </c>
      <c r="I1816" s="151" t="s">
        <v>6962</v>
      </c>
      <c r="J1816" s="151" t="s">
        <v>6962</v>
      </c>
      <c r="K1816" s="151">
        <f t="shared" si="58"/>
        <v>0</v>
      </c>
      <c r="L1816" s="151" t="s">
        <v>9021</v>
      </c>
    </row>
    <row r="1817" spans="8:12" x14ac:dyDescent="0.25">
      <c r="H1817" s="151" t="s">
        <v>4278</v>
      </c>
      <c r="I1817" s="151" t="s">
        <v>391</v>
      </c>
      <c r="J1817" s="151" t="s">
        <v>7396</v>
      </c>
      <c r="K1817" s="151">
        <f t="shared" si="58"/>
        <v>650000000000414</v>
      </c>
      <c r="L1817" s="151" t="s">
        <v>9021</v>
      </c>
    </row>
    <row r="1818" spans="8:12" x14ac:dyDescent="0.25">
      <c r="H1818" s="151" t="s">
        <v>4279</v>
      </c>
      <c r="I1818" s="151" t="s">
        <v>6962</v>
      </c>
      <c r="J1818" s="151" t="s">
        <v>6962</v>
      </c>
      <c r="K1818" s="151">
        <f t="shared" si="58"/>
        <v>0</v>
      </c>
      <c r="L1818" s="151" t="s">
        <v>9021</v>
      </c>
    </row>
    <row r="1819" spans="8:12" x14ac:dyDescent="0.25">
      <c r="H1819" s="151" t="s">
        <v>4279</v>
      </c>
      <c r="I1819" s="151" t="s">
        <v>391</v>
      </c>
      <c r="J1819" s="151" t="s">
        <v>7397</v>
      </c>
      <c r="K1819" s="151">
        <f t="shared" si="58"/>
        <v>650000000000415</v>
      </c>
      <c r="L1819" s="151" t="s">
        <v>9021</v>
      </c>
    </row>
    <row r="1820" spans="8:12" x14ac:dyDescent="0.25">
      <c r="H1820" s="151" t="s">
        <v>4280</v>
      </c>
      <c r="I1820" s="151" t="s">
        <v>6962</v>
      </c>
      <c r="J1820" s="151" t="s">
        <v>6962</v>
      </c>
      <c r="K1820" s="151">
        <f t="shared" si="58"/>
        <v>0</v>
      </c>
      <c r="L1820" s="151" t="s">
        <v>9021</v>
      </c>
    </row>
    <row r="1821" spans="8:12" x14ac:dyDescent="0.25">
      <c r="H1821" s="151" t="s">
        <v>4280</v>
      </c>
      <c r="I1821" s="151" t="s">
        <v>391</v>
      </c>
      <c r="J1821" s="151" t="s">
        <v>7398</v>
      </c>
      <c r="K1821" s="151">
        <f t="shared" si="58"/>
        <v>650000000000416</v>
      </c>
      <c r="L1821" s="151" t="s">
        <v>9021</v>
      </c>
    </row>
    <row r="1822" spans="8:12" x14ac:dyDescent="0.25">
      <c r="H1822" s="151" t="s">
        <v>4281</v>
      </c>
      <c r="I1822" s="151" t="s">
        <v>6962</v>
      </c>
      <c r="J1822" s="151" t="s">
        <v>6962</v>
      </c>
      <c r="K1822" s="151">
        <f t="shared" si="58"/>
        <v>0</v>
      </c>
      <c r="L1822" s="151" t="s">
        <v>9021</v>
      </c>
    </row>
    <row r="1823" spans="8:12" x14ac:dyDescent="0.25">
      <c r="H1823" s="151" t="s">
        <v>4281</v>
      </c>
      <c r="I1823" s="151" t="s">
        <v>391</v>
      </c>
      <c r="J1823" s="151" t="s">
        <v>7399</v>
      </c>
      <c r="K1823" s="151">
        <f t="shared" si="58"/>
        <v>650000000000417</v>
      </c>
      <c r="L1823" s="151" t="s">
        <v>9021</v>
      </c>
    </row>
    <row r="1824" spans="8:12" x14ac:dyDescent="0.25">
      <c r="H1824" s="151" t="s">
        <v>4282</v>
      </c>
      <c r="I1824" s="151" t="s">
        <v>6962</v>
      </c>
      <c r="J1824" s="151" t="s">
        <v>6962</v>
      </c>
      <c r="K1824" s="151">
        <f t="shared" si="58"/>
        <v>0</v>
      </c>
      <c r="L1824" s="151" t="s">
        <v>9022</v>
      </c>
    </row>
    <row r="1825" spans="8:12" x14ac:dyDescent="0.25">
      <c r="H1825" s="151" t="s">
        <v>4282</v>
      </c>
      <c r="I1825" s="151" t="s">
        <v>391</v>
      </c>
      <c r="J1825" s="151" t="s">
        <v>7400</v>
      </c>
      <c r="K1825" s="151">
        <f t="shared" si="58"/>
        <v>650000000000418</v>
      </c>
      <c r="L1825" s="151" t="s">
        <v>9022</v>
      </c>
    </row>
    <row r="1826" spans="8:12" x14ac:dyDescent="0.25">
      <c r="H1826" s="151" t="s">
        <v>4283</v>
      </c>
      <c r="I1826" s="151" t="s">
        <v>6962</v>
      </c>
      <c r="J1826" s="151" t="s">
        <v>6962</v>
      </c>
      <c r="K1826" s="151">
        <f t="shared" si="58"/>
        <v>0</v>
      </c>
      <c r="L1826" s="151" t="s">
        <v>9021</v>
      </c>
    </row>
    <row r="1827" spans="8:12" x14ac:dyDescent="0.25">
      <c r="H1827" s="151" t="s">
        <v>4283</v>
      </c>
      <c r="I1827" s="151" t="s">
        <v>391</v>
      </c>
      <c r="J1827" s="151" t="s">
        <v>7401</v>
      </c>
      <c r="K1827" s="151">
        <f t="shared" si="58"/>
        <v>650000000000419</v>
      </c>
      <c r="L1827" s="151" t="s">
        <v>9021</v>
      </c>
    </row>
    <row r="1828" spans="8:12" x14ac:dyDescent="0.25">
      <c r="H1828" s="151" t="s">
        <v>4284</v>
      </c>
      <c r="I1828" s="151" t="s">
        <v>6962</v>
      </c>
      <c r="J1828" s="151" t="s">
        <v>6962</v>
      </c>
      <c r="K1828" s="151">
        <f t="shared" si="58"/>
        <v>0</v>
      </c>
      <c r="L1828" s="151" t="s">
        <v>9021</v>
      </c>
    </row>
    <row r="1829" spans="8:12" x14ac:dyDescent="0.25">
      <c r="H1829" s="151" t="s">
        <v>4284</v>
      </c>
      <c r="I1829" s="151" t="s">
        <v>391</v>
      </c>
      <c r="J1829" s="151" t="s">
        <v>7402</v>
      </c>
      <c r="K1829" s="151">
        <f t="shared" si="58"/>
        <v>650000000000420</v>
      </c>
      <c r="L1829" s="151" t="s">
        <v>9021</v>
      </c>
    </row>
    <row r="1830" spans="8:12" x14ac:dyDescent="0.25">
      <c r="H1830" s="151" t="s">
        <v>4285</v>
      </c>
      <c r="I1830" s="151" t="s">
        <v>6962</v>
      </c>
      <c r="J1830" s="151" t="s">
        <v>6962</v>
      </c>
      <c r="K1830" s="151">
        <f t="shared" si="58"/>
        <v>0</v>
      </c>
      <c r="L1830" s="151" t="s">
        <v>9021</v>
      </c>
    </row>
    <row r="1831" spans="8:12" x14ac:dyDescent="0.25">
      <c r="H1831" s="151" t="s">
        <v>4285</v>
      </c>
      <c r="I1831" s="151" t="s">
        <v>391</v>
      </c>
      <c r="J1831" s="151" t="s">
        <v>7403</v>
      </c>
      <c r="K1831" s="151">
        <f t="shared" si="58"/>
        <v>650000000001592</v>
      </c>
      <c r="L1831" s="151" t="s">
        <v>9021</v>
      </c>
    </row>
    <row r="1832" spans="8:12" x14ac:dyDescent="0.25">
      <c r="H1832" s="151" t="s">
        <v>4286</v>
      </c>
      <c r="I1832" s="151" t="s">
        <v>6962</v>
      </c>
      <c r="J1832" s="151" t="s">
        <v>6962</v>
      </c>
      <c r="K1832" s="151">
        <f t="shared" si="58"/>
        <v>0</v>
      </c>
      <c r="L1832" s="151" t="s">
        <v>9021</v>
      </c>
    </row>
    <row r="1833" spans="8:12" x14ac:dyDescent="0.25">
      <c r="H1833" s="151" t="s">
        <v>4286</v>
      </c>
      <c r="I1833" s="151" t="s">
        <v>391</v>
      </c>
      <c r="J1833" s="151" t="s">
        <v>7404</v>
      </c>
      <c r="K1833" s="151">
        <f t="shared" si="58"/>
        <v>650000000000421</v>
      </c>
      <c r="L1833" s="151" t="s">
        <v>9021</v>
      </c>
    </row>
    <row r="1834" spans="8:12" x14ac:dyDescent="0.25">
      <c r="H1834" s="151" t="s">
        <v>4287</v>
      </c>
      <c r="I1834" s="151" t="s">
        <v>6962</v>
      </c>
      <c r="J1834" s="151" t="s">
        <v>6962</v>
      </c>
      <c r="K1834" s="151">
        <f t="shared" si="58"/>
        <v>0</v>
      </c>
      <c r="L1834" s="151" t="s">
        <v>9021</v>
      </c>
    </row>
    <row r="1835" spans="8:12" x14ac:dyDescent="0.25">
      <c r="H1835" s="151" t="s">
        <v>4287</v>
      </c>
      <c r="I1835" s="151" t="s">
        <v>391</v>
      </c>
      <c r="J1835" s="151" t="s">
        <v>7405</v>
      </c>
      <c r="K1835" s="151">
        <f t="shared" si="58"/>
        <v>650000000000422</v>
      </c>
      <c r="L1835" s="151" t="s">
        <v>9021</v>
      </c>
    </row>
    <row r="1836" spans="8:12" x14ac:dyDescent="0.25">
      <c r="H1836" s="151" t="s">
        <v>4288</v>
      </c>
      <c r="I1836" s="151" t="s">
        <v>6962</v>
      </c>
      <c r="J1836" s="151" t="s">
        <v>6962</v>
      </c>
      <c r="K1836" s="151">
        <f t="shared" si="58"/>
        <v>0</v>
      </c>
      <c r="L1836" s="151" t="s">
        <v>9021</v>
      </c>
    </row>
    <row r="1837" spans="8:12" x14ac:dyDescent="0.25">
      <c r="H1837" s="151" t="s">
        <v>4288</v>
      </c>
      <c r="I1837" s="151" t="s">
        <v>391</v>
      </c>
      <c r="J1837" s="151" t="s">
        <v>7406</v>
      </c>
      <c r="K1837" s="151">
        <f t="shared" si="58"/>
        <v>650000000001593</v>
      </c>
      <c r="L1837" s="151" t="s">
        <v>9021</v>
      </c>
    </row>
    <row r="1838" spans="8:12" x14ac:dyDescent="0.25">
      <c r="H1838" s="151" t="s">
        <v>4289</v>
      </c>
      <c r="I1838" s="151" t="s">
        <v>6962</v>
      </c>
      <c r="J1838" s="151" t="s">
        <v>6962</v>
      </c>
      <c r="K1838" s="151">
        <f t="shared" si="58"/>
        <v>0</v>
      </c>
      <c r="L1838" s="151" t="s">
        <v>9021</v>
      </c>
    </row>
    <row r="1839" spans="8:12" x14ac:dyDescent="0.25">
      <c r="H1839" s="151" t="s">
        <v>4289</v>
      </c>
      <c r="I1839" s="151" t="s">
        <v>391</v>
      </c>
      <c r="J1839" s="151" t="s">
        <v>7407</v>
      </c>
      <c r="K1839" s="151">
        <f t="shared" si="58"/>
        <v>650000000000423</v>
      </c>
      <c r="L1839" s="151" t="s">
        <v>9021</v>
      </c>
    </row>
    <row r="1840" spans="8:12" x14ac:dyDescent="0.25">
      <c r="H1840" s="151" t="s">
        <v>4290</v>
      </c>
      <c r="I1840" s="151" t="s">
        <v>6962</v>
      </c>
      <c r="J1840" s="151" t="s">
        <v>6962</v>
      </c>
      <c r="K1840" s="151">
        <f t="shared" si="58"/>
        <v>0</v>
      </c>
      <c r="L1840" s="151" t="s">
        <v>9021</v>
      </c>
    </row>
    <row r="1841" spans="8:12" x14ac:dyDescent="0.25">
      <c r="H1841" s="151" t="s">
        <v>4290</v>
      </c>
      <c r="I1841" s="151" t="s">
        <v>391</v>
      </c>
      <c r="J1841" s="151" t="s">
        <v>7408</v>
      </c>
      <c r="K1841" s="151">
        <f t="shared" si="58"/>
        <v>650000000000424</v>
      </c>
      <c r="L1841" s="151" t="s">
        <v>9021</v>
      </c>
    </row>
    <row r="1842" spans="8:12" x14ac:dyDescent="0.25">
      <c r="H1842" s="151" t="s">
        <v>4291</v>
      </c>
      <c r="I1842" s="151" t="s">
        <v>6962</v>
      </c>
      <c r="J1842" s="151" t="s">
        <v>6962</v>
      </c>
      <c r="K1842" s="151">
        <f t="shared" si="58"/>
        <v>0</v>
      </c>
      <c r="L1842" s="151" t="s">
        <v>9021</v>
      </c>
    </row>
    <row r="1843" spans="8:12" x14ac:dyDescent="0.25">
      <c r="H1843" s="151" t="s">
        <v>4291</v>
      </c>
      <c r="I1843" s="151" t="s">
        <v>391</v>
      </c>
      <c r="J1843" s="151" t="s">
        <v>7409</v>
      </c>
      <c r="K1843" s="151">
        <f t="shared" si="58"/>
        <v>650000000000425</v>
      </c>
      <c r="L1843" s="151" t="s">
        <v>9021</v>
      </c>
    </row>
    <row r="1844" spans="8:12" x14ac:dyDescent="0.25">
      <c r="H1844" s="151" t="s">
        <v>4292</v>
      </c>
      <c r="I1844" s="151" t="s">
        <v>6962</v>
      </c>
      <c r="J1844" s="151" t="s">
        <v>6962</v>
      </c>
      <c r="K1844" s="151">
        <f t="shared" si="58"/>
        <v>0</v>
      </c>
      <c r="L1844" s="151" t="s">
        <v>9021</v>
      </c>
    </row>
    <row r="1845" spans="8:12" x14ac:dyDescent="0.25">
      <c r="H1845" s="151" t="s">
        <v>4292</v>
      </c>
      <c r="I1845" s="151" t="s">
        <v>391</v>
      </c>
      <c r="J1845" s="151" t="s">
        <v>7410</v>
      </c>
      <c r="K1845" s="151">
        <f t="shared" si="58"/>
        <v>650000000001594</v>
      </c>
      <c r="L1845" s="151" t="s">
        <v>9021</v>
      </c>
    </row>
    <row r="1846" spans="8:12" x14ac:dyDescent="0.25">
      <c r="H1846" s="151" t="s">
        <v>4293</v>
      </c>
      <c r="I1846" s="151" t="s">
        <v>6962</v>
      </c>
      <c r="J1846" s="151" t="s">
        <v>6962</v>
      </c>
      <c r="K1846" s="151">
        <f t="shared" si="58"/>
        <v>0</v>
      </c>
      <c r="L1846" s="151" t="s">
        <v>9021</v>
      </c>
    </row>
    <row r="1847" spans="8:12" x14ac:dyDescent="0.25">
      <c r="H1847" s="151" t="s">
        <v>4293</v>
      </c>
      <c r="I1847" s="151" t="s">
        <v>391</v>
      </c>
      <c r="J1847" s="151" t="s">
        <v>7411</v>
      </c>
      <c r="K1847" s="151">
        <f t="shared" si="58"/>
        <v>650000000000426</v>
      </c>
      <c r="L1847" s="151" t="s">
        <v>9021</v>
      </c>
    </row>
    <row r="1848" spans="8:12" x14ac:dyDescent="0.25">
      <c r="H1848" s="151" t="s">
        <v>4294</v>
      </c>
      <c r="I1848" s="151" t="s">
        <v>6962</v>
      </c>
      <c r="J1848" s="151" t="s">
        <v>6962</v>
      </c>
      <c r="K1848" s="151">
        <f t="shared" si="58"/>
        <v>0</v>
      </c>
      <c r="L1848" s="151" t="s">
        <v>9021</v>
      </c>
    </row>
    <row r="1849" spans="8:12" x14ac:dyDescent="0.25">
      <c r="H1849" s="151" t="s">
        <v>4294</v>
      </c>
      <c r="I1849" s="151" t="s">
        <v>391</v>
      </c>
      <c r="J1849" s="151" t="s">
        <v>7412</v>
      </c>
      <c r="K1849" s="151">
        <f t="shared" si="58"/>
        <v>650000000000427</v>
      </c>
      <c r="L1849" s="151" t="s">
        <v>9021</v>
      </c>
    </row>
    <row r="1850" spans="8:12" x14ac:dyDescent="0.25">
      <c r="H1850" s="151" t="s">
        <v>4295</v>
      </c>
      <c r="I1850" s="151" t="s">
        <v>6962</v>
      </c>
      <c r="J1850" s="151" t="s">
        <v>6962</v>
      </c>
      <c r="K1850" s="151">
        <f t="shared" si="58"/>
        <v>0</v>
      </c>
      <c r="L1850" s="151" t="s">
        <v>9021</v>
      </c>
    </row>
    <row r="1851" spans="8:12" x14ac:dyDescent="0.25">
      <c r="H1851" s="151" t="s">
        <v>4295</v>
      </c>
      <c r="I1851" s="151" t="s">
        <v>391</v>
      </c>
      <c r="J1851" s="151" t="s">
        <v>7413</v>
      </c>
      <c r="K1851" s="151">
        <f t="shared" si="58"/>
        <v>650000000000428</v>
      </c>
      <c r="L1851" s="151" t="s">
        <v>9021</v>
      </c>
    </row>
    <row r="1852" spans="8:12" x14ac:dyDescent="0.25">
      <c r="H1852" s="151" t="s">
        <v>4296</v>
      </c>
      <c r="I1852" s="151" t="s">
        <v>6962</v>
      </c>
      <c r="J1852" s="151" t="s">
        <v>6962</v>
      </c>
      <c r="K1852" s="151">
        <f t="shared" si="58"/>
        <v>0</v>
      </c>
      <c r="L1852" s="151" t="s">
        <v>9021</v>
      </c>
    </row>
    <row r="1853" spans="8:12" x14ac:dyDescent="0.25">
      <c r="H1853" s="151" t="s">
        <v>4296</v>
      </c>
      <c r="I1853" s="151" t="s">
        <v>391</v>
      </c>
      <c r="J1853" s="151" t="s">
        <v>7414</v>
      </c>
      <c r="K1853" s="151">
        <f t="shared" si="58"/>
        <v>650000000001595</v>
      </c>
      <c r="L1853" s="151" t="s">
        <v>9021</v>
      </c>
    </row>
    <row r="1854" spans="8:12" x14ac:dyDescent="0.25">
      <c r="H1854" s="151" t="s">
        <v>4297</v>
      </c>
      <c r="I1854" s="151" t="s">
        <v>6962</v>
      </c>
      <c r="J1854" s="151" t="s">
        <v>6962</v>
      </c>
      <c r="K1854" s="151">
        <f t="shared" si="58"/>
        <v>0</v>
      </c>
      <c r="L1854" s="151" t="s">
        <v>9021</v>
      </c>
    </row>
    <row r="1855" spans="8:12" x14ac:dyDescent="0.25">
      <c r="H1855" s="151" t="s">
        <v>4297</v>
      </c>
      <c r="I1855" s="151" t="s">
        <v>391</v>
      </c>
      <c r="J1855" s="151" t="s">
        <v>7415</v>
      </c>
      <c r="K1855" s="151">
        <f t="shared" si="58"/>
        <v>650000000001596</v>
      </c>
      <c r="L1855" s="151" t="s">
        <v>9021</v>
      </c>
    </row>
    <row r="1856" spans="8:12" x14ac:dyDescent="0.25">
      <c r="H1856" s="151" t="s">
        <v>4298</v>
      </c>
      <c r="I1856" s="151" t="s">
        <v>6962</v>
      </c>
      <c r="J1856" s="151" t="s">
        <v>6962</v>
      </c>
      <c r="K1856" s="151">
        <f t="shared" si="58"/>
        <v>0</v>
      </c>
      <c r="L1856" s="151" t="s">
        <v>9021</v>
      </c>
    </row>
    <row r="1857" spans="8:12" x14ac:dyDescent="0.25">
      <c r="H1857" s="151" t="s">
        <v>4298</v>
      </c>
      <c r="I1857" s="151" t="s">
        <v>391</v>
      </c>
      <c r="J1857" s="151" t="s">
        <v>7416</v>
      </c>
      <c r="K1857" s="151">
        <f t="shared" si="58"/>
        <v>650000000000429</v>
      </c>
      <c r="L1857" s="151" t="s">
        <v>9021</v>
      </c>
    </row>
    <row r="1858" spans="8:12" x14ac:dyDescent="0.25">
      <c r="H1858" s="151" t="s">
        <v>4299</v>
      </c>
      <c r="I1858" s="151" t="s">
        <v>6962</v>
      </c>
      <c r="J1858" s="151" t="s">
        <v>6962</v>
      </c>
      <c r="K1858" s="151">
        <f t="shared" si="58"/>
        <v>0</v>
      </c>
      <c r="L1858" s="151" t="s">
        <v>9021</v>
      </c>
    </row>
    <row r="1859" spans="8:12" x14ac:dyDescent="0.25">
      <c r="H1859" s="151" t="s">
        <v>4299</v>
      </c>
      <c r="I1859" s="151" t="s">
        <v>391</v>
      </c>
      <c r="J1859" s="151" t="s">
        <v>7417</v>
      </c>
      <c r="K1859" s="151">
        <f t="shared" ref="K1859:K1922" si="59">+IFERROR(J1859*1,0)</f>
        <v>650000000000430</v>
      </c>
      <c r="L1859" s="151" t="s">
        <v>9021</v>
      </c>
    </row>
    <row r="1860" spans="8:12" x14ac:dyDescent="0.25">
      <c r="H1860" s="151" t="s">
        <v>4300</v>
      </c>
      <c r="I1860" s="151" t="s">
        <v>6962</v>
      </c>
      <c r="J1860" s="151" t="s">
        <v>6962</v>
      </c>
      <c r="K1860" s="151">
        <f t="shared" si="59"/>
        <v>0</v>
      </c>
      <c r="L1860" s="151" t="s">
        <v>9021</v>
      </c>
    </row>
    <row r="1861" spans="8:12" x14ac:dyDescent="0.25">
      <c r="H1861" s="151" t="s">
        <v>4300</v>
      </c>
      <c r="I1861" s="151" t="s">
        <v>391</v>
      </c>
      <c r="J1861" s="151" t="s">
        <v>7418</v>
      </c>
      <c r="K1861" s="151">
        <f t="shared" si="59"/>
        <v>650000000000431</v>
      </c>
      <c r="L1861" s="151" t="s">
        <v>9021</v>
      </c>
    </row>
    <row r="1862" spans="8:12" x14ac:dyDescent="0.25">
      <c r="H1862" s="151" t="s">
        <v>4301</v>
      </c>
      <c r="I1862" s="151" t="s">
        <v>6962</v>
      </c>
      <c r="J1862" s="151" t="s">
        <v>6962</v>
      </c>
      <c r="K1862" s="151">
        <f t="shared" si="59"/>
        <v>0</v>
      </c>
      <c r="L1862" s="151" t="s">
        <v>9021</v>
      </c>
    </row>
    <row r="1863" spans="8:12" x14ac:dyDescent="0.25">
      <c r="H1863" s="151" t="s">
        <v>4301</v>
      </c>
      <c r="I1863" s="151" t="s">
        <v>391</v>
      </c>
      <c r="J1863" s="151" t="s">
        <v>7419</v>
      </c>
      <c r="K1863" s="151">
        <f t="shared" si="59"/>
        <v>650000000000432</v>
      </c>
      <c r="L1863" s="151" t="s">
        <v>9021</v>
      </c>
    </row>
    <row r="1864" spans="8:12" x14ac:dyDescent="0.25">
      <c r="H1864" s="151" t="s">
        <v>4302</v>
      </c>
      <c r="I1864" s="151" t="s">
        <v>6962</v>
      </c>
      <c r="J1864" s="151" t="s">
        <v>6962</v>
      </c>
      <c r="K1864" s="151">
        <f t="shared" si="59"/>
        <v>0</v>
      </c>
      <c r="L1864" s="151" t="s">
        <v>9021</v>
      </c>
    </row>
    <row r="1865" spans="8:12" x14ac:dyDescent="0.25">
      <c r="H1865" s="151" t="s">
        <v>4302</v>
      </c>
      <c r="I1865" s="151" t="s">
        <v>391</v>
      </c>
      <c r="J1865" s="151" t="s">
        <v>7420</v>
      </c>
      <c r="K1865" s="151">
        <f t="shared" si="59"/>
        <v>650000000001597</v>
      </c>
      <c r="L1865" s="151" t="s">
        <v>9021</v>
      </c>
    </row>
    <row r="1866" spans="8:12" x14ac:dyDescent="0.25">
      <c r="H1866" s="151" t="s">
        <v>4303</v>
      </c>
      <c r="I1866" s="151" t="s">
        <v>6962</v>
      </c>
      <c r="J1866" s="151" t="s">
        <v>6962</v>
      </c>
      <c r="K1866" s="151">
        <f t="shared" si="59"/>
        <v>0</v>
      </c>
      <c r="L1866" s="151" t="s">
        <v>9021</v>
      </c>
    </row>
    <row r="1867" spans="8:12" x14ac:dyDescent="0.25">
      <c r="H1867" s="151" t="s">
        <v>4303</v>
      </c>
      <c r="I1867" s="151" t="s">
        <v>391</v>
      </c>
      <c r="J1867" s="151" t="s">
        <v>7421</v>
      </c>
      <c r="K1867" s="151">
        <f t="shared" si="59"/>
        <v>650000000000433</v>
      </c>
      <c r="L1867" s="151" t="s">
        <v>9021</v>
      </c>
    </row>
    <row r="1868" spans="8:12" x14ac:dyDescent="0.25">
      <c r="H1868" s="151" t="s">
        <v>4304</v>
      </c>
      <c r="I1868" s="151" t="s">
        <v>6962</v>
      </c>
      <c r="J1868" s="151" t="s">
        <v>6962</v>
      </c>
      <c r="K1868" s="151">
        <f t="shared" si="59"/>
        <v>0</v>
      </c>
      <c r="L1868" s="151" t="s">
        <v>9021</v>
      </c>
    </row>
    <row r="1869" spans="8:12" x14ac:dyDescent="0.25">
      <c r="H1869" s="151" t="s">
        <v>4304</v>
      </c>
      <c r="I1869" s="151" t="s">
        <v>391</v>
      </c>
      <c r="J1869" s="151" t="s">
        <v>7422</v>
      </c>
      <c r="K1869" s="151">
        <f t="shared" si="59"/>
        <v>650000000001598</v>
      </c>
      <c r="L1869" s="151" t="s">
        <v>9021</v>
      </c>
    </row>
    <row r="1870" spans="8:12" x14ac:dyDescent="0.25">
      <c r="H1870" s="151" t="s">
        <v>4305</v>
      </c>
      <c r="I1870" s="151" t="s">
        <v>6962</v>
      </c>
      <c r="J1870" s="151" t="s">
        <v>6962</v>
      </c>
      <c r="K1870" s="151">
        <f t="shared" si="59"/>
        <v>0</v>
      </c>
      <c r="L1870" s="151" t="s">
        <v>9021</v>
      </c>
    </row>
    <row r="1871" spans="8:12" x14ac:dyDescent="0.25">
      <c r="H1871" s="151" t="s">
        <v>4305</v>
      </c>
      <c r="I1871" s="151" t="s">
        <v>391</v>
      </c>
      <c r="J1871" s="151" t="s">
        <v>7423</v>
      </c>
      <c r="K1871" s="151">
        <f t="shared" si="59"/>
        <v>650000000000434</v>
      </c>
      <c r="L1871" s="151" t="s">
        <v>9021</v>
      </c>
    </row>
    <row r="1872" spans="8:12" x14ac:dyDescent="0.25">
      <c r="H1872" s="151" t="s">
        <v>4306</v>
      </c>
      <c r="I1872" s="151" t="s">
        <v>6962</v>
      </c>
      <c r="J1872" s="151" t="s">
        <v>6962</v>
      </c>
      <c r="K1872" s="151">
        <f t="shared" si="59"/>
        <v>0</v>
      </c>
      <c r="L1872" s="151" t="s">
        <v>9021</v>
      </c>
    </row>
    <row r="1873" spans="8:12" x14ac:dyDescent="0.25">
      <c r="H1873" s="151" t="s">
        <v>4306</v>
      </c>
      <c r="I1873" s="151" t="s">
        <v>391</v>
      </c>
      <c r="J1873" s="151" t="s">
        <v>7424</v>
      </c>
      <c r="K1873" s="151">
        <f t="shared" si="59"/>
        <v>650000000001599</v>
      </c>
      <c r="L1873" s="151" t="s">
        <v>9021</v>
      </c>
    </row>
    <row r="1874" spans="8:12" x14ac:dyDescent="0.25">
      <c r="H1874" s="151" t="s">
        <v>4307</v>
      </c>
      <c r="I1874" s="151" t="s">
        <v>6962</v>
      </c>
      <c r="J1874" s="151" t="s">
        <v>6962</v>
      </c>
      <c r="K1874" s="151">
        <f t="shared" si="59"/>
        <v>0</v>
      </c>
      <c r="L1874" s="151" t="s">
        <v>9021</v>
      </c>
    </row>
    <row r="1875" spans="8:12" x14ac:dyDescent="0.25">
      <c r="H1875" s="151" t="s">
        <v>4307</v>
      </c>
      <c r="I1875" s="151" t="s">
        <v>391</v>
      </c>
      <c r="J1875" s="151" t="s">
        <v>7425</v>
      </c>
      <c r="K1875" s="151">
        <f t="shared" si="59"/>
        <v>650000000001600</v>
      </c>
      <c r="L1875" s="151" t="s">
        <v>9021</v>
      </c>
    </row>
    <row r="1876" spans="8:12" x14ac:dyDescent="0.25">
      <c r="H1876" s="151" t="s">
        <v>4308</v>
      </c>
      <c r="I1876" s="151" t="s">
        <v>6962</v>
      </c>
      <c r="J1876" s="151" t="s">
        <v>6962</v>
      </c>
      <c r="K1876" s="151">
        <f t="shared" si="59"/>
        <v>0</v>
      </c>
      <c r="L1876" s="151" t="s">
        <v>9021</v>
      </c>
    </row>
    <row r="1877" spans="8:12" x14ac:dyDescent="0.25">
      <c r="H1877" s="151" t="s">
        <v>4308</v>
      </c>
      <c r="I1877" s="151" t="s">
        <v>391</v>
      </c>
      <c r="J1877" s="151" t="s">
        <v>7426</v>
      </c>
      <c r="K1877" s="151">
        <f t="shared" si="59"/>
        <v>650000000001601</v>
      </c>
      <c r="L1877" s="151" t="s">
        <v>9021</v>
      </c>
    </row>
    <row r="1878" spans="8:12" x14ac:dyDescent="0.25">
      <c r="H1878" s="151" t="s">
        <v>4309</v>
      </c>
      <c r="I1878" s="151" t="s">
        <v>6962</v>
      </c>
      <c r="J1878" s="151" t="s">
        <v>6962</v>
      </c>
      <c r="K1878" s="151">
        <f t="shared" si="59"/>
        <v>0</v>
      </c>
      <c r="L1878" s="151" t="s">
        <v>9021</v>
      </c>
    </row>
    <row r="1879" spans="8:12" x14ac:dyDescent="0.25">
      <c r="H1879" s="151" t="s">
        <v>4309</v>
      </c>
      <c r="I1879" s="151" t="s">
        <v>391</v>
      </c>
      <c r="J1879" s="151" t="s">
        <v>7427</v>
      </c>
      <c r="K1879" s="151">
        <f t="shared" si="59"/>
        <v>650000000000435</v>
      </c>
      <c r="L1879" s="151" t="s">
        <v>9021</v>
      </c>
    </row>
    <row r="1880" spans="8:12" x14ac:dyDescent="0.25">
      <c r="H1880" s="151" t="s">
        <v>4310</v>
      </c>
      <c r="I1880" s="151" t="s">
        <v>6962</v>
      </c>
      <c r="J1880" s="151" t="s">
        <v>6962</v>
      </c>
      <c r="K1880" s="151">
        <f t="shared" si="59"/>
        <v>0</v>
      </c>
      <c r="L1880" s="151" t="s">
        <v>9021</v>
      </c>
    </row>
    <row r="1881" spans="8:12" x14ac:dyDescent="0.25">
      <c r="H1881" s="151" t="s">
        <v>4310</v>
      </c>
      <c r="I1881" s="151" t="s">
        <v>391</v>
      </c>
      <c r="J1881" s="151" t="s">
        <v>7428</v>
      </c>
      <c r="K1881" s="151">
        <f t="shared" si="59"/>
        <v>650000000000436</v>
      </c>
      <c r="L1881" s="151" t="s">
        <v>9021</v>
      </c>
    </row>
    <row r="1882" spans="8:12" x14ac:dyDescent="0.25">
      <c r="H1882" s="151" t="s">
        <v>4311</v>
      </c>
      <c r="I1882" s="151" t="s">
        <v>6962</v>
      </c>
      <c r="J1882" s="151" t="s">
        <v>6962</v>
      </c>
      <c r="K1882" s="151">
        <f t="shared" si="59"/>
        <v>0</v>
      </c>
      <c r="L1882" s="151" t="s">
        <v>9021</v>
      </c>
    </row>
    <row r="1883" spans="8:12" x14ac:dyDescent="0.25">
      <c r="H1883" s="151" t="s">
        <v>4311</v>
      </c>
      <c r="I1883" s="151" t="s">
        <v>391</v>
      </c>
      <c r="J1883" s="151" t="s">
        <v>7429</v>
      </c>
      <c r="K1883" s="151">
        <f t="shared" si="59"/>
        <v>650000000000437</v>
      </c>
      <c r="L1883" s="151" t="s">
        <v>9021</v>
      </c>
    </row>
    <row r="1884" spans="8:12" x14ac:dyDescent="0.25">
      <c r="H1884" s="151" t="s">
        <v>4312</v>
      </c>
      <c r="I1884" s="151" t="s">
        <v>6962</v>
      </c>
      <c r="J1884" s="151" t="s">
        <v>6962</v>
      </c>
      <c r="K1884" s="151">
        <f t="shared" si="59"/>
        <v>0</v>
      </c>
      <c r="L1884" s="151" t="s">
        <v>9021</v>
      </c>
    </row>
    <row r="1885" spans="8:12" x14ac:dyDescent="0.25">
      <c r="H1885" s="151" t="s">
        <v>4312</v>
      </c>
      <c r="I1885" s="151" t="s">
        <v>391</v>
      </c>
      <c r="J1885" s="151" t="s">
        <v>7430</v>
      </c>
      <c r="K1885" s="151">
        <f t="shared" si="59"/>
        <v>650000000001602</v>
      </c>
      <c r="L1885" s="151" t="s">
        <v>9021</v>
      </c>
    </row>
    <row r="1886" spans="8:12" x14ac:dyDescent="0.25">
      <c r="H1886" s="151" t="s">
        <v>4313</v>
      </c>
      <c r="I1886" s="151" t="s">
        <v>6962</v>
      </c>
      <c r="J1886" s="151" t="s">
        <v>6962</v>
      </c>
      <c r="K1886" s="151">
        <f t="shared" si="59"/>
        <v>0</v>
      </c>
      <c r="L1886" s="151" t="s">
        <v>9021</v>
      </c>
    </row>
    <row r="1887" spans="8:12" x14ac:dyDescent="0.25">
      <c r="H1887" s="151" t="s">
        <v>4313</v>
      </c>
      <c r="I1887" s="151" t="s">
        <v>391</v>
      </c>
      <c r="J1887" s="151" t="s">
        <v>7431</v>
      </c>
      <c r="K1887" s="151">
        <f t="shared" si="59"/>
        <v>650000000001603</v>
      </c>
      <c r="L1887" s="151" t="s">
        <v>9021</v>
      </c>
    </row>
    <row r="1888" spans="8:12" x14ac:dyDescent="0.25">
      <c r="H1888" s="151" t="s">
        <v>4314</v>
      </c>
      <c r="I1888" s="151" t="s">
        <v>6962</v>
      </c>
      <c r="J1888" s="151" t="s">
        <v>6962</v>
      </c>
      <c r="K1888" s="151">
        <f t="shared" si="59"/>
        <v>0</v>
      </c>
      <c r="L1888" s="151" t="s">
        <v>9021</v>
      </c>
    </row>
    <row r="1889" spans="8:12" x14ac:dyDescent="0.25">
      <c r="H1889" s="151" t="s">
        <v>4314</v>
      </c>
      <c r="I1889" s="151" t="s">
        <v>391</v>
      </c>
      <c r="J1889" s="151" t="s">
        <v>7432</v>
      </c>
      <c r="K1889" s="151">
        <f t="shared" si="59"/>
        <v>650000000000438</v>
      </c>
      <c r="L1889" s="151" t="s">
        <v>9021</v>
      </c>
    </row>
    <row r="1890" spans="8:12" x14ac:dyDescent="0.25">
      <c r="H1890" s="151" t="s">
        <v>4315</v>
      </c>
      <c r="I1890" s="151" t="s">
        <v>6962</v>
      </c>
      <c r="J1890" s="151" t="s">
        <v>6962</v>
      </c>
      <c r="K1890" s="151">
        <f t="shared" si="59"/>
        <v>0</v>
      </c>
      <c r="L1890" s="151" t="s">
        <v>9021</v>
      </c>
    </row>
    <row r="1891" spans="8:12" x14ac:dyDescent="0.25">
      <c r="H1891" s="151" t="s">
        <v>4315</v>
      </c>
      <c r="I1891" s="151" t="s">
        <v>391</v>
      </c>
      <c r="J1891" s="151" t="s">
        <v>7433</v>
      </c>
      <c r="K1891" s="151">
        <f t="shared" si="59"/>
        <v>650000000000439</v>
      </c>
      <c r="L1891" s="151" t="s">
        <v>9021</v>
      </c>
    </row>
    <row r="1892" spans="8:12" x14ac:dyDescent="0.25">
      <c r="H1892" s="151" t="s">
        <v>4316</v>
      </c>
      <c r="I1892" s="151" t="s">
        <v>6962</v>
      </c>
      <c r="J1892" s="151" t="s">
        <v>6962</v>
      </c>
      <c r="K1892" s="151">
        <f t="shared" si="59"/>
        <v>0</v>
      </c>
      <c r="L1892" s="151" t="s">
        <v>9021</v>
      </c>
    </row>
    <row r="1893" spans="8:12" x14ac:dyDescent="0.25">
      <c r="H1893" s="151" t="s">
        <v>4316</v>
      </c>
      <c r="I1893" s="151" t="s">
        <v>391</v>
      </c>
      <c r="J1893" s="151" t="s">
        <v>7434</v>
      </c>
      <c r="K1893" s="151">
        <f t="shared" si="59"/>
        <v>650000000001604</v>
      </c>
      <c r="L1893" s="151" t="s">
        <v>9021</v>
      </c>
    </row>
    <row r="1894" spans="8:12" x14ac:dyDescent="0.25">
      <c r="H1894" s="151" t="s">
        <v>4317</v>
      </c>
      <c r="I1894" s="151" t="s">
        <v>6962</v>
      </c>
      <c r="J1894" s="151" t="s">
        <v>6962</v>
      </c>
      <c r="K1894" s="151">
        <f t="shared" si="59"/>
        <v>0</v>
      </c>
      <c r="L1894" s="151" t="s">
        <v>9026</v>
      </c>
    </row>
    <row r="1895" spans="8:12" x14ac:dyDescent="0.25">
      <c r="H1895" s="151" t="s">
        <v>4317</v>
      </c>
      <c r="I1895" s="151" t="s">
        <v>391</v>
      </c>
      <c r="J1895" s="151" t="s">
        <v>7435</v>
      </c>
      <c r="K1895" s="151">
        <f t="shared" si="59"/>
        <v>650000000001605</v>
      </c>
      <c r="L1895" s="151" t="s">
        <v>9026</v>
      </c>
    </row>
    <row r="1896" spans="8:12" x14ac:dyDescent="0.25">
      <c r="H1896" s="151" t="s">
        <v>4318</v>
      </c>
      <c r="I1896" s="151" t="s">
        <v>6962</v>
      </c>
      <c r="J1896" s="151" t="s">
        <v>6962</v>
      </c>
      <c r="K1896" s="151">
        <f t="shared" si="59"/>
        <v>0</v>
      </c>
      <c r="L1896" s="151" t="s">
        <v>9025</v>
      </c>
    </row>
    <row r="1897" spans="8:12" x14ac:dyDescent="0.25">
      <c r="H1897" s="151" t="s">
        <v>4318</v>
      </c>
      <c r="I1897" s="151" t="s">
        <v>391</v>
      </c>
      <c r="J1897" s="151" t="s">
        <v>7436</v>
      </c>
      <c r="K1897" s="151">
        <f t="shared" si="59"/>
        <v>650000000000440</v>
      </c>
      <c r="L1897" s="151" t="s">
        <v>9025</v>
      </c>
    </row>
    <row r="1898" spans="8:12" x14ac:dyDescent="0.25">
      <c r="H1898" s="151" t="s">
        <v>4319</v>
      </c>
      <c r="I1898" s="151" t="s">
        <v>6962</v>
      </c>
      <c r="J1898" s="151" t="s">
        <v>6962</v>
      </c>
      <c r="K1898" s="151">
        <f t="shared" si="59"/>
        <v>0</v>
      </c>
      <c r="L1898" s="151" t="s">
        <v>9021</v>
      </c>
    </row>
    <row r="1899" spans="8:12" x14ac:dyDescent="0.25">
      <c r="H1899" s="151" t="s">
        <v>4319</v>
      </c>
      <c r="I1899" s="151" t="s">
        <v>391</v>
      </c>
      <c r="J1899" s="151" t="s">
        <v>7437</v>
      </c>
      <c r="K1899" s="151">
        <f t="shared" si="59"/>
        <v>650000000001606</v>
      </c>
      <c r="L1899" s="151" t="s">
        <v>9021</v>
      </c>
    </row>
    <row r="1900" spans="8:12" x14ac:dyDescent="0.25">
      <c r="H1900" s="151" t="s">
        <v>4320</v>
      </c>
      <c r="I1900" s="151" t="s">
        <v>6962</v>
      </c>
      <c r="J1900" s="151" t="s">
        <v>6962</v>
      </c>
      <c r="K1900" s="151">
        <f t="shared" si="59"/>
        <v>0</v>
      </c>
      <c r="L1900" s="151" t="s">
        <v>9021</v>
      </c>
    </row>
    <row r="1901" spans="8:12" x14ac:dyDescent="0.25">
      <c r="H1901" s="151" t="s">
        <v>4320</v>
      </c>
      <c r="I1901" s="151" t="s">
        <v>391</v>
      </c>
      <c r="J1901" s="151" t="s">
        <v>7438</v>
      </c>
      <c r="K1901" s="151">
        <f t="shared" si="59"/>
        <v>650000000001607</v>
      </c>
      <c r="L1901" s="151" t="s">
        <v>9021</v>
      </c>
    </row>
    <row r="1902" spans="8:12" x14ac:dyDescent="0.25">
      <c r="H1902" s="151" t="s">
        <v>4321</v>
      </c>
      <c r="I1902" s="151" t="s">
        <v>6962</v>
      </c>
      <c r="J1902" s="151" t="s">
        <v>6962</v>
      </c>
      <c r="K1902" s="151">
        <f t="shared" si="59"/>
        <v>0</v>
      </c>
      <c r="L1902" s="151" t="s">
        <v>9021</v>
      </c>
    </row>
    <row r="1903" spans="8:12" x14ac:dyDescent="0.25">
      <c r="H1903" s="151" t="s">
        <v>4321</v>
      </c>
      <c r="I1903" s="151" t="s">
        <v>391</v>
      </c>
      <c r="J1903" s="151" t="s">
        <v>7439</v>
      </c>
      <c r="K1903" s="151">
        <f t="shared" si="59"/>
        <v>650000000000441</v>
      </c>
      <c r="L1903" s="151" t="s">
        <v>9021</v>
      </c>
    </row>
    <row r="1904" spans="8:12" x14ac:dyDescent="0.25">
      <c r="H1904" s="151" t="s">
        <v>4322</v>
      </c>
      <c r="I1904" s="151" t="s">
        <v>6962</v>
      </c>
      <c r="J1904" s="151" t="s">
        <v>6962</v>
      </c>
      <c r="K1904" s="151">
        <f t="shared" si="59"/>
        <v>0</v>
      </c>
      <c r="L1904" s="151" t="s">
        <v>9021</v>
      </c>
    </row>
    <row r="1905" spans="8:12" x14ac:dyDescent="0.25">
      <c r="H1905" s="151" t="s">
        <v>4322</v>
      </c>
      <c r="I1905" s="151" t="s">
        <v>391</v>
      </c>
      <c r="J1905" s="151" t="s">
        <v>7440</v>
      </c>
      <c r="K1905" s="151">
        <f t="shared" si="59"/>
        <v>650000000000442</v>
      </c>
      <c r="L1905" s="151" t="s">
        <v>9021</v>
      </c>
    </row>
    <row r="1906" spans="8:12" x14ac:dyDescent="0.25">
      <c r="H1906" s="151" t="s">
        <v>4323</v>
      </c>
      <c r="I1906" s="151" t="s">
        <v>6962</v>
      </c>
      <c r="J1906" s="151" t="s">
        <v>6962</v>
      </c>
      <c r="K1906" s="151">
        <f t="shared" si="59"/>
        <v>0</v>
      </c>
      <c r="L1906" s="151" t="s">
        <v>9021</v>
      </c>
    </row>
    <row r="1907" spans="8:12" x14ac:dyDescent="0.25">
      <c r="H1907" s="151" t="s">
        <v>4323</v>
      </c>
      <c r="I1907" s="151" t="s">
        <v>391</v>
      </c>
      <c r="J1907" s="151" t="s">
        <v>7441</v>
      </c>
      <c r="K1907" s="151">
        <f t="shared" si="59"/>
        <v>650000000000443</v>
      </c>
      <c r="L1907" s="151" t="s">
        <v>9021</v>
      </c>
    </row>
    <row r="1908" spans="8:12" x14ac:dyDescent="0.25">
      <c r="H1908" s="151" t="s">
        <v>6851</v>
      </c>
      <c r="I1908" s="151" t="s">
        <v>6962</v>
      </c>
      <c r="J1908" s="151" t="s">
        <v>6962</v>
      </c>
      <c r="K1908" s="151">
        <f t="shared" si="59"/>
        <v>0</v>
      </c>
      <c r="L1908" s="151" t="s">
        <v>9021</v>
      </c>
    </row>
    <row r="1909" spans="8:12" x14ac:dyDescent="0.25">
      <c r="H1909" s="151" t="s">
        <v>4324</v>
      </c>
      <c r="I1909" s="151" t="s">
        <v>6962</v>
      </c>
      <c r="J1909" s="151" t="s">
        <v>6962</v>
      </c>
      <c r="K1909" s="151">
        <f t="shared" si="59"/>
        <v>0</v>
      </c>
      <c r="L1909" s="151" t="s">
        <v>9021</v>
      </c>
    </row>
    <row r="1910" spans="8:12" x14ac:dyDescent="0.25">
      <c r="H1910" s="151" t="s">
        <v>4324</v>
      </c>
      <c r="I1910" s="151" t="s">
        <v>391</v>
      </c>
      <c r="J1910" s="151" t="s">
        <v>7442</v>
      </c>
      <c r="K1910" s="151">
        <f t="shared" si="59"/>
        <v>650000000000444</v>
      </c>
      <c r="L1910" s="151" t="s">
        <v>9021</v>
      </c>
    </row>
    <row r="1911" spans="8:12" x14ac:dyDescent="0.25">
      <c r="H1911" s="151" t="s">
        <v>4325</v>
      </c>
      <c r="I1911" s="151" t="s">
        <v>6962</v>
      </c>
      <c r="J1911" s="151" t="s">
        <v>6962</v>
      </c>
      <c r="K1911" s="151">
        <f t="shared" si="59"/>
        <v>0</v>
      </c>
      <c r="L1911" s="151" t="s">
        <v>9021</v>
      </c>
    </row>
    <row r="1912" spans="8:12" x14ac:dyDescent="0.25">
      <c r="H1912" s="151" t="s">
        <v>4325</v>
      </c>
      <c r="I1912" s="151" t="s">
        <v>391</v>
      </c>
      <c r="J1912" s="151" t="s">
        <v>7443</v>
      </c>
      <c r="K1912" s="151">
        <f t="shared" si="59"/>
        <v>650000000000445</v>
      </c>
      <c r="L1912" s="151" t="s">
        <v>9021</v>
      </c>
    </row>
    <row r="1913" spans="8:12" x14ac:dyDescent="0.25">
      <c r="H1913" s="151" t="s">
        <v>4326</v>
      </c>
      <c r="I1913" s="151" t="s">
        <v>6962</v>
      </c>
      <c r="J1913" s="151" t="s">
        <v>6962</v>
      </c>
      <c r="K1913" s="151">
        <f t="shared" si="59"/>
        <v>0</v>
      </c>
      <c r="L1913" s="151" t="s">
        <v>9021</v>
      </c>
    </row>
    <row r="1914" spans="8:12" x14ac:dyDescent="0.25">
      <c r="H1914" s="151" t="s">
        <v>4326</v>
      </c>
      <c r="I1914" s="151" t="s">
        <v>391</v>
      </c>
      <c r="J1914" s="151" t="s">
        <v>7444</v>
      </c>
      <c r="K1914" s="151">
        <f t="shared" si="59"/>
        <v>650000000000446</v>
      </c>
      <c r="L1914" s="151" t="s">
        <v>9021</v>
      </c>
    </row>
    <row r="1915" spans="8:12" x14ac:dyDescent="0.25">
      <c r="H1915" s="151" t="s">
        <v>4327</v>
      </c>
      <c r="I1915" s="151" t="s">
        <v>6962</v>
      </c>
      <c r="J1915" s="151" t="s">
        <v>6962</v>
      </c>
      <c r="K1915" s="151">
        <f t="shared" si="59"/>
        <v>0</v>
      </c>
      <c r="L1915" s="151" t="s">
        <v>9021</v>
      </c>
    </row>
    <row r="1916" spans="8:12" x14ac:dyDescent="0.25">
      <c r="H1916" s="151" t="s">
        <v>4327</v>
      </c>
      <c r="I1916" s="151" t="s">
        <v>391</v>
      </c>
      <c r="J1916" s="151" t="s">
        <v>7445</v>
      </c>
      <c r="K1916" s="151">
        <f t="shared" si="59"/>
        <v>650000000000447</v>
      </c>
      <c r="L1916" s="151" t="s">
        <v>9021</v>
      </c>
    </row>
    <row r="1917" spans="8:12" x14ac:dyDescent="0.25">
      <c r="H1917" s="151" t="s">
        <v>4328</v>
      </c>
      <c r="I1917" s="151" t="s">
        <v>6962</v>
      </c>
      <c r="J1917" s="151" t="s">
        <v>6962</v>
      </c>
      <c r="K1917" s="151">
        <f t="shared" si="59"/>
        <v>0</v>
      </c>
      <c r="L1917" s="151" t="s">
        <v>9021</v>
      </c>
    </row>
    <row r="1918" spans="8:12" x14ac:dyDescent="0.25">
      <c r="H1918" s="151" t="s">
        <v>4328</v>
      </c>
      <c r="I1918" s="151" t="s">
        <v>391</v>
      </c>
      <c r="J1918" s="151" t="s">
        <v>7446</v>
      </c>
      <c r="K1918" s="151">
        <f t="shared" si="59"/>
        <v>650000000001608</v>
      </c>
      <c r="L1918" s="151" t="s">
        <v>9021</v>
      </c>
    </row>
    <row r="1919" spans="8:12" x14ac:dyDescent="0.25">
      <c r="H1919" s="151" t="s">
        <v>4329</v>
      </c>
      <c r="I1919" s="151" t="s">
        <v>6962</v>
      </c>
      <c r="J1919" s="151" t="s">
        <v>6962</v>
      </c>
      <c r="K1919" s="151">
        <f t="shared" si="59"/>
        <v>0</v>
      </c>
      <c r="L1919" s="151" t="s">
        <v>9021</v>
      </c>
    </row>
    <row r="1920" spans="8:12" x14ac:dyDescent="0.25">
      <c r="H1920" s="151" t="s">
        <v>4329</v>
      </c>
      <c r="I1920" s="151" t="s">
        <v>391</v>
      </c>
      <c r="J1920" s="151" t="s">
        <v>7447</v>
      </c>
      <c r="K1920" s="151">
        <f t="shared" si="59"/>
        <v>650000000000448</v>
      </c>
      <c r="L1920" s="151" t="s">
        <v>9021</v>
      </c>
    </row>
    <row r="1921" spans="8:12" x14ac:dyDescent="0.25">
      <c r="H1921" s="151" t="s">
        <v>6852</v>
      </c>
      <c r="I1921" s="151" t="s">
        <v>6962</v>
      </c>
      <c r="J1921" s="151" t="s">
        <v>6962</v>
      </c>
      <c r="K1921" s="151">
        <f t="shared" si="59"/>
        <v>0</v>
      </c>
      <c r="L1921" s="151" t="s">
        <v>9021</v>
      </c>
    </row>
    <row r="1922" spans="8:12" x14ac:dyDescent="0.25">
      <c r="H1922" s="151" t="s">
        <v>4330</v>
      </c>
      <c r="I1922" s="151" t="s">
        <v>6962</v>
      </c>
      <c r="J1922" s="151" t="s">
        <v>6962</v>
      </c>
      <c r="K1922" s="151">
        <f t="shared" si="59"/>
        <v>0</v>
      </c>
      <c r="L1922" s="151" t="s">
        <v>9021</v>
      </c>
    </row>
    <row r="1923" spans="8:12" x14ac:dyDescent="0.25">
      <c r="H1923" s="151" t="s">
        <v>4330</v>
      </c>
      <c r="I1923" s="151" t="s">
        <v>391</v>
      </c>
      <c r="J1923" s="151" t="s">
        <v>7448</v>
      </c>
      <c r="K1923" s="151">
        <f t="shared" ref="K1923:K1986" si="60">+IFERROR(J1923*1,0)</f>
        <v>650000000000449</v>
      </c>
      <c r="L1923" s="151" t="s">
        <v>9021</v>
      </c>
    </row>
    <row r="1924" spans="8:12" x14ac:dyDescent="0.25">
      <c r="H1924" s="151" t="s">
        <v>4331</v>
      </c>
      <c r="I1924" s="151" t="s">
        <v>6962</v>
      </c>
      <c r="J1924" s="151" t="s">
        <v>6962</v>
      </c>
      <c r="K1924" s="151">
        <f t="shared" si="60"/>
        <v>0</v>
      </c>
      <c r="L1924" s="151" t="s">
        <v>9021</v>
      </c>
    </row>
    <row r="1925" spans="8:12" x14ac:dyDescent="0.25">
      <c r="H1925" s="151" t="s">
        <v>4331</v>
      </c>
      <c r="I1925" s="151" t="s">
        <v>391</v>
      </c>
      <c r="J1925" s="151" t="s">
        <v>7449</v>
      </c>
      <c r="K1925" s="151">
        <f t="shared" si="60"/>
        <v>650000000000450</v>
      </c>
      <c r="L1925" s="151" t="s">
        <v>9021</v>
      </c>
    </row>
    <row r="1926" spans="8:12" x14ac:dyDescent="0.25">
      <c r="H1926" s="151" t="s">
        <v>6853</v>
      </c>
      <c r="I1926" s="151" t="s">
        <v>6962</v>
      </c>
      <c r="J1926" s="151" t="s">
        <v>6962</v>
      </c>
      <c r="K1926" s="151">
        <f t="shared" si="60"/>
        <v>0</v>
      </c>
      <c r="L1926" s="151" t="s">
        <v>9021</v>
      </c>
    </row>
    <row r="1927" spans="8:12" x14ac:dyDescent="0.25">
      <c r="H1927" s="151" t="s">
        <v>4332</v>
      </c>
      <c r="I1927" s="151" t="s">
        <v>6962</v>
      </c>
      <c r="J1927" s="151" t="s">
        <v>6962</v>
      </c>
      <c r="K1927" s="151">
        <f t="shared" si="60"/>
        <v>0</v>
      </c>
      <c r="L1927" s="151" t="s">
        <v>9021</v>
      </c>
    </row>
    <row r="1928" spans="8:12" x14ac:dyDescent="0.25">
      <c r="H1928" s="151" t="s">
        <v>4332</v>
      </c>
      <c r="I1928" s="151" t="s">
        <v>391</v>
      </c>
      <c r="J1928" s="151" t="s">
        <v>7450</v>
      </c>
      <c r="K1928" s="151">
        <f t="shared" si="60"/>
        <v>650000000000451</v>
      </c>
      <c r="L1928" s="151" t="s">
        <v>9021</v>
      </c>
    </row>
    <row r="1929" spans="8:12" x14ac:dyDescent="0.25">
      <c r="H1929" s="151" t="s">
        <v>4333</v>
      </c>
      <c r="I1929" s="151" t="s">
        <v>6962</v>
      </c>
      <c r="J1929" s="151" t="s">
        <v>6962</v>
      </c>
      <c r="K1929" s="151">
        <f t="shared" si="60"/>
        <v>0</v>
      </c>
      <c r="L1929" s="151" t="s">
        <v>9026</v>
      </c>
    </row>
    <row r="1930" spans="8:12" x14ac:dyDescent="0.25">
      <c r="H1930" s="151" t="s">
        <v>4333</v>
      </c>
      <c r="I1930" s="151" t="s">
        <v>391</v>
      </c>
      <c r="J1930" s="151" t="s">
        <v>7451</v>
      </c>
      <c r="K1930" s="151">
        <f t="shared" si="60"/>
        <v>650000000000452</v>
      </c>
      <c r="L1930" s="151" t="s">
        <v>9026</v>
      </c>
    </row>
    <row r="1931" spans="8:12" x14ac:dyDescent="0.25">
      <c r="H1931" s="151" t="s">
        <v>4334</v>
      </c>
      <c r="I1931" s="151" t="s">
        <v>6962</v>
      </c>
      <c r="J1931" s="151" t="s">
        <v>6962</v>
      </c>
      <c r="K1931" s="151">
        <f t="shared" si="60"/>
        <v>0</v>
      </c>
      <c r="L1931" s="151" t="s">
        <v>9026</v>
      </c>
    </row>
    <row r="1932" spans="8:12" x14ac:dyDescent="0.25">
      <c r="H1932" s="151" t="s">
        <v>4334</v>
      </c>
      <c r="I1932" s="151" t="s">
        <v>391</v>
      </c>
      <c r="J1932" s="151" t="s">
        <v>7452</v>
      </c>
      <c r="K1932" s="151">
        <f t="shared" si="60"/>
        <v>650000000000453</v>
      </c>
      <c r="L1932" s="151" t="s">
        <v>9026</v>
      </c>
    </row>
    <row r="1933" spans="8:12" x14ac:dyDescent="0.25">
      <c r="H1933" s="151" t="s">
        <v>4335</v>
      </c>
      <c r="I1933" s="151" t="s">
        <v>6962</v>
      </c>
      <c r="J1933" s="151" t="s">
        <v>6962</v>
      </c>
      <c r="K1933" s="151">
        <f t="shared" si="60"/>
        <v>0</v>
      </c>
      <c r="L1933" s="151" t="s">
        <v>9021</v>
      </c>
    </row>
    <row r="1934" spans="8:12" x14ac:dyDescent="0.25">
      <c r="H1934" s="151" t="s">
        <v>4335</v>
      </c>
      <c r="I1934" s="151" t="s">
        <v>391</v>
      </c>
      <c r="J1934" s="151" t="s">
        <v>7453</v>
      </c>
      <c r="K1934" s="151">
        <f t="shared" si="60"/>
        <v>650000000000454</v>
      </c>
      <c r="L1934" s="151" t="s">
        <v>9021</v>
      </c>
    </row>
    <row r="1935" spans="8:12" x14ac:dyDescent="0.25">
      <c r="H1935" s="151" t="s">
        <v>4336</v>
      </c>
      <c r="I1935" s="151" t="s">
        <v>6962</v>
      </c>
      <c r="J1935" s="151" t="s">
        <v>6962</v>
      </c>
      <c r="K1935" s="151">
        <f t="shared" si="60"/>
        <v>0</v>
      </c>
      <c r="L1935" s="151" t="s">
        <v>9021</v>
      </c>
    </row>
    <row r="1936" spans="8:12" x14ac:dyDescent="0.25">
      <c r="H1936" s="151" t="s">
        <v>4336</v>
      </c>
      <c r="I1936" s="151" t="s">
        <v>391</v>
      </c>
      <c r="J1936" s="151" t="s">
        <v>7454</v>
      </c>
      <c r="K1936" s="151">
        <f t="shared" si="60"/>
        <v>650000000001609</v>
      </c>
      <c r="L1936" s="151" t="s">
        <v>9021</v>
      </c>
    </row>
    <row r="1937" spans="8:12" x14ac:dyDescent="0.25">
      <c r="H1937" s="151" t="s">
        <v>4337</v>
      </c>
      <c r="I1937" s="151" t="s">
        <v>6962</v>
      </c>
      <c r="J1937" s="151" t="s">
        <v>6962</v>
      </c>
      <c r="K1937" s="151">
        <f t="shared" si="60"/>
        <v>0</v>
      </c>
      <c r="L1937" s="151" t="s">
        <v>9021</v>
      </c>
    </row>
    <row r="1938" spans="8:12" x14ac:dyDescent="0.25">
      <c r="H1938" s="151" t="s">
        <v>4337</v>
      </c>
      <c r="I1938" s="151" t="s">
        <v>391</v>
      </c>
      <c r="J1938" s="151" t="s">
        <v>7455</v>
      </c>
      <c r="K1938" s="151">
        <f t="shared" si="60"/>
        <v>650000000001610</v>
      </c>
      <c r="L1938" s="151" t="s">
        <v>9021</v>
      </c>
    </row>
    <row r="1939" spans="8:12" x14ac:dyDescent="0.25">
      <c r="H1939" s="151" t="s">
        <v>4338</v>
      </c>
      <c r="I1939" s="151" t="s">
        <v>6962</v>
      </c>
      <c r="J1939" s="151" t="s">
        <v>6962</v>
      </c>
      <c r="K1939" s="151">
        <f t="shared" si="60"/>
        <v>0</v>
      </c>
      <c r="L1939" s="151" t="s">
        <v>9021</v>
      </c>
    </row>
    <row r="1940" spans="8:12" x14ac:dyDescent="0.25">
      <c r="H1940" s="151" t="s">
        <v>4338</v>
      </c>
      <c r="I1940" s="151" t="s">
        <v>391</v>
      </c>
      <c r="J1940" s="151" t="s">
        <v>7456</v>
      </c>
      <c r="K1940" s="151">
        <f t="shared" si="60"/>
        <v>650000000000455</v>
      </c>
      <c r="L1940" s="151" t="s">
        <v>9021</v>
      </c>
    </row>
    <row r="1941" spans="8:12" x14ac:dyDescent="0.25">
      <c r="H1941" s="151" t="s">
        <v>4339</v>
      </c>
      <c r="I1941" s="151" t="s">
        <v>6962</v>
      </c>
      <c r="J1941" s="151" t="s">
        <v>6962</v>
      </c>
      <c r="K1941" s="151">
        <f t="shared" si="60"/>
        <v>0</v>
      </c>
      <c r="L1941" s="151" t="s">
        <v>9021</v>
      </c>
    </row>
    <row r="1942" spans="8:12" x14ac:dyDescent="0.25">
      <c r="H1942" s="151" t="s">
        <v>4339</v>
      </c>
      <c r="I1942" s="151" t="s">
        <v>391</v>
      </c>
      <c r="J1942" s="151" t="s">
        <v>7457</v>
      </c>
      <c r="K1942" s="151">
        <f t="shared" si="60"/>
        <v>650000000000456</v>
      </c>
      <c r="L1942" s="151" t="s">
        <v>9021</v>
      </c>
    </row>
    <row r="1943" spans="8:12" x14ac:dyDescent="0.25">
      <c r="H1943" s="151" t="s">
        <v>4340</v>
      </c>
      <c r="I1943" s="151" t="s">
        <v>6962</v>
      </c>
      <c r="J1943" s="151" t="s">
        <v>6962</v>
      </c>
      <c r="K1943" s="151">
        <f t="shared" si="60"/>
        <v>0</v>
      </c>
      <c r="L1943" s="151" t="s">
        <v>9021</v>
      </c>
    </row>
    <row r="1944" spans="8:12" x14ac:dyDescent="0.25">
      <c r="H1944" s="151" t="s">
        <v>4340</v>
      </c>
      <c r="I1944" s="151" t="s">
        <v>391</v>
      </c>
      <c r="J1944" s="151" t="s">
        <v>7458</v>
      </c>
      <c r="K1944" s="151">
        <f t="shared" si="60"/>
        <v>650000000000457</v>
      </c>
      <c r="L1944" s="151" t="s">
        <v>9021</v>
      </c>
    </row>
    <row r="1945" spans="8:12" x14ac:dyDescent="0.25">
      <c r="H1945" s="151" t="s">
        <v>4341</v>
      </c>
      <c r="I1945" s="151" t="s">
        <v>6962</v>
      </c>
      <c r="J1945" s="151" t="s">
        <v>6962</v>
      </c>
      <c r="K1945" s="151">
        <f t="shared" si="60"/>
        <v>0</v>
      </c>
      <c r="L1945" s="151" t="s">
        <v>9021</v>
      </c>
    </row>
    <row r="1946" spans="8:12" x14ac:dyDescent="0.25">
      <c r="H1946" s="151" t="s">
        <v>4341</v>
      </c>
      <c r="I1946" s="151" t="s">
        <v>391</v>
      </c>
      <c r="J1946" s="151" t="s">
        <v>7459</v>
      </c>
      <c r="K1946" s="151">
        <f t="shared" si="60"/>
        <v>650000000000458</v>
      </c>
      <c r="L1946" s="151" t="s">
        <v>9021</v>
      </c>
    </row>
    <row r="1947" spans="8:12" x14ac:dyDescent="0.25">
      <c r="H1947" s="151" t="s">
        <v>4342</v>
      </c>
      <c r="I1947" s="151" t="s">
        <v>6962</v>
      </c>
      <c r="J1947" s="151" t="s">
        <v>6962</v>
      </c>
      <c r="K1947" s="151">
        <f t="shared" si="60"/>
        <v>0</v>
      </c>
      <c r="L1947" s="151" t="s">
        <v>9021</v>
      </c>
    </row>
    <row r="1948" spans="8:12" x14ac:dyDescent="0.25">
      <c r="H1948" s="151" t="s">
        <v>4342</v>
      </c>
      <c r="I1948" s="151" t="s">
        <v>391</v>
      </c>
      <c r="J1948" s="151" t="s">
        <v>7460</v>
      </c>
      <c r="K1948" s="151">
        <f t="shared" si="60"/>
        <v>650000000000459</v>
      </c>
      <c r="L1948" s="151" t="s">
        <v>9021</v>
      </c>
    </row>
    <row r="1949" spans="8:12" x14ac:dyDescent="0.25">
      <c r="H1949" s="151" t="s">
        <v>4343</v>
      </c>
      <c r="I1949" s="151" t="s">
        <v>6962</v>
      </c>
      <c r="J1949" s="151" t="s">
        <v>6962</v>
      </c>
      <c r="K1949" s="151">
        <f t="shared" si="60"/>
        <v>0</v>
      </c>
      <c r="L1949" s="151" t="s">
        <v>9021</v>
      </c>
    </row>
    <row r="1950" spans="8:12" x14ac:dyDescent="0.25">
      <c r="H1950" s="151" t="s">
        <v>4343</v>
      </c>
      <c r="I1950" s="151" t="s">
        <v>391</v>
      </c>
      <c r="J1950" s="151" t="s">
        <v>7461</v>
      </c>
      <c r="K1950" s="151">
        <f t="shared" si="60"/>
        <v>650000000001611</v>
      </c>
      <c r="L1950" s="151" t="s">
        <v>9021</v>
      </c>
    </row>
    <row r="1951" spans="8:12" x14ac:dyDescent="0.25">
      <c r="H1951" s="151" t="s">
        <v>4344</v>
      </c>
      <c r="I1951" s="151" t="s">
        <v>6962</v>
      </c>
      <c r="J1951" s="151" t="s">
        <v>6962</v>
      </c>
      <c r="K1951" s="151">
        <f t="shared" si="60"/>
        <v>0</v>
      </c>
      <c r="L1951" s="151" t="s">
        <v>9021</v>
      </c>
    </row>
    <row r="1952" spans="8:12" x14ac:dyDescent="0.25">
      <c r="H1952" s="151" t="s">
        <v>4344</v>
      </c>
      <c r="I1952" s="151" t="s">
        <v>391</v>
      </c>
      <c r="J1952" s="151" t="s">
        <v>7462</v>
      </c>
      <c r="K1952" s="151">
        <f t="shared" si="60"/>
        <v>650000000001612</v>
      </c>
      <c r="L1952" s="151" t="s">
        <v>9021</v>
      </c>
    </row>
    <row r="1953" spans="8:12" x14ac:dyDescent="0.25">
      <c r="H1953" s="151" t="s">
        <v>4345</v>
      </c>
      <c r="I1953" s="151" t="s">
        <v>6962</v>
      </c>
      <c r="J1953" s="151" t="s">
        <v>6962</v>
      </c>
      <c r="K1953" s="151">
        <f t="shared" si="60"/>
        <v>0</v>
      </c>
      <c r="L1953" s="151" t="s">
        <v>9021</v>
      </c>
    </row>
    <row r="1954" spans="8:12" x14ac:dyDescent="0.25">
      <c r="H1954" s="151" t="s">
        <v>4345</v>
      </c>
      <c r="I1954" s="151" t="s">
        <v>391</v>
      </c>
      <c r="J1954" s="151" t="s">
        <v>7463</v>
      </c>
      <c r="K1954" s="151">
        <f t="shared" si="60"/>
        <v>650000000001613</v>
      </c>
      <c r="L1954" s="151" t="s">
        <v>9021</v>
      </c>
    </row>
    <row r="1955" spans="8:12" x14ac:dyDescent="0.25">
      <c r="H1955" s="151" t="s">
        <v>4346</v>
      </c>
      <c r="I1955" s="151" t="s">
        <v>6962</v>
      </c>
      <c r="J1955" s="151" t="s">
        <v>6962</v>
      </c>
      <c r="K1955" s="151">
        <f t="shared" si="60"/>
        <v>0</v>
      </c>
      <c r="L1955" s="151" t="s">
        <v>9021</v>
      </c>
    </row>
    <row r="1956" spans="8:12" x14ac:dyDescent="0.25">
      <c r="H1956" s="151" t="s">
        <v>4346</v>
      </c>
      <c r="I1956" s="151" t="s">
        <v>391</v>
      </c>
      <c r="J1956" s="151" t="s">
        <v>7464</v>
      </c>
      <c r="K1956" s="151">
        <f t="shared" si="60"/>
        <v>650000000000460</v>
      </c>
      <c r="L1956" s="151" t="s">
        <v>9021</v>
      </c>
    </row>
    <row r="1957" spans="8:12" x14ac:dyDescent="0.25">
      <c r="H1957" s="151" t="s">
        <v>4347</v>
      </c>
      <c r="I1957" s="151" t="s">
        <v>6962</v>
      </c>
      <c r="J1957" s="151" t="s">
        <v>6962</v>
      </c>
      <c r="K1957" s="151">
        <f t="shared" si="60"/>
        <v>0</v>
      </c>
      <c r="L1957" s="151" t="s">
        <v>9021</v>
      </c>
    </row>
    <row r="1958" spans="8:12" x14ac:dyDescent="0.25">
      <c r="H1958" s="151" t="s">
        <v>4347</v>
      </c>
      <c r="I1958" s="151" t="s">
        <v>391</v>
      </c>
      <c r="J1958" s="151" t="s">
        <v>7465</v>
      </c>
      <c r="K1958" s="151">
        <f t="shared" si="60"/>
        <v>650000000000461</v>
      </c>
      <c r="L1958" s="151" t="s">
        <v>9021</v>
      </c>
    </row>
    <row r="1959" spans="8:12" x14ac:dyDescent="0.25">
      <c r="H1959" s="151" t="s">
        <v>4348</v>
      </c>
      <c r="I1959" s="151" t="s">
        <v>6962</v>
      </c>
      <c r="J1959" s="151" t="s">
        <v>6962</v>
      </c>
      <c r="K1959" s="151">
        <f t="shared" si="60"/>
        <v>0</v>
      </c>
      <c r="L1959" s="151" t="s">
        <v>9021</v>
      </c>
    </row>
    <row r="1960" spans="8:12" x14ac:dyDescent="0.25">
      <c r="H1960" s="151" t="s">
        <v>4348</v>
      </c>
      <c r="I1960" s="151" t="s">
        <v>391</v>
      </c>
      <c r="J1960" s="151" t="s">
        <v>7466</v>
      </c>
      <c r="K1960" s="151">
        <f t="shared" si="60"/>
        <v>650000000000462</v>
      </c>
      <c r="L1960" s="151" t="s">
        <v>9021</v>
      </c>
    </row>
    <row r="1961" spans="8:12" x14ac:dyDescent="0.25">
      <c r="H1961" s="151" t="s">
        <v>4349</v>
      </c>
      <c r="I1961" s="151" t="s">
        <v>6962</v>
      </c>
      <c r="J1961" s="151" t="s">
        <v>6962</v>
      </c>
      <c r="K1961" s="151">
        <f t="shared" si="60"/>
        <v>0</v>
      </c>
      <c r="L1961" s="151" t="s">
        <v>9021</v>
      </c>
    </row>
    <row r="1962" spans="8:12" x14ac:dyDescent="0.25">
      <c r="H1962" s="151" t="s">
        <v>4349</v>
      </c>
      <c r="I1962" s="151" t="s">
        <v>391</v>
      </c>
      <c r="J1962" s="151" t="s">
        <v>7467</v>
      </c>
      <c r="K1962" s="151">
        <f t="shared" si="60"/>
        <v>650000000000463</v>
      </c>
      <c r="L1962" s="151" t="s">
        <v>9021</v>
      </c>
    </row>
    <row r="1963" spans="8:12" x14ac:dyDescent="0.25">
      <c r="H1963" s="151" t="s">
        <v>4350</v>
      </c>
      <c r="I1963" s="151" t="s">
        <v>6962</v>
      </c>
      <c r="J1963" s="151" t="s">
        <v>6962</v>
      </c>
      <c r="K1963" s="151">
        <f t="shared" si="60"/>
        <v>0</v>
      </c>
      <c r="L1963" s="151" t="s">
        <v>9021</v>
      </c>
    </row>
    <row r="1964" spans="8:12" x14ac:dyDescent="0.25">
      <c r="H1964" s="151" t="s">
        <v>4350</v>
      </c>
      <c r="I1964" s="151" t="s">
        <v>391</v>
      </c>
      <c r="J1964" s="151" t="s">
        <v>7468</v>
      </c>
      <c r="K1964" s="151">
        <f t="shared" si="60"/>
        <v>650000000001614</v>
      </c>
      <c r="L1964" s="151" t="s">
        <v>9021</v>
      </c>
    </row>
    <row r="1965" spans="8:12" x14ac:dyDescent="0.25">
      <c r="H1965" s="151" t="s">
        <v>4351</v>
      </c>
      <c r="I1965" s="151" t="s">
        <v>6962</v>
      </c>
      <c r="J1965" s="151" t="s">
        <v>6962</v>
      </c>
      <c r="K1965" s="151">
        <f t="shared" si="60"/>
        <v>0</v>
      </c>
      <c r="L1965" s="151" t="s">
        <v>9021</v>
      </c>
    </row>
    <row r="1966" spans="8:12" x14ac:dyDescent="0.25">
      <c r="H1966" s="151" t="s">
        <v>4351</v>
      </c>
      <c r="I1966" s="151" t="s">
        <v>391</v>
      </c>
      <c r="J1966" s="151" t="s">
        <v>7469</v>
      </c>
      <c r="K1966" s="151">
        <f t="shared" si="60"/>
        <v>650000000000464</v>
      </c>
      <c r="L1966" s="151" t="s">
        <v>9021</v>
      </c>
    </row>
    <row r="1967" spans="8:12" x14ac:dyDescent="0.25">
      <c r="H1967" s="151" t="s">
        <v>4352</v>
      </c>
      <c r="I1967" s="151" t="s">
        <v>6962</v>
      </c>
      <c r="J1967" s="151" t="s">
        <v>6962</v>
      </c>
      <c r="K1967" s="151">
        <f t="shared" si="60"/>
        <v>0</v>
      </c>
      <c r="L1967" s="151" t="s">
        <v>9021</v>
      </c>
    </row>
    <row r="1968" spans="8:12" x14ac:dyDescent="0.25">
      <c r="H1968" s="151" t="s">
        <v>4352</v>
      </c>
      <c r="I1968" s="151" t="s">
        <v>391</v>
      </c>
      <c r="J1968" s="151" t="s">
        <v>7470</v>
      </c>
      <c r="K1968" s="151">
        <f t="shared" si="60"/>
        <v>650000000000465</v>
      </c>
      <c r="L1968" s="151" t="s">
        <v>9021</v>
      </c>
    </row>
    <row r="1969" spans="8:12" x14ac:dyDescent="0.25">
      <c r="H1969" s="151" t="s">
        <v>4353</v>
      </c>
      <c r="I1969" s="151" t="s">
        <v>6962</v>
      </c>
      <c r="J1969" s="151" t="s">
        <v>6962</v>
      </c>
      <c r="K1969" s="151">
        <f t="shared" si="60"/>
        <v>0</v>
      </c>
      <c r="L1969" s="151" t="s">
        <v>9021</v>
      </c>
    </row>
    <row r="1970" spans="8:12" x14ac:dyDescent="0.25">
      <c r="H1970" s="151" t="s">
        <v>4353</v>
      </c>
      <c r="I1970" s="151" t="s">
        <v>391</v>
      </c>
      <c r="J1970" s="151" t="s">
        <v>7471</v>
      </c>
      <c r="K1970" s="151">
        <f t="shared" si="60"/>
        <v>650000000000466</v>
      </c>
      <c r="L1970" s="151" t="s">
        <v>9021</v>
      </c>
    </row>
    <row r="1971" spans="8:12" x14ac:dyDescent="0.25">
      <c r="H1971" s="151" t="s">
        <v>4354</v>
      </c>
      <c r="I1971" s="151" t="s">
        <v>6962</v>
      </c>
      <c r="J1971" s="151" t="s">
        <v>6962</v>
      </c>
      <c r="K1971" s="151">
        <f t="shared" si="60"/>
        <v>0</v>
      </c>
      <c r="L1971" s="151" t="s">
        <v>9021</v>
      </c>
    </row>
    <row r="1972" spans="8:12" x14ac:dyDescent="0.25">
      <c r="H1972" s="151" t="s">
        <v>4354</v>
      </c>
      <c r="I1972" s="151" t="s">
        <v>391</v>
      </c>
      <c r="J1972" s="151" t="s">
        <v>7472</v>
      </c>
      <c r="K1972" s="151">
        <f t="shared" si="60"/>
        <v>650000000000467</v>
      </c>
      <c r="L1972" s="151" t="s">
        <v>9021</v>
      </c>
    </row>
    <row r="1973" spans="8:12" x14ac:dyDescent="0.25">
      <c r="H1973" s="151" t="s">
        <v>4355</v>
      </c>
      <c r="I1973" s="151" t="s">
        <v>6962</v>
      </c>
      <c r="J1973" s="151" t="s">
        <v>6962</v>
      </c>
      <c r="K1973" s="151">
        <f t="shared" si="60"/>
        <v>0</v>
      </c>
      <c r="L1973" s="151" t="s">
        <v>9021</v>
      </c>
    </row>
    <row r="1974" spans="8:12" x14ac:dyDescent="0.25">
      <c r="H1974" s="151" t="s">
        <v>4355</v>
      </c>
      <c r="I1974" s="151" t="s">
        <v>391</v>
      </c>
      <c r="J1974" s="151" t="s">
        <v>7473</v>
      </c>
      <c r="K1974" s="151">
        <f t="shared" si="60"/>
        <v>650000000001615</v>
      </c>
      <c r="L1974" s="151" t="s">
        <v>9021</v>
      </c>
    </row>
    <row r="1975" spans="8:12" x14ac:dyDescent="0.25">
      <c r="H1975" s="151" t="s">
        <v>4356</v>
      </c>
      <c r="I1975" s="151" t="s">
        <v>6962</v>
      </c>
      <c r="J1975" s="151" t="s">
        <v>6962</v>
      </c>
      <c r="K1975" s="151">
        <f t="shared" si="60"/>
        <v>0</v>
      </c>
      <c r="L1975" s="151" t="s">
        <v>9021</v>
      </c>
    </row>
    <row r="1976" spans="8:12" x14ac:dyDescent="0.25">
      <c r="H1976" s="151" t="s">
        <v>4356</v>
      </c>
      <c r="I1976" s="151" t="s">
        <v>391</v>
      </c>
      <c r="J1976" s="151" t="s">
        <v>7474</v>
      </c>
      <c r="K1976" s="151">
        <f t="shared" si="60"/>
        <v>650000000001616</v>
      </c>
      <c r="L1976" s="151" t="s">
        <v>9021</v>
      </c>
    </row>
    <row r="1977" spans="8:12" x14ac:dyDescent="0.25">
      <c r="H1977" s="151" t="s">
        <v>4357</v>
      </c>
      <c r="I1977" s="151" t="s">
        <v>6962</v>
      </c>
      <c r="J1977" s="151" t="s">
        <v>6962</v>
      </c>
      <c r="K1977" s="151">
        <f t="shared" si="60"/>
        <v>0</v>
      </c>
      <c r="L1977" s="151" t="s">
        <v>9021</v>
      </c>
    </row>
    <row r="1978" spans="8:12" x14ac:dyDescent="0.25">
      <c r="H1978" s="151" t="s">
        <v>4357</v>
      </c>
      <c r="I1978" s="151" t="s">
        <v>391</v>
      </c>
      <c r="J1978" s="151" t="s">
        <v>7475</v>
      </c>
      <c r="K1978" s="151">
        <f t="shared" si="60"/>
        <v>650000000000468</v>
      </c>
      <c r="L1978" s="151" t="s">
        <v>9021</v>
      </c>
    </row>
    <row r="1979" spans="8:12" x14ac:dyDescent="0.25">
      <c r="H1979" s="151" t="s">
        <v>4358</v>
      </c>
      <c r="I1979" s="151" t="s">
        <v>6962</v>
      </c>
      <c r="J1979" s="151" t="s">
        <v>6962</v>
      </c>
      <c r="K1979" s="151">
        <f t="shared" si="60"/>
        <v>0</v>
      </c>
      <c r="L1979" s="151" t="s">
        <v>9021</v>
      </c>
    </row>
    <row r="1980" spans="8:12" x14ac:dyDescent="0.25">
      <c r="H1980" s="151" t="s">
        <v>4358</v>
      </c>
      <c r="I1980" s="151" t="s">
        <v>391</v>
      </c>
      <c r="J1980" s="151" t="s">
        <v>7476</v>
      </c>
      <c r="K1980" s="151">
        <f t="shared" si="60"/>
        <v>650000000001617</v>
      </c>
      <c r="L1980" s="151" t="s">
        <v>9021</v>
      </c>
    </row>
    <row r="1981" spans="8:12" x14ac:dyDescent="0.25">
      <c r="H1981" s="151" t="s">
        <v>4359</v>
      </c>
      <c r="I1981" s="151" t="s">
        <v>6962</v>
      </c>
      <c r="J1981" s="151" t="s">
        <v>6962</v>
      </c>
      <c r="K1981" s="151">
        <f t="shared" si="60"/>
        <v>0</v>
      </c>
      <c r="L1981" s="151" t="s">
        <v>9021</v>
      </c>
    </row>
    <row r="1982" spans="8:12" x14ac:dyDescent="0.25">
      <c r="H1982" s="151" t="s">
        <v>4359</v>
      </c>
      <c r="I1982" s="151" t="s">
        <v>391</v>
      </c>
      <c r="J1982" s="151" t="s">
        <v>7477</v>
      </c>
      <c r="K1982" s="151">
        <f t="shared" si="60"/>
        <v>650000000000469</v>
      </c>
      <c r="L1982" s="151" t="s">
        <v>9021</v>
      </c>
    </row>
    <row r="1983" spans="8:12" x14ac:dyDescent="0.25">
      <c r="H1983" s="151" t="s">
        <v>4360</v>
      </c>
      <c r="I1983" s="151" t="s">
        <v>6962</v>
      </c>
      <c r="J1983" s="151" t="s">
        <v>6962</v>
      </c>
      <c r="K1983" s="151">
        <f t="shared" si="60"/>
        <v>0</v>
      </c>
      <c r="L1983" s="151" t="s">
        <v>9021</v>
      </c>
    </row>
    <row r="1984" spans="8:12" x14ac:dyDescent="0.25">
      <c r="H1984" s="151" t="s">
        <v>4360</v>
      </c>
      <c r="I1984" s="151" t="s">
        <v>391</v>
      </c>
      <c r="J1984" s="151" t="s">
        <v>7478</v>
      </c>
      <c r="K1984" s="151">
        <f t="shared" si="60"/>
        <v>650000000001618</v>
      </c>
      <c r="L1984" s="151" t="s">
        <v>9021</v>
      </c>
    </row>
    <row r="1985" spans="8:12" x14ac:dyDescent="0.25">
      <c r="H1985" s="151" t="s">
        <v>6854</v>
      </c>
      <c r="I1985" s="151" t="s">
        <v>6962</v>
      </c>
      <c r="J1985" s="151" t="s">
        <v>6962</v>
      </c>
      <c r="K1985" s="151">
        <f t="shared" si="60"/>
        <v>0</v>
      </c>
      <c r="L1985" s="151" t="s">
        <v>9021</v>
      </c>
    </row>
    <row r="1986" spans="8:12" x14ac:dyDescent="0.25">
      <c r="H1986" s="151" t="s">
        <v>4361</v>
      </c>
      <c r="I1986" s="151" t="s">
        <v>6962</v>
      </c>
      <c r="J1986" s="151" t="s">
        <v>6962</v>
      </c>
      <c r="K1986" s="151">
        <f t="shared" si="60"/>
        <v>0</v>
      </c>
      <c r="L1986" s="151" t="s">
        <v>9021</v>
      </c>
    </row>
    <row r="1987" spans="8:12" x14ac:dyDescent="0.25">
      <c r="H1987" s="151" t="s">
        <v>4361</v>
      </c>
      <c r="I1987" s="151" t="s">
        <v>391</v>
      </c>
      <c r="J1987" s="151" t="s">
        <v>7479</v>
      </c>
      <c r="K1987" s="151">
        <f t="shared" ref="K1987:K2050" si="61">+IFERROR(J1987*1,0)</f>
        <v>650000000000470</v>
      </c>
      <c r="L1987" s="151" t="s">
        <v>9021</v>
      </c>
    </row>
    <row r="1988" spans="8:12" x14ac:dyDescent="0.25">
      <c r="H1988" s="151" t="s">
        <v>4362</v>
      </c>
      <c r="I1988" s="151" t="s">
        <v>6962</v>
      </c>
      <c r="J1988" s="151" t="s">
        <v>6962</v>
      </c>
      <c r="K1988" s="151">
        <f t="shared" si="61"/>
        <v>0</v>
      </c>
      <c r="L1988" s="151" t="s">
        <v>9021</v>
      </c>
    </row>
    <row r="1989" spans="8:12" x14ac:dyDescent="0.25">
      <c r="H1989" s="151" t="s">
        <v>4362</v>
      </c>
      <c r="I1989" s="151" t="s">
        <v>391</v>
      </c>
      <c r="J1989" s="151" t="s">
        <v>7480</v>
      </c>
      <c r="K1989" s="151">
        <f t="shared" si="61"/>
        <v>650000000000471</v>
      </c>
      <c r="L1989" s="151" t="s">
        <v>9021</v>
      </c>
    </row>
    <row r="1990" spans="8:12" x14ac:dyDescent="0.25">
      <c r="H1990" s="151" t="s">
        <v>4363</v>
      </c>
      <c r="I1990" s="151" t="s">
        <v>6962</v>
      </c>
      <c r="J1990" s="151" t="s">
        <v>6962</v>
      </c>
      <c r="K1990" s="151">
        <f t="shared" si="61"/>
        <v>0</v>
      </c>
      <c r="L1990" s="151" t="s">
        <v>9021</v>
      </c>
    </row>
    <row r="1991" spans="8:12" x14ac:dyDescent="0.25">
      <c r="H1991" s="151" t="s">
        <v>4363</v>
      </c>
      <c r="I1991" s="151" t="s">
        <v>391</v>
      </c>
      <c r="J1991" s="151" t="s">
        <v>7481</v>
      </c>
      <c r="K1991" s="151">
        <f t="shared" si="61"/>
        <v>650000000001619</v>
      </c>
      <c r="L1991" s="151" t="s">
        <v>9021</v>
      </c>
    </row>
    <row r="1992" spans="8:12" x14ac:dyDescent="0.25">
      <c r="H1992" s="151" t="s">
        <v>6855</v>
      </c>
      <c r="I1992" s="151" t="s">
        <v>6962</v>
      </c>
      <c r="J1992" s="151" t="s">
        <v>6962</v>
      </c>
      <c r="K1992" s="151">
        <f t="shared" si="61"/>
        <v>0</v>
      </c>
      <c r="L1992" s="151" t="s">
        <v>9021</v>
      </c>
    </row>
    <row r="1993" spans="8:12" x14ac:dyDescent="0.25">
      <c r="H1993" s="151" t="s">
        <v>4364</v>
      </c>
      <c r="I1993" s="151" t="s">
        <v>6962</v>
      </c>
      <c r="J1993" s="151" t="s">
        <v>6962</v>
      </c>
      <c r="K1993" s="151">
        <f t="shared" si="61"/>
        <v>0</v>
      </c>
      <c r="L1993" s="151" t="s">
        <v>9021</v>
      </c>
    </row>
    <row r="1994" spans="8:12" x14ac:dyDescent="0.25">
      <c r="H1994" s="151" t="s">
        <v>4364</v>
      </c>
      <c r="I1994" s="151" t="s">
        <v>391</v>
      </c>
      <c r="J1994" s="151" t="s">
        <v>7482</v>
      </c>
      <c r="K1994" s="151">
        <f t="shared" si="61"/>
        <v>650000000000472</v>
      </c>
      <c r="L1994" s="151" t="s">
        <v>9021</v>
      </c>
    </row>
    <row r="1995" spans="8:12" x14ac:dyDescent="0.25">
      <c r="H1995" s="151" t="s">
        <v>4365</v>
      </c>
      <c r="I1995" s="151" t="s">
        <v>6962</v>
      </c>
      <c r="J1995" s="151" t="s">
        <v>6962</v>
      </c>
      <c r="K1995" s="151">
        <f t="shared" si="61"/>
        <v>0</v>
      </c>
      <c r="L1995" s="151" t="s">
        <v>9021</v>
      </c>
    </row>
    <row r="1996" spans="8:12" x14ac:dyDescent="0.25">
      <c r="H1996" s="151" t="s">
        <v>4365</v>
      </c>
      <c r="I1996" s="151" t="s">
        <v>391</v>
      </c>
      <c r="J1996" s="151" t="s">
        <v>7483</v>
      </c>
      <c r="K1996" s="151">
        <f t="shared" si="61"/>
        <v>650000000000473</v>
      </c>
      <c r="L1996" s="151" t="s">
        <v>9021</v>
      </c>
    </row>
    <row r="1997" spans="8:12" x14ac:dyDescent="0.25">
      <c r="H1997" s="151" t="s">
        <v>4366</v>
      </c>
      <c r="I1997" s="151" t="s">
        <v>6962</v>
      </c>
      <c r="J1997" s="151" t="s">
        <v>6962</v>
      </c>
      <c r="K1997" s="151">
        <f t="shared" si="61"/>
        <v>0</v>
      </c>
      <c r="L1997" s="151" t="s">
        <v>9021</v>
      </c>
    </row>
    <row r="1998" spans="8:12" x14ac:dyDescent="0.25">
      <c r="H1998" s="151" t="s">
        <v>4366</v>
      </c>
      <c r="I1998" s="151" t="s">
        <v>391</v>
      </c>
      <c r="J1998" s="151" t="s">
        <v>7484</v>
      </c>
      <c r="K1998" s="151">
        <f t="shared" si="61"/>
        <v>650000000000474</v>
      </c>
      <c r="L1998" s="151" t="s">
        <v>9021</v>
      </c>
    </row>
    <row r="1999" spans="8:12" x14ac:dyDescent="0.25">
      <c r="H1999" s="151" t="s">
        <v>4367</v>
      </c>
      <c r="I1999" s="151" t="s">
        <v>6962</v>
      </c>
      <c r="J1999" s="151" t="s">
        <v>6962</v>
      </c>
      <c r="K1999" s="151">
        <f t="shared" si="61"/>
        <v>0</v>
      </c>
      <c r="L1999" s="151" t="s">
        <v>9021</v>
      </c>
    </row>
    <row r="2000" spans="8:12" x14ac:dyDescent="0.25">
      <c r="H2000" s="151" t="s">
        <v>4367</v>
      </c>
      <c r="I2000" s="151" t="s">
        <v>391</v>
      </c>
      <c r="J2000" s="151" t="s">
        <v>7485</v>
      </c>
      <c r="K2000" s="151">
        <f t="shared" si="61"/>
        <v>650000000000475</v>
      </c>
      <c r="L2000" s="151" t="s">
        <v>9021</v>
      </c>
    </row>
    <row r="2001" spans="8:12" x14ac:dyDescent="0.25">
      <c r="H2001" s="151" t="s">
        <v>4368</v>
      </c>
      <c r="I2001" s="151" t="s">
        <v>6962</v>
      </c>
      <c r="J2001" s="151" t="s">
        <v>6962</v>
      </c>
      <c r="K2001" s="151">
        <f t="shared" si="61"/>
        <v>0</v>
      </c>
      <c r="L2001" s="151" t="s">
        <v>9021</v>
      </c>
    </row>
    <row r="2002" spans="8:12" x14ac:dyDescent="0.25">
      <c r="H2002" s="151" t="s">
        <v>4368</v>
      </c>
      <c r="I2002" s="151" t="s">
        <v>391</v>
      </c>
      <c r="J2002" s="151" t="s">
        <v>7486</v>
      </c>
      <c r="K2002" s="151">
        <f t="shared" si="61"/>
        <v>650000000000476</v>
      </c>
      <c r="L2002" s="151" t="s">
        <v>9021</v>
      </c>
    </row>
    <row r="2003" spans="8:12" x14ac:dyDescent="0.25">
      <c r="H2003" s="151" t="s">
        <v>4369</v>
      </c>
      <c r="I2003" s="151" t="s">
        <v>6962</v>
      </c>
      <c r="J2003" s="151" t="s">
        <v>6962</v>
      </c>
      <c r="K2003" s="151">
        <f t="shared" si="61"/>
        <v>0</v>
      </c>
      <c r="L2003" s="151" t="s">
        <v>9021</v>
      </c>
    </row>
    <row r="2004" spans="8:12" x14ac:dyDescent="0.25">
      <c r="H2004" s="151" t="s">
        <v>4369</v>
      </c>
      <c r="I2004" s="151" t="s">
        <v>391</v>
      </c>
      <c r="J2004" s="151" t="s">
        <v>7487</v>
      </c>
      <c r="K2004" s="151">
        <f t="shared" si="61"/>
        <v>650000000000477</v>
      </c>
      <c r="L2004" s="151" t="s">
        <v>9021</v>
      </c>
    </row>
    <row r="2005" spans="8:12" x14ac:dyDescent="0.25">
      <c r="H2005" s="151" t="s">
        <v>4370</v>
      </c>
      <c r="I2005" s="151" t="s">
        <v>6962</v>
      </c>
      <c r="J2005" s="151" t="s">
        <v>6962</v>
      </c>
      <c r="K2005" s="151">
        <f t="shared" si="61"/>
        <v>0</v>
      </c>
      <c r="L2005" s="151" t="s">
        <v>9021</v>
      </c>
    </row>
    <row r="2006" spans="8:12" x14ac:dyDescent="0.25">
      <c r="H2006" s="151" t="s">
        <v>4370</v>
      </c>
      <c r="I2006" s="151" t="s">
        <v>391</v>
      </c>
      <c r="J2006" s="151" t="s">
        <v>7488</v>
      </c>
      <c r="K2006" s="151">
        <f t="shared" si="61"/>
        <v>650000000001620</v>
      </c>
      <c r="L2006" s="151" t="s">
        <v>9021</v>
      </c>
    </row>
    <row r="2007" spans="8:12" x14ac:dyDescent="0.25">
      <c r="H2007" s="151" t="s">
        <v>4371</v>
      </c>
      <c r="I2007" s="151" t="s">
        <v>6962</v>
      </c>
      <c r="J2007" s="151" t="s">
        <v>6962</v>
      </c>
      <c r="K2007" s="151">
        <f t="shared" si="61"/>
        <v>0</v>
      </c>
      <c r="L2007" s="151" t="s">
        <v>9021</v>
      </c>
    </row>
    <row r="2008" spans="8:12" x14ac:dyDescent="0.25">
      <c r="H2008" s="151" t="s">
        <v>4371</v>
      </c>
      <c r="I2008" s="151" t="s">
        <v>391</v>
      </c>
      <c r="J2008" s="151" t="s">
        <v>7489</v>
      </c>
      <c r="K2008" s="151">
        <f t="shared" si="61"/>
        <v>650000000000478</v>
      </c>
      <c r="L2008" s="151" t="s">
        <v>9021</v>
      </c>
    </row>
    <row r="2009" spans="8:12" x14ac:dyDescent="0.25">
      <c r="H2009" s="151" t="s">
        <v>4372</v>
      </c>
      <c r="I2009" s="151" t="s">
        <v>6962</v>
      </c>
      <c r="J2009" s="151" t="s">
        <v>6962</v>
      </c>
      <c r="K2009" s="151">
        <f t="shared" si="61"/>
        <v>0</v>
      </c>
      <c r="L2009" s="151" t="s">
        <v>9021</v>
      </c>
    </row>
    <row r="2010" spans="8:12" x14ac:dyDescent="0.25">
      <c r="H2010" s="151" t="s">
        <v>4372</v>
      </c>
      <c r="I2010" s="151" t="s">
        <v>391</v>
      </c>
      <c r="J2010" s="151" t="s">
        <v>7490</v>
      </c>
      <c r="K2010" s="151">
        <f t="shared" si="61"/>
        <v>650000000000479</v>
      </c>
      <c r="L2010" s="151" t="s">
        <v>9021</v>
      </c>
    </row>
    <row r="2011" spans="8:12" x14ac:dyDescent="0.25">
      <c r="H2011" s="151" t="s">
        <v>4373</v>
      </c>
      <c r="I2011" s="151" t="s">
        <v>6962</v>
      </c>
      <c r="J2011" s="151" t="s">
        <v>6962</v>
      </c>
      <c r="K2011" s="151">
        <f t="shared" si="61"/>
        <v>0</v>
      </c>
      <c r="L2011" s="151" t="s">
        <v>9021</v>
      </c>
    </row>
    <row r="2012" spans="8:12" x14ac:dyDescent="0.25">
      <c r="H2012" s="151" t="s">
        <v>4373</v>
      </c>
      <c r="I2012" s="151" t="s">
        <v>391</v>
      </c>
      <c r="J2012" s="151" t="s">
        <v>7491</v>
      </c>
      <c r="K2012" s="151">
        <f t="shared" si="61"/>
        <v>650000000000480</v>
      </c>
      <c r="L2012" s="151" t="s">
        <v>9021</v>
      </c>
    </row>
    <row r="2013" spans="8:12" x14ac:dyDescent="0.25">
      <c r="H2013" s="151" t="s">
        <v>4374</v>
      </c>
      <c r="I2013" s="151" t="s">
        <v>6962</v>
      </c>
      <c r="J2013" s="151" t="s">
        <v>6962</v>
      </c>
      <c r="K2013" s="151">
        <f t="shared" si="61"/>
        <v>0</v>
      </c>
      <c r="L2013" s="151" t="s">
        <v>9021</v>
      </c>
    </row>
    <row r="2014" spans="8:12" x14ac:dyDescent="0.25">
      <c r="H2014" s="151" t="s">
        <v>4374</v>
      </c>
      <c r="I2014" s="151" t="s">
        <v>391</v>
      </c>
      <c r="J2014" s="151" t="s">
        <v>7492</v>
      </c>
      <c r="K2014" s="151">
        <f t="shared" si="61"/>
        <v>650000000000481</v>
      </c>
      <c r="L2014" s="151" t="s">
        <v>9021</v>
      </c>
    </row>
    <row r="2015" spans="8:12" x14ac:dyDescent="0.25">
      <c r="H2015" s="151" t="s">
        <v>4375</v>
      </c>
      <c r="I2015" s="151" t="s">
        <v>6962</v>
      </c>
      <c r="J2015" s="151" t="s">
        <v>6962</v>
      </c>
      <c r="K2015" s="151">
        <f t="shared" si="61"/>
        <v>0</v>
      </c>
      <c r="L2015" s="151" t="s">
        <v>9021</v>
      </c>
    </row>
    <row r="2016" spans="8:12" x14ac:dyDescent="0.25">
      <c r="H2016" s="151" t="s">
        <v>4375</v>
      </c>
      <c r="I2016" s="151" t="s">
        <v>391</v>
      </c>
      <c r="J2016" s="151" t="s">
        <v>7493</v>
      </c>
      <c r="K2016" s="151">
        <f t="shared" si="61"/>
        <v>650000000000482</v>
      </c>
      <c r="L2016" s="151" t="s">
        <v>9021</v>
      </c>
    </row>
    <row r="2017" spans="8:12" x14ac:dyDescent="0.25">
      <c r="H2017" s="151" t="s">
        <v>4376</v>
      </c>
      <c r="I2017" s="151" t="s">
        <v>6962</v>
      </c>
      <c r="J2017" s="151" t="s">
        <v>6962</v>
      </c>
      <c r="K2017" s="151">
        <f t="shared" si="61"/>
        <v>0</v>
      </c>
      <c r="L2017" s="151" t="s">
        <v>9021</v>
      </c>
    </row>
    <row r="2018" spans="8:12" x14ac:dyDescent="0.25">
      <c r="H2018" s="151" t="s">
        <v>4376</v>
      </c>
      <c r="I2018" s="151" t="s">
        <v>391</v>
      </c>
      <c r="J2018" s="151" t="s">
        <v>7494</v>
      </c>
      <c r="K2018" s="151">
        <f t="shared" si="61"/>
        <v>650000000000483</v>
      </c>
      <c r="L2018" s="151" t="s">
        <v>9021</v>
      </c>
    </row>
    <row r="2019" spans="8:12" x14ac:dyDescent="0.25">
      <c r="H2019" s="151" t="s">
        <v>4377</v>
      </c>
      <c r="I2019" s="151" t="s">
        <v>6962</v>
      </c>
      <c r="J2019" s="151" t="s">
        <v>6962</v>
      </c>
      <c r="K2019" s="151">
        <f t="shared" si="61"/>
        <v>0</v>
      </c>
      <c r="L2019" s="151" t="s">
        <v>9021</v>
      </c>
    </row>
    <row r="2020" spans="8:12" x14ac:dyDescent="0.25">
      <c r="H2020" s="151" t="s">
        <v>4377</v>
      </c>
      <c r="I2020" s="151" t="s">
        <v>391</v>
      </c>
      <c r="J2020" s="151" t="s">
        <v>7495</v>
      </c>
      <c r="K2020" s="151">
        <f t="shared" si="61"/>
        <v>650000000000484</v>
      </c>
      <c r="L2020" s="151" t="s">
        <v>9021</v>
      </c>
    </row>
    <row r="2021" spans="8:12" x14ac:dyDescent="0.25">
      <c r="H2021" s="151" t="s">
        <v>4378</v>
      </c>
      <c r="I2021" s="151" t="s">
        <v>6962</v>
      </c>
      <c r="J2021" s="151" t="s">
        <v>6962</v>
      </c>
      <c r="K2021" s="151">
        <f t="shared" si="61"/>
        <v>0</v>
      </c>
      <c r="L2021" s="151" t="s">
        <v>9021</v>
      </c>
    </row>
    <row r="2022" spans="8:12" x14ac:dyDescent="0.25">
      <c r="H2022" s="151" t="s">
        <v>4378</v>
      </c>
      <c r="I2022" s="151" t="s">
        <v>391</v>
      </c>
      <c r="J2022" s="151" t="s">
        <v>7496</v>
      </c>
      <c r="K2022" s="151">
        <f t="shared" si="61"/>
        <v>650000000000485</v>
      </c>
      <c r="L2022" s="151" t="s">
        <v>9021</v>
      </c>
    </row>
    <row r="2023" spans="8:12" x14ac:dyDescent="0.25">
      <c r="H2023" s="151" t="s">
        <v>4379</v>
      </c>
      <c r="I2023" s="151" t="s">
        <v>6962</v>
      </c>
      <c r="J2023" s="151" t="s">
        <v>6962</v>
      </c>
      <c r="K2023" s="151">
        <f t="shared" si="61"/>
        <v>0</v>
      </c>
      <c r="L2023" s="151" t="s">
        <v>9021</v>
      </c>
    </row>
    <row r="2024" spans="8:12" x14ac:dyDescent="0.25">
      <c r="H2024" s="151" t="s">
        <v>4379</v>
      </c>
      <c r="I2024" s="151" t="s">
        <v>391</v>
      </c>
      <c r="J2024" s="151" t="s">
        <v>7497</v>
      </c>
      <c r="K2024" s="151">
        <f t="shared" si="61"/>
        <v>650000000000486</v>
      </c>
      <c r="L2024" s="151" t="s">
        <v>9021</v>
      </c>
    </row>
    <row r="2025" spans="8:12" x14ac:dyDescent="0.25">
      <c r="H2025" s="151" t="s">
        <v>4380</v>
      </c>
      <c r="I2025" s="151" t="s">
        <v>6962</v>
      </c>
      <c r="J2025" s="151" t="s">
        <v>6962</v>
      </c>
      <c r="K2025" s="151">
        <f t="shared" si="61"/>
        <v>0</v>
      </c>
      <c r="L2025" s="151" t="s">
        <v>9021</v>
      </c>
    </row>
    <row r="2026" spans="8:12" x14ac:dyDescent="0.25">
      <c r="H2026" s="151" t="s">
        <v>4380</v>
      </c>
      <c r="I2026" s="151" t="s">
        <v>391</v>
      </c>
      <c r="J2026" s="151" t="s">
        <v>7498</v>
      </c>
      <c r="K2026" s="151">
        <f t="shared" si="61"/>
        <v>650000000001621</v>
      </c>
      <c r="L2026" s="151" t="s">
        <v>9021</v>
      </c>
    </row>
    <row r="2027" spans="8:12" x14ac:dyDescent="0.25">
      <c r="H2027" s="151" t="s">
        <v>4381</v>
      </c>
      <c r="I2027" s="151" t="s">
        <v>6962</v>
      </c>
      <c r="J2027" s="151" t="s">
        <v>6962</v>
      </c>
      <c r="K2027" s="151">
        <f t="shared" si="61"/>
        <v>0</v>
      </c>
      <c r="L2027" s="151" t="s">
        <v>9021</v>
      </c>
    </row>
    <row r="2028" spans="8:12" x14ac:dyDescent="0.25">
      <c r="H2028" s="151" t="s">
        <v>4381</v>
      </c>
      <c r="I2028" s="151" t="s">
        <v>391</v>
      </c>
      <c r="J2028" s="151" t="s">
        <v>7499</v>
      </c>
      <c r="K2028" s="151">
        <f t="shared" si="61"/>
        <v>650000000001622</v>
      </c>
      <c r="L2028" s="151" t="s">
        <v>9021</v>
      </c>
    </row>
    <row r="2029" spans="8:12" x14ac:dyDescent="0.25">
      <c r="H2029" s="151" t="s">
        <v>4382</v>
      </c>
      <c r="I2029" s="151" t="s">
        <v>6962</v>
      </c>
      <c r="J2029" s="151" t="s">
        <v>6962</v>
      </c>
      <c r="K2029" s="151">
        <f t="shared" si="61"/>
        <v>0</v>
      </c>
      <c r="L2029" s="151" t="s">
        <v>9021</v>
      </c>
    </row>
    <row r="2030" spans="8:12" x14ac:dyDescent="0.25">
      <c r="H2030" s="151" t="s">
        <v>4382</v>
      </c>
      <c r="I2030" s="151" t="s">
        <v>391</v>
      </c>
      <c r="J2030" s="151" t="s">
        <v>7500</v>
      </c>
      <c r="K2030" s="151">
        <f t="shared" si="61"/>
        <v>650000000001623</v>
      </c>
      <c r="L2030" s="151" t="s">
        <v>9021</v>
      </c>
    </row>
    <row r="2031" spans="8:12" x14ac:dyDescent="0.25">
      <c r="H2031" s="151" t="s">
        <v>4383</v>
      </c>
      <c r="I2031" s="151" t="s">
        <v>6962</v>
      </c>
      <c r="J2031" s="151" t="s">
        <v>6962</v>
      </c>
      <c r="K2031" s="151">
        <f t="shared" si="61"/>
        <v>0</v>
      </c>
      <c r="L2031" s="151" t="s">
        <v>9021</v>
      </c>
    </row>
    <row r="2032" spans="8:12" x14ac:dyDescent="0.25">
      <c r="H2032" s="151" t="s">
        <v>4383</v>
      </c>
      <c r="I2032" s="151" t="s">
        <v>391</v>
      </c>
      <c r="J2032" s="151" t="s">
        <v>7501</v>
      </c>
      <c r="K2032" s="151">
        <f t="shared" si="61"/>
        <v>650000000001624</v>
      </c>
      <c r="L2032" s="151" t="s">
        <v>9021</v>
      </c>
    </row>
    <row r="2033" spans="8:12" x14ac:dyDescent="0.25">
      <c r="H2033" s="151" t="s">
        <v>4384</v>
      </c>
      <c r="I2033" s="151" t="s">
        <v>6962</v>
      </c>
      <c r="J2033" s="151" t="s">
        <v>6962</v>
      </c>
      <c r="K2033" s="151">
        <f t="shared" si="61"/>
        <v>0</v>
      </c>
      <c r="L2033" s="151" t="s">
        <v>9021</v>
      </c>
    </row>
    <row r="2034" spans="8:12" x14ac:dyDescent="0.25">
      <c r="H2034" s="151" t="s">
        <v>4384</v>
      </c>
      <c r="I2034" s="151" t="s">
        <v>391</v>
      </c>
      <c r="J2034" s="151" t="s">
        <v>7502</v>
      </c>
      <c r="K2034" s="151">
        <f t="shared" si="61"/>
        <v>650000000000487</v>
      </c>
      <c r="L2034" s="151" t="s">
        <v>9021</v>
      </c>
    </row>
    <row r="2035" spans="8:12" x14ac:dyDescent="0.25">
      <c r="H2035" s="151" t="s">
        <v>4385</v>
      </c>
      <c r="I2035" s="151" t="s">
        <v>6962</v>
      </c>
      <c r="J2035" s="151" t="s">
        <v>6962</v>
      </c>
      <c r="K2035" s="151">
        <f t="shared" si="61"/>
        <v>0</v>
      </c>
      <c r="L2035" s="151" t="s">
        <v>9021</v>
      </c>
    </row>
    <row r="2036" spans="8:12" x14ac:dyDescent="0.25">
      <c r="H2036" s="151" t="s">
        <v>4385</v>
      </c>
      <c r="I2036" s="151" t="s">
        <v>391</v>
      </c>
      <c r="J2036" s="151" t="s">
        <v>7503</v>
      </c>
      <c r="K2036" s="151">
        <f t="shared" si="61"/>
        <v>650000000000488</v>
      </c>
      <c r="L2036" s="151" t="s">
        <v>9021</v>
      </c>
    </row>
    <row r="2037" spans="8:12" x14ac:dyDescent="0.25">
      <c r="H2037" s="151" t="s">
        <v>4386</v>
      </c>
      <c r="I2037" s="151" t="s">
        <v>6962</v>
      </c>
      <c r="J2037" s="151" t="s">
        <v>6962</v>
      </c>
      <c r="K2037" s="151">
        <f t="shared" si="61"/>
        <v>0</v>
      </c>
      <c r="L2037" s="151" t="s">
        <v>9021</v>
      </c>
    </row>
    <row r="2038" spans="8:12" x14ac:dyDescent="0.25">
      <c r="H2038" s="151" t="s">
        <v>4386</v>
      </c>
      <c r="I2038" s="151" t="s">
        <v>391</v>
      </c>
      <c r="J2038" s="151" t="s">
        <v>7504</v>
      </c>
      <c r="K2038" s="151">
        <f t="shared" si="61"/>
        <v>650000000001625</v>
      </c>
      <c r="L2038" s="151" t="s">
        <v>9021</v>
      </c>
    </row>
    <row r="2039" spans="8:12" x14ac:dyDescent="0.25">
      <c r="H2039" s="151" t="s">
        <v>4387</v>
      </c>
      <c r="I2039" s="151" t="s">
        <v>6962</v>
      </c>
      <c r="J2039" s="151" t="s">
        <v>6962</v>
      </c>
      <c r="K2039" s="151">
        <f t="shared" si="61"/>
        <v>0</v>
      </c>
      <c r="L2039" s="151" t="s">
        <v>9021</v>
      </c>
    </row>
    <row r="2040" spans="8:12" x14ac:dyDescent="0.25">
      <c r="H2040" s="151" t="s">
        <v>4387</v>
      </c>
      <c r="I2040" s="151" t="s">
        <v>391</v>
      </c>
      <c r="J2040" s="151" t="s">
        <v>7505</v>
      </c>
      <c r="K2040" s="151">
        <f t="shared" si="61"/>
        <v>650000000000489</v>
      </c>
      <c r="L2040" s="151" t="s">
        <v>9021</v>
      </c>
    </row>
    <row r="2041" spans="8:12" x14ac:dyDescent="0.25">
      <c r="H2041" s="151" t="s">
        <v>4388</v>
      </c>
      <c r="I2041" s="151" t="s">
        <v>6962</v>
      </c>
      <c r="J2041" s="151" t="s">
        <v>6962</v>
      </c>
      <c r="K2041" s="151">
        <f t="shared" si="61"/>
        <v>0</v>
      </c>
      <c r="L2041" s="151" t="s">
        <v>9021</v>
      </c>
    </row>
    <row r="2042" spans="8:12" x14ac:dyDescent="0.25">
      <c r="H2042" s="151" t="s">
        <v>4388</v>
      </c>
      <c r="I2042" s="151" t="s">
        <v>391</v>
      </c>
      <c r="J2042" s="151" t="s">
        <v>7506</v>
      </c>
      <c r="K2042" s="151">
        <f t="shared" si="61"/>
        <v>650000000001626</v>
      </c>
      <c r="L2042" s="151" t="s">
        <v>9021</v>
      </c>
    </row>
    <row r="2043" spans="8:12" x14ac:dyDescent="0.25">
      <c r="H2043" s="151" t="s">
        <v>4389</v>
      </c>
      <c r="I2043" s="151" t="s">
        <v>6962</v>
      </c>
      <c r="J2043" s="151" t="s">
        <v>6962</v>
      </c>
      <c r="K2043" s="151">
        <f t="shared" si="61"/>
        <v>0</v>
      </c>
      <c r="L2043" s="151" t="s">
        <v>9021</v>
      </c>
    </row>
    <row r="2044" spans="8:12" x14ac:dyDescent="0.25">
      <c r="H2044" s="151" t="s">
        <v>4389</v>
      </c>
      <c r="I2044" s="151" t="s">
        <v>391</v>
      </c>
      <c r="J2044" s="151" t="s">
        <v>7507</v>
      </c>
      <c r="K2044" s="151">
        <f t="shared" si="61"/>
        <v>650000000000490</v>
      </c>
      <c r="L2044" s="151" t="s">
        <v>9021</v>
      </c>
    </row>
    <row r="2045" spans="8:12" x14ac:dyDescent="0.25">
      <c r="H2045" s="151" t="s">
        <v>4390</v>
      </c>
      <c r="I2045" s="151" t="s">
        <v>6962</v>
      </c>
      <c r="J2045" s="151" t="s">
        <v>6962</v>
      </c>
      <c r="K2045" s="151">
        <f t="shared" si="61"/>
        <v>0</v>
      </c>
      <c r="L2045" s="151" t="s">
        <v>9021</v>
      </c>
    </row>
    <row r="2046" spans="8:12" x14ac:dyDescent="0.25">
      <c r="H2046" s="151" t="s">
        <v>4390</v>
      </c>
      <c r="I2046" s="151" t="s">
        <v>391</v>
      </c>
      <c r="J2046" s="151" t="s">
        <v>7508</v>
      </c>
      <c r="K2046" s="151">
        <f t="shared" si="61"/>
        <v>650000000001627</v>
      </c>
      <c r="L2046" s="151" t="s">
        <v>9021</v>
      </c>
    </row>
    <row r="2047" spans="8:12" x14ac:dyDescent="0.25">
      <c r="H2047" s="151" t="s">
        <v>4391</v>
      </c>
      <c r="I2047" s="151" t="s">
        <v>6962</v>
      </c>
      <c r="J2047" s="151" t="s">
        <v>6962</v>
      </c>
      <c r="K2047" s="151">
        <f t="shared" si="61"/>
        <v>0</v>
      </c>
      <c r="L2047" s="151" t="s">
        <v>9021</v>
      </c>
    </row>
    <row r="2048" spans="8:12" x14ac:dyDescent="0.25">
      <c r="H2048" s="151" t="s">
        <v>4391</v>
      </c>
      <c r="I2048" s="151" t="s">
        <v>391</v>
      </c>
      <c r="J2048" s="151" t="s">
        <v>7509</v>
      </c>
      <c r="K2048" s="151">
        <f t="shared" si="61"/>
        <v>650000000000491</v>
      </c>
      <c r="L2048" s="151" t="s">
        <v>9021</v>
      </c>
    </row>
    <row r="2049" spans="8:12" x14ac:dyDescent="0.25">
      <c r="H2049" s="151" t="s">
        <v>4392</v>
      </c>
      <c r="I2049" s="151" t="s">
        <v>6962</v>
      </c>
      <c r="J2049" s="151" t="s">
        <v>6962</v>
      </c>
      <c r="K2049" s="151">
        <f t="shared" si="61"/>
        <v>0</v>
      </c>
      <c r="L2049" s="151" t="s">
        <v>9021</v>
      </c>
    </row>
    <row r="2050" spans="8:12" x14ac:dyDescent="0.25">
      <c r="H2050" s="151" t="s">
        <v>4392</v>
      </c>
      <c r="I2050" s="151" t="s">
        <v>391</v>
      </c>
      <c r="J2050" s="151" t="s">
        <v>7510</v>
      </c>
      <c r="K2050" s="151">
        <f t="shared" si="61"/>
        <v>650000000000492</v>
      </c>
      <c r="L2050" s="151" t="s">
        <v>9021</v>
      </c>
    </row>
    <row r="2051" spans="8:12" x14ac:dyDescent="0.25">
      <c r="H2051" s="151" t="s">
        <v>4393</v>
      </c>
      <c r="I2051" s="151" t="s">
        <v>6962</v>
      </c>
      <c r="J2051" s="151" t="s">
        <v>6962</v>
      </c>
      <c r="K2051" s="151">
        <f t="shared" ref="K2051:K2114" si="62">+IFERROR(J2051*1,0)</f>
        <v>0</v>
      </c>
      <c r="L2051" s="151" t="s">
        <v>9021</v>
      </c>
    </row>
    <row r="2052" spans="8:12" x14ac:dyDescent="0.25">
      <c r="H2052" s="151" t="s">
        <v>4393</v>
      </c>
      <c r="I2052" s="151" t="s">
        <v>391</v>
      </c>
      <c r="J2052" s="151" t="s">
        <v>7511</v>
      </c>
      <c r="K2052" s="151">
        <f t="shared" si="62"/>
        <v>650000000001628</v>
      </c>
      <c r="L2052" s="151" t="s">
        <v>9021</v>
      </c>
    </row>
    <row r="2053" spans="8:12" x14ac:dyDescent="0.25">
      <c r="H2053" s="151" t="s">
        <v>4394</v>
      </c>
      <c r="I2053" s="151" t="s">
        <v>6962</v>
      </c>
      <c r="J2053" s="151" t="s">
        <v>6962</v>
      </c>
      <c r="K2053" s="151">
        <f t="shared" si="62"/>
        <v>0</v>
      </c>
      <c r="L2053" s="151" t="s">
        <v>9021</v>
      </c>
    </row>
    <row r="2054" spans="8:12" x14ac:dyDescent="0.25">
      <c r="H2054" s="151" t="s">
        <v>4394</v>
      </c>
      <c r="I2054" s="151" t="s">
        <v>391</v>
      </c>
      <c r="J2054" s="151" t="s">
        <v>7512</v>
      </c>
      <c r="K2054" s="151">
        <f t="shared" si="62"/>
        <v>650000000001629</v>
      </c>
      <c r="L2054" s="151" t="s">
        <v>9021</v>
      </c>
    </row>
    <row r="2055" spans="8:12" x14ac:dyDescent="0.25">
      <c r="H2055" s="151" t="s">
        <v>4395</v>
      </c>
      <c r="I2055" s="151" t="s">
        <v>6962</v>
      </c>
      <c r="J2055" s="151" t="s">
        <v>6962</v>
      </c>
      <c r="K2055" s="151">
        <f t="shared" si="62"/>
        <v>0</v>
      </c>
      <c r="L2055" s="151" t="s">
        <v>9021</v>
      </c>
    </row>
    <row r="2056" spans="8:12" x14ac:dyDescent="0.25">
      <c r="H2056" s="151" t="s">
        <v>4395</v>
      </c>
      <c r="I2056" s="151" t="s">
        <v>391</v>
      </c>
      <c r="J2056" s="151" t="s">
        <v>7513</v>
      </c>
      <c r="K2056" s="151">
        <f t="shared" si="62"/>
        <v>650000000000493</v>
      </c>
      <c r="L2056" s="151" t="s">
        <v>9021</v>
      </c>
    </row>
    <row r="2057" spans="8:12" x14ac:dyDescent="0.25">
      <c r="H2057" s="151" t="s">
        <v>4396</v>
      </c>
      <c r="I2057" s="151" t="s">
        <v>6962</v>
      </c>
      <c r="J2057" s="151" t="s">
        <v>6962</v>
      </c>
      <c r="K2057" s="151">
        <f t="shared" si="62"/>
        <v>0</v>
      </c>
      <c r="L2057" s="151" t="s">
        <v>9021</v>
      </c>
    </row>
    <row r="2058" spans="8:12" x14ac:dyDescent="0.25">
      <c r="H2058" s="151" t="s">
        <v>4396</v>
      </c>
      <c r="I2058" s="151" t="s">
        <v>391</v>
      </c>
      <c r="J2058" s="151" t="s">
        <v>7514</v>
      </c>
      <c r="K2058" s="151">
        <f t="shared" si="62"/>
        <v>650000000000494</v>
      </c>
      <c r="L2058" s="151" t="s">
        <v>9021</v>
      </c>
    </row>
    <row r="2059" spans="8:12" x14ac:dyDescent="0.25">
      <c r="H2059" s="151" t="s">
        <v>4397</v>
      </c>
      <c r="I2059" s="151" t="s">
        <v>6962</v>
      </c>
      <c r="J2059" s="151" t="s">
        <v>6962</v>
      </c>
      <c r="K2059" s="151">
        <f t="shared" si="62"/>
        <v>0</v>
      </c>
      <c r="L2059" s="151" t="s">
        <v>9021</v>
      </c>
    </row>
    <row r="2060" spans="8:12" x14ac:dyDescent="0.25">
      <c r="H2060" s="151" t="s">
        <v>4397</v>
      </c>
      <c r="I2060" s="151" t="s">
        <v>391</v>
      </c>
      <c r="J2060" s="151" t="s">
        <v>7515</v>
      </c>
      <c r="K2060" s="151">
        <f t="shared" si="62"/>
        <v>650000000001630</v>
      </c>
      <c r="L2060" s="151" t="s">
        <v>9021</v>
      </c>
    </row>
    <row r="2061" spans="8:12" x14ac:dyDescent="0.25">
      <c r="H2061" s="151" t="s">
        <v>4398</v>
      </c>
      <c r="I2061" s="151" t="s">
        <v>6962</v>
      </c>
      <c r="J2061" s="151" t="s">
        <v>6962</v>
      </c>
      <c r="K2061" s="151">
        <f t="shared" si="62"/>
        <v>0</v>
      </c>
      <c r="L2061" s="151" t="s">
        <v>9021</v>
      </c>
    </row>
    <row r="2062" spans="8:12" x14ac:dyDescent="0.25">
      <c r="H2062" s="151" t="s">
        <v>4398</v>
      </c>
      <c r="I2062" s="151" t="s">
        <v>391</v>
      </c>
      <c r="J2062" s="151" t="s">
        <v>7516</v>
      </c>
      <c r="K2062" s="151">
        <f t="shared" si="62"/>
        <v>650000000001631</v>
      </c>
      <c r="L2062" s="151" t="s">
        <v>9021</v>
      </c>
    </row>
    <row r="2063" spans="8:12" x14ac:dyDescent="0.25">
      <c r="H2063" s="151" t="s">
        <v>4399</v>
      </c>
      <c r="I2063" s="151" t="s">
        <v>6962</v>
      </c>
      <c r="J2063" s="151" t="s">
        <v>6962</v>
      </c>
      <c r="K2063" s="151">
        <f t="shared" si="62"/>
        <v>0</v>
      </c>
      <c r="L2063" s="151" t="s">
        <v>9021</v>
      </c>
    </row>
    <row r="2064" spans="8:12" x14ac:dyDescent="0.25">
      <c r="H2064" s="151" t="s">
        <v>4399</v>
      </c>
      <c r="I2064" s="151" t="s">
        <v>391</v>
      </c>
      <c r="J2064" s="151" t="s">
        <v>7517</v>
      </c>
      <c r="K2064" s="151">
        <f t="shared" si="62"/>
        <v>650000000001632</v>
      </c>
      <c r="L2064" s="151" t="s">
        <v>9021</v>
      </c>
    </row>
    <row r="2065" spans="8:12" x14ac:dyDescent="0.25">
      <c r="H2065" s="151" t="s">
        <v>4400</v>
      </c>
      <c r="I2065" s="151" t="s">
        <v>6962</v>
      </c>
      <c r="J2065" s="151" t="s">
        <v>6962</v>
      </c>
      <c r="K2065" s="151">
        <f t="shared" si="62"/>
        <v>0</v>
      </c>
      <c r="L2065" s="151" t="s">
        <v>9021</v>
      </c>
    </row>
    <row r="2066" spans="8:12" x14ac:dyDescent="0.25">
      <c r="H2066" s="151" t="s">
        <v>4400</v>
      </c>
      <c r="I2066" s="151" t="s">
        <v>391</v>
      </c>
      <c r="J2066" s="151" t="s">
        <v>7518</v>
      </c>
      <c r="K2066" s="151">
        <f t="shared" si="62"/>
        <v>650000000000495</v>
      </c>
      <c r="L2066" s="151" t="s">
        <v>9021</v>
      </c>
    </row>
    <row r="2067" spans="8:12" x14ac:dyDescent="0.25">
      <c r="H2067" s="151" t="s">
        <v>4401</v>
      </c>
      <c r="I2067" s="151" t="s">
        <v>6962</v>
      </c>
      <c r="J2067" s="151" t="s">
        <v>6962</v>
      </c>
      <c r="K2067" s="151">
        <f t="shared" si="62"/>
        <v>0</v>
      </c>
      <c r="L2067" s="151" t="s">
        <v>9021</v>
      </c>
    </row>
    <row r="2068" spans="8:12" x14ac:dyDescent="0.25">
      <c r="H2068" s="151" t="s">
        <v>4401</v>
      </c>
      <c r="I2068" s="151" t="s">
        <v>391</v>
      </c>
      <c r="J2068" s="151" t="s">
        <v>7519</v>
      </c>
      <c r="K2068" s="151">
        <f t="shared" si="62"/>
        <v>650000000001633</v>
      </c>
      <c r="L2068" s="151" t="s">
        <v>9021</v>
      </c>
    </row>
    <row r="2069" spans="8:12" x14ac:dyDescent="0.25">
      <c r="H2069" s="151" t="s">
        <v>4402</v>
      </c>
      <c r="I2069" s="151" t="s">
        <v>6962</v>
      </c>
      <c r="J2069" s="151" t="s">
        <v>6962</v>
      </c>
      <c r="K2069" s="151">
        <f t="shared" si="62"/>
        <v>0</v>
      </c>
      <c r="L2069" s="151" t="s">
        <v>9021</v>
      </c>
    </row>
    <row r="2070" spans="8:12" x14ac:dyDescent="0.25">
      <c r="H2070" s="151" t="s">
        <v>4402</v>
      </c>
      <c r="I2070" s="151" t="s">
        <v>391</v>
      </c>
      <c r="J2070" s="151" t="s">
        <v>7520</v>
      </c>
      <c r="K2070" s="151">
        <f t="shared" si="62"/>
        <v>650000000000496</v>
      </c>
      <c r="L2070" s="151" t="s">
        <v>9021</v>
      </c>
    </row>
    <row r="2071" spans="8:12" x14ac:dyDescent="0.25">
      <c r="H2071" s="151" t="s">
        <v>4403</v>
      </c>
      <c r="I2071" s="151" t="s">
        <v>6962</v>
      </c>
      <c r="J2071" s="151" t="s">
        <v>6962</v>
      </c>
      <c r="K2071" s="151">
        <f t="shared" si="62"/>
        <v>0</v>
      </c>
      <c r="L2071" s="151" t="s">
        <v>9021</v>
      </c>
    </row>
    <row r="2072" spans="8:12" x14ac:dyDescent="0.25">
      <c r="H2072" s="151" t="s">
        <v>4403</v>
      </c>
      <c r="I2072" s="151" t="s">
        <v>391</v>
      </c>
      <c r="J2072" s="151" t="s">
        <v>7521</v>
      </c>
      <c r="K2072" s="151">
        <f t="shared" si="62"/>
        <v>650000000001634</v>
      </c>
      <c r="L2072" s="151" t="s">
        <v>9021</v>
      </c>
    </row>
    <row r="2073" spans="8:12" x14ac:dyDescent="0.25">
      <c r="H2073" s="151" t="s">
        <v>4404</v>
      </c>
      <c r="I2073" s="151" t="s">
        <v>6962</v>
      </c>
      <c r="J2073" s="151" t="s">
        <v>6962</v>
      </c>
      <c r="K2073" s="151">
        <f t="shared" si="62"/>
        <v>0</v>
      </c>
      <c r="L2073" s="151" t="s">
        <v>9021</v>
      </c>
    </row>
    <row r="2074" spans="8:12" x14ac:dyDescent="0.25">
      <c r="H2074" s="151" t="s">
        <v>4404</v>
      </c>
      <c r="I2074" s="151" t="s">
        <v>391</v>
      </c>
      <c r="J2074" s="151" t="s">
        <v>7522</v>
      </c>
      <c r="K2074" s="151">
        <f t="shared" si="62"/>
        <v>650000000000497</v>
      </c>
      <c r="L2074" s="151" t="s">
        <v>9021</v>
      </c>
    </row>
    <row r="2075" spans="8:12" x14ac:dyDescent="0.25">
      <c r="H2075" s="151" t="s">
        <v>6856</v>
      </c>
      <c r="I2075" s="151" t="s">
        <v>6962</v>
      </c>
      <c r="J2075" s="151" t="s">
        <v>6962</v>
      </c>
      <c r="K2075" s="151">
        <f t="shared" si="62"/>
        <v>0</v>
      </c>
      <c r="L2075" s="151" t="s">
        <v>9021</v>
      </c>
    </row>
    <row r="2076" spans="8:12" x14ac:dyDescent="0.25">
      <c r="H2076" s="151" t="s">
        <v>4405</v>
      </c>
      <c r="I2076" s="151" t="s">
        <v>6962</v>
      </c>
      <c r="J2076" s="151" t="s">
        <v>6962</v>
      </c>
      <c r="K2076" s="151">
        <f t="shared" si="62"/>
        <v>0</v>
      </c>
      <c r="L2076" s="151" t="s">
        <v>9021</v>
      </c>
    </row>
    <row r="2077" spans="8:12" x14ac:dyDescent="0.25">
      <c r="H2077" s="151" t="s">
        <v>4405</v>
      </c>
      <c r="I2077" s="151" t="s">
        <v>391</v>
      </c>
      <c r="J2077" s="151" t="s">
        <v>7523</v>
      </c>
      <c r="K2077" s="151">
        <f t="shared" si="62"/>
        <v>650000000000498</v>
      </c>
      <c r="L2077" s="151" t="s">
        <v>9021</v>
      </c>
    </row>
    <row r="2078" spans="8:12" x14ac:dyDescent="0.25">
      <c r="H2078" s="151" t="s">
        <v>4406</v>
      </c>
      <c r="I2078" s="151" t="s">
        <v>6962</v>
      </c>
      <c r="J2078" s="151" t="s">
        <v>6962</v>
      </c>
      <c r="K2078" s="151">
        <f t="shared" si="62"/>
        <v>0</v>
      </c>
      <c r="L2078" s="151" t="s">
        <v>9021</v>
      </c>
    </row>
    <row r="2079" spans="8:12" x14ac:dyDescent="0.25">
      <c r="H2079" s="151" t="s">
        <v>4406</v>
      </c>
      <c r="I2079" s="151" t="s">
        <v>391</v>
      </c>
      <c r="J2079" s="151" t="s">
        <v>7524</v>
      </c>
      <c r="K2079" s="151">
        <f t="shared" si="62"/>
        <v>650000000001635</v>
      </c>
      <c r="L2079" s="151" t="s">
        <v>9021</v>
      </c>
    </row>
    <row r="2080" spans="8:12" x14ac:dyDescent="0.25">
      <c r="H2080" s="151" t="s">
        <v>4407</v>
      </c>
      <c r="I2080" s="151" t="s">
        <v>6962</v>
      </c>
      <c r="J2080" s="151" t="s">
        <v>6962</v>
      </c>
      <c r="K2080" s="151">
        <f t="shared" si="62"/>
        <v>0</v>
      </c>
      <c r="L2080" s="151" t="s">
        <v>9021</v>
      </c>
    </row>
    <row r="2081" spans="8:12" x14ac:dyDescent="0.25">
      <c r="H2081" s="151" t="s">
        <v>4407</v>
      </c>
      <c r="I2081" s="151" t="s">
        <v>391</v>
      </c>
      <c r="J2081" s="151" t="s">
        <v>7525</v>
      </c>
      <c r="K2081" s="151">
        <f t="shared" si="62"/>
        <v>650000000000499</v>
      </c>
      <c r="L2081" s="151" t="s">
        <v>9021</v>
      </c>
    </row>
    <row r="2082" spans="8:12" x14ac:dyDescent="0.25">
      <c r="H2082" s="151" t="s">
        <v>6857</v>
      </c>
      <c r="I2082" s="151" t="s">
        <v>6962</v>
      </c>
      <c r="J2082" s="151" t="s">
        <v>6962</v>
      </c>
      <c r="K2082" s="151">
        <f t="shared" si="62"/>
        <v>0</v>
      </c>
      <c r="L2082" s="151" t="s">
        <v>9021</v>
      </c>
    </row>
    <row r="2083" spans="8:12" x14ac:dyDescent="0.25">
      <c r="H2083" s="151" t="s">
        <v>4408</v>
      </c>
      <c r="I2083" s="151" t="s">
        <v>6962</v>
      </c>
      <c r="J2083" s="151" t="s">
        <v>6962</v>
      </c>
      <c r="K2083" s="151">
        <f t="shared" si="62"/>
        <v>0</v>
      </c>
      <c r="L2083" s="151" t="s">
        <v>9021</v>
      </c>
    </row>
    <row r="2084" spans="8:12" x14ac:dyDescent="0.25">
      <c r="H2084" s="151" t="s">
        <v>4408</v>
      </c>
      <c r="I2084" s="151" t="s">
        <v>391</v>
      </c>
      <c r="J2084" s="151" t="s">
        <v>7526</v>
      </c>
      <c r="K2084" s="151">
        <f t="shared" si="62"/>
        <v>650000000000500</v>
      </c>
      <c r="L2084" s="151" t="s">
        <v>9021</v>
      </c>
    </row>
    <row r="2085" spans="8:12" x14ac:dyDescent="0.25">
      <c r="H2085" s="151" t="s">
        <v>4409</v>
      </c>
      <c r="I2085" s="151" t="s">
        <v>6962</v>
      </c>
      <c r="J2085" s="151" t="s">
        <v>6962</v>
      </c>
      <c r="K2085" s="151">
        <f t="shared" si="62"/>
        <v>0</v>
      </c>
      <c r="L2085" s="151" t="s">
        <v>9021</v>
      </c>
    </row>
    <row r="2086" spans="8:12" x14ac:dyDescent="0.25">
      <c r="H2086" s="151" t="s">
        <v>4409</v>
      </c>
      <c r="I2086" s="151" t="s">
        <v>391</v>
      </c>
      <c r="J2086" s="151" t="s">
        <v>7527</v>
      </c>
      <c r="K2086" s="151">
        <f t="shared" si="62"/>
        <v>650000000000501</v>
      </c>
      <c r="L2086" s="151" t="s">
        <v>9021</v>
      </c>
    </row>
    <row r="2087" spans="8:12" x14ac:dyDescent="0.25">
      <c r="H2087" s="151" t="s">
        <v>6858</v>
      </c>
      <c r="I2087" s="151" t="s">
        <v>6962</v>
      </c>
      <c r="J2087" s="151" t="s">
        <v>6962</v>
      </c>
      <c r="K2087" s="151">
        <f t="shared" si="62"/>
        <v>0</v>
      </c>
      <c r="L2087" s="151" t="s">
        <v>9021</v>
      </c>
    </row>
    <row r="2088" spans="8:12" x14ac:dyDescent="0.25">
      <c r="H2088" s="151" t="s">
        <v>4410</v>
      </c>
      <c r="I2088" s="151" t="s">
        <v>6962</v>
      </c>
      <c r="J2088" s="151" t="s">
        <v>6962</v>
      </c>
      <c r="K2088" s="151">
        <f t="shared" si="62"/>
        <v>0</v>
      </c>
      <c r="L2088" s="151" t="s">
        <v>9021</v>
      </c>
    </row>
    <row r="2089" spans="8:12" x14ac:dyDescent="0.25">
      <c r="H2089" s="151" t="s">
        <v>4410</v>
      </c>
      <c r="I2089" s="151" t="s">
        <v>391</v>
      </c>
      <c r="J2089" s="151" t="s">
        <v>7528</v>
      </c>
      <c r="K2089" s="151">
        <f t="shared" si="62"/>
        <v>650000000000502</v>
      </c>
      <c r="L2089" s="151" t="s">
        <v>9021</v>
      </c>
    </row>
    <row r="2090" spans="8:12" x14ac:dyDescent="0.25">
      <c r="H2090" s="151" t="s">
        <v>4411</v>
      </c>
      <c r="I2090" s="151" t="s">
        <v>6962</v>
      </c>
      <c r="J2090" s="151" t="s">
        <v>6962</v>
      </c>
      <c r="K2090" s="151">
        <f t="shared" si="62"/>
        <v>0</v>
      </c>
      <c r="L2090" s="151" t="s">
        <v>9021</v>
      </c>
    </row>
    <row r="2091" spans="8:12" x14ac:dyDescent="0.25">
      <c r="H2091" s="151" t="s">
        <v>4411</v>
      </c>
      <c r="I2091" s="151" t="s">
        <v>391</v>
      </c>
      <c r="J2091" s="151" t="s">
        <v>7529</v>
      </c>
      <c r="K2091" s="151">
        <f t="shared" si="62"/>
        <v>650000000000503</v>
      </c>
      <c r="L2091" s="151" t="s">
        <v>9021</v>
      </c>
    </row>
    <row r="2092" spans="8:12" x14ac:dyDescent="0.25">
      <c r="H2092" s="151" t="s">
        <v>4412</v>
      </c>
      <c r="I2092" s="151" t="s">
        <v>6962</v>
      </c>
      <c r="J2092" s="151" t="s">
        <v>6962</v>
      </c>
      <c r="K2092" s="151">
        <f t="shared" si="62"/>
        <v>0</v>
      </c>
      <c r="L2092" s="151" t="s">
        <v>9021</v>
      </c>
    </row>
    <row r="2093" spans="8:12" x14ac:dyDescent="0.25">
      <c r="H2093" s="151" t="s">
        <v>4412</v>
      </c>
      <c r="I2093" s="151" t="s">
        <v>391</v>
      </c>
      <c r="J2093" s="151" t="s">
        <v>7530</v>
      </c>
      <c r="K2093" s="151">
        <f t="shared" si="62"/>
        <v>650000000000504</v>
      </c>
      <c r="L2093" s="151" t="s">
        <v>9021</v>
      </c>
    </row>
    <row r="2094" spans="8:12" x14ac:dyDescent="0.25">
      <c r="H2094" s="151" t="s">
        <v>4413</v>
      </c>
      <c r="I2094" s="151" t="s">
        <v>6962</v>
      </c>
      <c r="J2094" s="151" t="s">
        <v>6962</v>
      </c>
      <c r="K2094" s="151">
        <f t="shared" si="62"/>
        <v>0</v>
      </c>
      <c r="L2094" s="151" t="s">
        <v>9021</v>
      </c>
    </row>
    <row r="2095" spans="8:12" x14ac:dyDescent="0.25">
      <c r="H2095" s="151" t="s">
        <v>4413</v>
      </c>
      <c r="I2095" s="151" t="s">
        <v>391</v>
      </c>
      <c r="J2095" s="151" t="s">
        <v>7531</v>
      </c>
      <c r="K2095" s="151">
        <f t="shared" si="62"/>
        <v>650000000001636</v>
      </c>
      <c r="L2095" s="151" t="s">
        <v>9021</v>
      </c>
    </row>
    <row r="2096" spans="8:12" x14ac:dyDescent="0.25">
      <c r="H2096" s="151" t="s">
        <v>4414</v>
      </c>
      <c r="I2096" s="151" t="s">
        <v>6962</v>
      </c>
      <c r="J2096" s="151" t="s">
        <v>6962</v>
      </c>
      <c r="K2096" s="151">
        <f t="shared" si="62"/>
        <v>0</v>
      </c>
      <c r="L2096" s="151" t="s">
        <v>9021</v>
      </c>
    </row>
    <row r="2097" spans="8:12" x14ac:dyDescent="0.25">
      <c r="H2097" s="151" t="s">
        <v>4414</v>
      </c>
      <c r="I2097" s="151" t="s">
        <v>391</v>
      </c>
      <c r="J2097" s="151" t="s">
        <v>7532</v>
      </c>
      <c r="K2097" s="151">
        <f t="shared" si="62"/>
        <v>650000000000505</v>
      </c>
      <c r="L2097" s="151" t="s">
        <v>9021</v>
      </c>
    </row>
    <row r="2098" spans="8:12" x14ac:dyDescent="0.25">
      <c r="H2098" s="151" t="s">
        <v>4415</v>
      </c>
      <c r="I2098" s="151" t="s">
        <v>6962</v>
      </c>
      <c r="J2098" s="151" t="s">
        <v>6962</v>
      </c>
      <c r="K2098" s="151">
        <f t="shared" si="62"/>
        <v>0</v>
      </c>
      <c r="L2098" s="151" t="s">
        <v>9021</v>
      </c>
    </row>
    <row r="2099" spans="8:12" x14ac:dyDescent="0.25">
      <c r="H2099" s="151" t="s">
        <v>4415</v>
      </c>
      <c r="I2099" s="151" t="s">
        <v>391</v>
      </c>
      <c r="J2099" s="151" t="s">
        <v>7533</v>
      </c>
      <c r="K2099" s="151">
        <f t="shared" si="62"/>
        <v>650000000000506</v>
      </c>
      <c r="L2099" s="151" t="s">
        <v>9021</v>
      </c>
    </row>
    <row r="2100" spans="8:12" x14ac:dyDescent="0.25">
      <c r="H2100" s="151" t="s">
        <v>4416</v>
      </c>
      <c r="I2100" s="151" t="s">
        <v>6962</v>
      </c>
      <c r="J2100" s="151" t="s">
        <v>6962</v>
      </c>
      <c r="K2100" s="151">
        <f t="shared" si="62"/>
        <v>0</v>
      </c>
      <c r="L2100" s="151" t="s">
        <v>9021</v>
      </c>
    </row>
    <row r="2101" spans="8:12" x14ac:dyDescent="0.25">
      <c r="H2101" s="151" t="s">
        <v>4416</v>
      </c>
      <c r="I2101" s="151" t="s">
        <v>391</v>
      </c>
      <c r="J2101" s="151" t="s">
        <v>7534</v>
      </c>
      <c r="K2101" s="151">
        <f t="shared" si="62"/>
        <v>650000000000507</v>
      </c>
      <c r="L2101" s="151" t="s">
        <v>9021</v>
      </c>
    </row>
    <row r="2102" spans="8:12" x14ac:dyDescent="0.25">
      <c r="H2102" s="151" t="s">
        <v>4417</v>
      </c>
      <c r="I2102" s="151" t="s">
        <v>6962</v>
      </c>
      <c r="J2102" s="151" t="s">
        <v>6962</v>
      </c>
      <c r="K2102" s="151">
        <f t="shared" si="62"/>
        <v>0</v>
      </c>
      <c r="L2102" s="151" t="s">
        <v>9021</v>
      </c>
    </row>
    <row r="2103" spans="8:12" x14ac:dyDescent="0.25">
      <c r="H2103" s="151" t="s">
        <v>4417</v>
      </c>
      <c r="I2103" s="151" t="s">
        <v>391</v>
      </c>
      <c r="J2103" s="151" t="s">
        <v>7535</v>
      </c>
      <c r="K2103" s="151">
        <f t="shared" si="62"/>
        <v>650000000001637</v>
      </c>
      <c r="L2103" s="151" t="s">
        <v>9021</v>
      </c>
    </row>
    <row r="2104" spans="8:12" x14ac:dyDescent="0.25">
      <c r="H2104" s="151" t="s">
        <v>4418</v>
      </c>
      <c r="I2104" s="151" t="s">
        <v>6962</v>
      </c>
      <c r="J2104" s="151" t="s">
        <v>6962</v>
      </c>
      <c r="K2104" s="151">
        <f t="shared" si="62"/>
        <v>0</v>
      </c>
      <c r="L2104" s="151" t="s">
        <v>9021</v>
      </c>
    </row>
    <row r="2105" spans="8:12" x14ac:dyDescent="0.25">
      <c r="H2105" s="151" t="s">
        <v>4418</v>
      </c>
      <c r="I2105" s="151" t="s">
        <v>391</v>
      </c>
      <c r="J2105" s="151" t="s">
        <v>7536</v>
      </c>
      <c r="K2105" s="151">
        <f t="shared" si="62"/>
        <v>650000000000508</v>
      </c>
      <c r="L2105" s="151" t="s">
        <v>9021</v>
      </c>
    </row>
    <row r="2106" spans="8:12" x14ac:dyDescent="0.25">
      <c r="H2106" s="151" t="s">
        <v>4419</v>
      </c>
      <c r="I2106" s="151" t="s">
        <v>6962</v>
      </c>
      <c r="J2106" s="151" t="s">
        <v>6962</v>
      </c>
      <c r="K2106" s="151">
        <f t="shared" si="62"/>
        <v>0</v>
      </c>
      <c r="L2106" s="151" t="s">
        <v>9021</v>
      </c>
    </row>
    <row r="2107" spans="8:12" x14ac:dyDescent="0.25">
      <c r="H2107" s="151" t="s">
        <v>4419</v>
      </c>
      <c r="I2107" s="151" t="s">
        <v>391</v>
      </c>
      <c r="J2107" s="151" t="s">
        <v>7537</v>
      </c>
      <c r="K2107" s="151">
        <f t="shared" si="62"/>
        <v>650000000000509</v>
      </c>
      <c r="L2107" s="151" t="s">
        <v>9021</v>
      </c>
    </row>
    <row r="2108" spans="8:12" x14ac:dyDescent="0.25">
      <c r="H2108" s="151" t="s">
        <v>4420</v>
      </c>
      <c r="I2108" s="151" t="s">
        <v>6962</v>
      </c>
      <c r="J2108" s="151" t="s">
        <v>6962</v>
      </c>
      <c r="K2108" s="151">
        <f t="shared" si="62"/>
        <v>0</v>
      </c>
      <c r="L2108" s="151" t="s">
        <v>9021</v>
      </c>
    </row>
    <row r="2109" spans="8:12" x14ac:dyDescent="0.25">
      <c r="H2109" s="151" t="s">
        <v>4420</v>
      </c>
      <c r="I2109" s="151" t="s">
        <v>391</v>
      </c>
      <c r="J2109" s="151" t="s">
        <v>7538</v>
      </c>
      <c r="K2109" s="151">
        <f t="shared" si="62"/>
        <v>650000000000510</v>
      </c>
      <c r="L2109" s="151" t="s">
        <v>9021</v>
      </c>
    </row>
    <row r="2110" spans="8:12" x14ac:dyDescent="0.25">
      <c r="H2110" s="151" t="s">
        <v>4421</v>
      </c>
      <c r="I2110" s="151" t="s">
        <v>6962</v>
      </c>
      <c r="J2110" s="151" t="s">
        <v>6962</v>
      </c>
      <c r="K2110" s="151">
        <f t="shared" si="62"/>
        <v>0</v>
      </c>
      <c r="L2110" s="151" t="s">
        <v>9021</v>
      </c>
    </row>
    <row r="2111" spans="8:12" x14ac:dyDescent="0.25">
      <c r="H2111" s="151" t="s">
        <v>4421</v>
      </c>
      <c r="I2111" s="151" t="s">
        <v>391</v>
      </c>
      <c r="J2111" s="151" t="s">
        <v>7539</v>
      </c>
      <c r="K2111" s="151">
        <f t="shared" si="62"/>
        <v>650000000000511</v>
      </c>
      <c r="L2111" s="151" t="s">
        <v>9021</v>
      </c>
    </row>
    <row r="2112" spans="8:12" x14ac:dyDescent="0.25">
      <c r="H2112" s="151" t="s">
        <v>4422</v>
      </c>
      <c r="I2112" s="151" t="s">
        <v>6962</v>
      </c>
      <c r="J2112" s="151" t="s">
        <v>6962</v>
      </c>
      <c r="K2112" s="151">
        <f t="shared" si="62"/>
        <v>0</v>
      </c>
      <c r="L2112" s="151" t="s">
        <v>9021</v>
      </c>
    </row>
    <row r="2113" spans="8:12" x14ac:dyDescent="0.25">
      <c r="H2113" s="151" t="s">
        <v>4422</v>
      </c>
      <c r="I2113" s="151" t="s">
        <v>391</v>
      </c>
      <c r="J2113" s="151" t="s">
        <v>7540</v>
      </c>
      <c r="K2113" s="151">
        <f t="shared" si="62"/>
        <v>650000000000512</v>
      </c>
      <c r="L2113" s="151" t="s">
        <v>9021</v>
      </c>
    </row>
    <row r="2114" spans="8:12" x14ac:dyDescent="0.25">
      <c r="H2114" s="151" t="s">
        <v>4423</v>
      </c>
      <c r="I2114" s="151" t="s">
        <v>6962</v>
      </c>
      <c r="J2114" s="151" t="s">
        <v>6962</v>
      </c>
      <c r="K2114" s="151">
        <f t="shared" si="62"/>
        <v>0</v>
      </c>
      <c r="L2114" s="151" t="s">
        <v>9021</v>
      </c>
    </row>
    <row r="2115" spans="8:12" x14ac:dyDescent="0.25">
      <c r="H2115" s="151" t="s">
        <v>4423</v>
      </c>
      <c r="I2115" s="151" t="s">
        <v>391</v>
      </c>
      <c r="J2115" s="151" t="s">
        <v>7541</v>
      </c>
      <c r="K2115" s="151">
        <f t="shared" ref="K2115:K2178" si="63">+IFERROR(J2115*1,0)</f>
        <v>650000000000513</v>
      </c>
      <c r="L2115" s="151" t="s">
        <v>9021</v>
      </c>
    </row>
    <row r="2116" spans="8:12" x14ac:dyDescent="0.25">
      <c r="H2116" s="151" t="s">
        <v>4424</v>
      </c>
      <c r="I2116" s="151" t="s">
        <v>6962</v>
      </c>
      <c r="J2116" s="151" t="s">
        <v>6962</v>
      </c>
      <c r="K2116" s="151">
        <f t="shared" si="63"/>
        <v>0</v>
      </c>
      <c r="L2116" s="151" t="s">
        <v>9021</v>
      </c>
    </row>
    <row r="2117" spans="8:12" x14ac:dyDescent="0.25">
      <c r="H2117" s="151" t="s">
        <v>4424</v>
      </c>
      <c r="I2117" s="151" t="s">
        <v>391</v>
      </c>
      <c r="J2117" s="151" t="s">
        <v>7542</v>
      </c>
      <c r="K2117" s="151">
        <f t="shared" si="63"/>
        <v>650000000000514</v>
      </c>
      <c r="L2117" s="151" t="s">
        <v>9021</v>
      </c>
    </row>
    <row r="2118" spans="8:12" x14ac:dyDescent="0.25">
      <c r="H2118" s="151" t="s">
        <v>4425</v>
      </c>
      <c r="I2118" s="151" t="s">
        <v>6962</v>
      </c>
      <c r="J2118" s="151" t="s">
        <v>6962</v>
      </c>
      <c r="K2118" s="151">
        <f t="shared" si="63"/>
        <v>0</v>
      </c>
      <c r="L2118" s="151" t="s">
        <v>9021</v>
      </c>
    </row>
    <row r="2119" spans="8:12" x14ac:dyDescent="0.25">
      <c r="H2119" s="151" t="s">
        <v>4425</v>
      </c>
      <c r="I2119" s="151" t="s">
        <v>391</v>
      </c>
      <c r="J2119" s="151" t="s">
        <v>7543</v>
      </c>
      <c r="K2119" s="151">
        <f t="shared" si="63"/>
        <v>650000000000515</v>
      </c>
      <c r="L2119" s="151" t="s">
        <v>9021</v>
      </c>
    </row>
    <row r="2120" spans="8:12" x14ac:dyDescent="0.25">
      <c r="H2120" s="151" t="s">
        <v>4426</v>
      </c>
      <c r="I2120" s="151" t="s">
        <v>6962</v>
      </c>
      <c r="J2120" s="151" t="s">
        <v>6962</v>
      </c>
      <c r="K2120" s="151">
        <f t="shared" si="63"/>
        <v>0</v>
      </c>
      <c r="L2120" s="151" t="s">
        <v>9021</v>
      </c>
    </row>
    <row r="2121" spans="8:12" x14ac:dyDescent="0.25">
      <c r="H2121" s="151" t="s">
        <v>4426</v>
      </c>
      <c r="I2121" s="151" t="s">
        <v>391</v>
      </c>
      <c r="J2121" s="151" t="s">
        <v>7544</v>
      </c>
      <c r="K2121" s="151">
        <f t="shared" si="63"/>
        <v>650000000000516</v>
      </c>
      <c r="L2121" s="151" t="s">
        <v>9021</v>
      </c>
    </row>
    <row r="2122" spans="8:12" x14ac:dyDescent="0.25">
      <c r="H2122" s="151" t="s">
        <v>4427</v>
      </c>
      <c r="I2122" s="151" t="s">
        <v>6962</v>
      </c>
      <c r="J2122" s="151" t="s">
        <v>6962</v>
      </c>
      <c r="K2122" s="151">
        <f t="shared" si="63"/>
        <v>0</v>
      </c>
      <c r="L2122" s="151" t="s">
        <v>9021</v>
      </c>
    </row>
    <row r="2123" spans="8:12" x14ac:dyDescent="0.25">
      <c r="H2123" s="151" t="s">
        <v>4427</v>
      </c>
      <c r="I2123" s="151" t="s">
        <v>391</v>
      </c>
      <c r="J2123" s="151" t="s">
        <v>7545</v>
      </c>
      <c r="K2123" s="151">
        <f t="shared" si="63"/>
        <v>650000000000517</v>
      </c>
      <c r="L2123" s="151" t="s">
        <v>9021</v>
      </c>
    </row>
    <row r="2124" spans="8:12" x14ac:dyDescent="0.25">
      <c r="H2124" s="151" t="s">
        <v>4428</v>
      </c>
      <c r="I2124" s="151" t="s">
        <v>6962</v>
      </c>
      <c r="J2124" s="151" t="s">
        <v>6962</v>
      </c>
      <c r="K2124" s="151">
        <f t="shared" si="63"/>
        <v>0</v>
      </c>
      <c r="L2124" s="151" t="s">
        <v>9021</v>
      </c>
    </row>
    <row r="2125" spans="8:12" x14ac:dyDescent="0.25">
      <c r="H2125" s="151" t="s">
        <v>4428</v>
      </c>
      <c r="I2125" s="151" t="s">
        <v>391</v>
      </c>
      <c r="J2125" s="151" t="s">
        <v>7546</v>
      </c>
      <c r="K2125" s="151">
        <f t="shared" si="63"/>
        <v>650000000000518</v>
      </c>
      <c r="L2125" s="151" t="s">
        <v>9021</v>
      </c>
    </row>
    <row r="2126" spans="8:12" x14ac:dyDescent="0.25">
      <c r="H2126" s="151" t="s">
        <v>6859</v>
      </c>
      <c r="I2126" s="151" t="s">
        <v>6962</v>
      </c>
      <c r="J2126" s="151" t="s">
        <v>6962</v>
      </c>
      <c r="K2126" s="151">
        <f t="shared" si="63"/>
        <v>0</v>
      </c>
      <c r="L2126" s="151" t="s">
        <v>9021</v>
      </c>
    </row>
    <row r="2127" spans="8:12" x14ac:dyDescent="0.25">
      <c r="H2127" s="151" t="s">
        <v>4429</v>
      </c>
      <c r="I2127" s="151" t="s">
        <v>6962</v>
      </c>
      <c r="J2127" s="151" t="s">
        <v>6962</v>
      </c>
      <c r="K2127" s="151">
        <f t="shared" si="63"/>
        <v>0</v>
      </c>
      <c r="L2127" s="151" t="s">
        <v>9021</v>
      </c>
    </row>
    <row r="2128" spans="8:12" x14ac:dyDescent="0.25">
      <c r="H2128" s="151" t="s">
        <v>4429</v>
      </c>
      <c r="I2128" s="151" t="s">
        <v>391</v>
      </c>
      <c r="J2128" s="151" t="s">
        <v>7547</v>
      </c>
      <c r="K2128" s="151">
        <f t="shared" si="63"/>
        <v>650000000000519</v>
      </c>
      <c r="L2128" s="151" t="s">
        <v>9021</v>
      </c>
    </row>
    <row r="2129" spans="8:12" x14ac:dyDescent="0.25">
      <c r="H2129" s="151" t="s">
        <v>4430</v>
      </c>
      <c r="I2129" s="151" t="s">
        <v>6962</v>
      </c>
      <c r="J2129" s="151" t="s">
        <v>6962</v>
      </c>
      <c r="K2129" s="151">
        <f t="shared" si="63"/>
        <v>0</v>
      </c>
      <c r="L2129" s="151" t="s">
        <v>9021</v>
      </c>
    </row>
    <row r="2130" spans="8:12" x14ac:dyDescent="0.25">
      <c r="H2130" s="151" t="s">
        <v>4430</v>
      </c>
      <c r="I2130" s="151" t="s">
        <v>391</v>
      </c>
      <c r="J2130" s="151" t="s">
        <v>7548</v>
      </c>
      <c r="K2130" s="151">
        <f t="shared" si="63"/>
        <v>650000000001638</v>
      </c>
      <c r="L2130" s="151" t="s">
        <v>9021</v>
      </c>
    </row>
    <row r="2131" spans="8:12" x14ac:dyDescent="0.25">
      <c r="H2131" s="151" t="s">
        <v>4431</v>
      </c>
      <c r="I2131" s="151" t="s">
        <v>6962</v>
      </c>
      <c r="J2131" s="151" t="s">
        <v>6962</v>
      </c>
      <c r="K2131" s="151">
        <f t="shared" si="63"/>
        <v>0</v>
      </c>
      <c r="L2131" s="151" t="s">
        <v>9021</v>
      </c>
    </row>
    <row r="2132" spans="8:12" x14ac:dyDescent="0.25">
      <c r="H2132" s="151" t="s">
        <v>4431</v>
      </c>
      <c r="I2132" s="151" t="s">
        <v>391</v>
      </c>
      <c r="J2132" s="151" t="s">
        <v>7549</v>
      </c>
      <c r="K2132" s="151">
        <f t="shared" si="63"/>
        <v>650000000001639</v>
      </c>
      <c r="L2132" s="151" t="s">
        <v>9021</v>
      </c>
    </row>
    <row r="2133" spans="8:12" x14ac:dyDescent="0.25">
      <c r="H2133" s="151" t="s">
        <v>4432</v>
      </c>
      <c r="I2133" s="151" t="s">
        <v>6962</v>
      </c>
      <c r="J2133" s="151" t="s">
        <v>6962</v>
      </c>
      <c r="K2133" s="151">
        <f t="shared" si="63"/>
        <v>0</v>
      </c>
      <c r="L2133" s="151" t="s">
        <v>9021</v>
      </c>
    </row>
    <row r="2134" spans="8:12" x14ac:dyDescent="0.25">
      <c r="H2134" s="151" t="s">
        <v>4432</v>
      </c>
      <c r="I2134" s="151" t="s">
        <v>391</v>
      </c>
      <c r="J2134" s="151" t="s">
        <v>7550</v>
      </c>
      <c r="K2134" s="151">
        <f t="shared" si="63"/>
        <v>650000000001640</v>
      </c>
      <c r="L2134" s="151" t="s">
        <v>9021</v>
      </c>
    </row>
    <row r="2135" spans="8:12" x14ac:dyDescent="0.25">
      <c r="H2135" s="151" t="s">
        <v>4433</v>
      </c>
      <c r="I2135" s="151" t="s">
        <v>6962</v>
      </c>
      <c r="J2135" s="151" t="s">
        <v>6962</v>
      </c>
      <c r="K2135" s="151">
        <f t="shared" si="63"/>
        <v>0</v>
      </c>
      <c r="L2135" s="151" t="s">
        <v>9021</v>
      </c>
    </row>
    <row r="2136" spans="8:12" x14ac:dyDescent="0.25">
      <c r="H2136" s="151" t="s">
        <v>4433</v>
      </c>
      <c r="I2136" s="151" t="s">
        <v>391</v>
      </c>
      <c r="J2136" s="151" t="s">
        <v>7551</v>
      </c>
      <c r="K2136" s="151">
        <f t="shared" si="63"/>
        <v>650000000001641</v>
      </c>
      <c r="L2136" s="151" t="s">
        <v>9021</v>
      </c>
    </row>
    <row r="2137" spans="8:12" x14ac:dyDescent="0.25">
      <c r="H2137" s="151" t="s">
        <v>4434</v>
      </c>
      <c r="I2137" s="151" t="s">
        <v>6962</v>
      </c>
      <c r="J2137" s="151" t="s">
        <v>6962</v>
      </c>
      <c r="K2137" s="151">
        <f t="shared" si="63"/>
        <v>0</v>
      </c>
      <c r="L2137" s="151" t="s">
        <v>9021</v>
      </c>
    </row>
    <row r="2138" spans="8:12" x14ac:dyDescent="0.25">
      <c r="H2138" s="151" t="s">
        <v>4434</v>
      </c>
      <c r="I2138" s="151" t="s">
        <v>391</v>
      </c>
      <c r="J2138" s="151" t="s">
        <v>7552</v>
      </c>
      <c r="K2138" s="151">
        <f t="shared" si="63"/>
        <v>650000000000520</v>
      </c>
      <c r="L2138" s="151" t="s">
        <v>9021</v>
      </c>
    </row>
    <row r="2139" spans="8:12" x14ac:dyDescent="0.25">
      <c r="H2139" s="151" t="s">
        <v>4435</v>
      </c>
      <c r="I2139" s="151" t="s">
        <v>6962</v>
      </c>
      <c r="J2139" s="151" t="s">
        <v>6962</v>
      </c>
      <c r="K2139" s="151">
        <f t="shared" si="63"/>
        <v>0</v>
      </c>
      <c r="L2139" s="151" t="s">
        <v>9021</v>
      </c>
    </row>
    <row r="2140" spans="8:12" x14ac:dyDescent="0.25">
      <c r="H2140" s="151" t="s">
        <v>4435</v>
      </c>
      <c r="I2140" s="151" t="s">
        <v>391</v>
      </c>
      <c r="J2140" s="151" t="s">
        <v>7553</v>
      </c>
      <c r="K2140" s="151">
        <f t="shared" si="63"/>
        <v>650000000001642</v>
      </c>
      <c r="L2140" s="151" t="s">
        <v>9021</v>
      </c>
    </row>
    <row r="2141" spans="8:12" x14ac:dyDescent="0.25">
      <c r="H2141" s="151" t="s">
        <v>4436</v>
      </c>
      <c r="I2141" s="151" t="s">
        <v>6962</v>
      </c>
      <c r="J2141" s="151" t="s">
        <v>6962</v>
      </c>
      <c r="K2141" s="151">
        <f t="shared" si="63"/>
        <v>0</v>
      </c>
      <c r="L2141" s="151" t="s">
        <v>9021</v>
      </c>
    </row>
    <row r="2142" spans="8:12" x14ac:dyDescent="0.25">
      <c r="H2142" s="151" t="s">
        <v>4436</v>
      </c>
      <c r="I2142" s="151" t="s">
        <v>391</v>
      </c>
      <c r="J2142" s="151" t="s">
        <v>7554</v>
      </c>
      <c r="K2142" s="151">
        <f t="shared" si="63"/>
        <v>650000000000521</v>
      </c>
      <c r="L2142" s="151" t="s">
        <v>9021</v>
      </c>
    </row>
    <row r="2143" spans="8:12" x14ac:dyDescent="0.25">
      <c r="H2143" s="151" t="s">
        <v>4437</v>
      </c>
      <c r="I2143" s="151" t="s">
        <v>6962</v>
      </c>
      <c r="J2143" s="151" t="s">
        <v>6962</v>
      </c>
      <c r="K2143" s="151">
        <f t="shared" si="63"/>
        <v>0</v>
      </c>
      <c r="L2143" s="151" t="s">
        <v>9021</v>
      </c>
    </row>
    <row r="2144" spans="8:12" x14ac:dyDescent="0.25">
      <c r="H2144" s="151" t="s">
        <v>4437</v>
      </c>
      <c r="I2144" s="151" t="s">
        <v>391</v>
      </c>
      <c r="J2144" s="151" t="s">
        <v>7555</v>
      </c>
      <c r="K2144" s="151">
        <f t="shared" si="63"/>
        <v>650000000001643</v>
      </c>
      <c r="L2144" s="151" t="s">
        <v>9021</v>
      </c>
    </row>
    <row r="2145" spans="8:12" x14ac:dyDescent="0.25">
      <c r="H2145" s="151" t="s">
        <v>4438</v>
      </c>
      <c r="I2145" s="151" t="s">
        <v>6962</v>
      </c>
      <c r="J2145" s="151" t="s">
        <v>6962</v>
      </c>
      <c r="K2145" s="151">
        <f t="shared" si="63"/>
        <v>0</v>
      </c>
      <c r="L2145" s="151" t="s">
        <v>9021</v>
      </c>
    </row>
    <row r="2146" spans="8:12" x14ac:dyDescent="0.25">
      <c r="H2146" s="151" t="s">
        <v>4438</v>
      </c>
      <c r="I2146" s="151" t="s">
        <v>391</v>
      </c>
      <c r="J2146" s="151" t="s">
        <v>7556</v>
      </c>
      <c r="K2146" s="151">
        <f t="shared" si="63"/>
        <v>650000000000522</v>
      </c>
      <c r="L2146" s="151" t="s">
        <v>9021</v>
      </c>
    </row>
    <row r="2147" spans="8:12" x14ac:dyDescent="0.25">
      <c r="H2147" s="151" t="s">
        <v>4439</v>
      </c>
      <c r="I2147" s="151" t="s">
        <v>6962</v>
      </c>
      <c r="J2147" s="151" t="s">
        <v>6962</v>
      </c>
      <c r="K2147" s="151">
        <f t="shared" si="63"/>
        <v>0</v>
      </c>
      <c r="L2147" s="151" t="s">
        <v>9021</v>
      </c>
    </row>
    <row r="2148" spans="8:12" x14ac:dyDescent="0.25">
      <c r="H2148" s="151" t="s">
        <v>4439</v>
      </c>
      <c r="I2148" s="151" t="s">
        <v>391</v>
      </c>
      <c r="J2148" s="151" t="s">
        <v>7557</v>
      </c>
      <c r="K2148" s="151">
        <f t="shared" si="63"/>
        <v>650000000000523</v>
      </c>
      <c r="L2148" s="151" t="s">
        <v>9021</v>
      </c>
    </row>
    <row r="2149" spans="8:12" x14ac:dyDescent="0.25">
      <c r="H2149" s="151" t="s">
        <v>4440</v>
      </c>
      <c r="I2149" s="151" t="s">
        <v>6962</v>
      </c>
      <c r="J2149" s="151" t="s">
        <v>6962</v>
      </c>
      <c r="K2149" s="151">
        <f t="shared" si="63"/>
        <v>0</v>
      </c>
      <c r="L2149" s="151" t="s">
        <v>9021</v>
      </c>
    </row>
    <row r="2150" spans="8:12" x14ac:dyDescent="0.25">
      <c r="H2150" s="151" t="s">
        <v>4440</v>
      </c>
      <c r="I2150" s="151" t="s">
        <v>391</v>
      </c>
      <c r="J2150" s="151" t="s">
        <v>7558</v>
      </c>
      <c r="K2150" s="151">
        <f t="shared" si="63"/>
        <v>650000000000524</v>
      </c>
      <c r="L2150" s="151" t="s">
        <v>9021</v>
      </c>
    </row>
    <row r="2151" spans="8:12" x14ac:dyDescent="0.25">
      <c r="H2151" s="151" t="s">
        <v>4441</v>
      </c>
      <c r="I2151" s="151" t="s">
        <v>6962</v>
      </c>
      <c r="J2151" s="151" t="s">
        <v>6962</v>
      </c>
      <c r="K2151" s="151">
        <f t="shared" si="63"/>
        <v>0</v>
      </c>
      <c r="L2151" s="151" t="s">
        <v>9021</v>
      </c>
    </row>
    <row r="2152" spans="8:12" x14ac:dyDescent="0.25">
      <c r="H2152" s="151" t="s">
        <v>4441</v>
      </c>
      <c r="I2152" s="151" t="s">
        <v>391</v>
      </c>
      <c r="J2152" s="151" t="s">
        <v>7559</v>
      </c>
      <c r="K2152" s="151">
        <f t="shared" si="63"/>
        <v>650000000000525</v>
      </c>
      <c r="L2152" s="151" t="s">
        <v>9021</v>
      </c>
    </row>
    <row r="2153" spans="8:12" x14ac:dyDescent="0.25">
      <c r="H2153" s="151" t="s">
        <v>4442</v>
      </c>
      <c r="I2153" s="151" t="s">
        <v>6962</v>
      </c>
      <c r="J2153" s="151" t="s">
        <v>6962</v>
      </c>
      <c r="K2153" s="151">
        <f t="shared" si="63"/>
        <v>0</v>
      </c>
      <c r="L2153" s="151" t="s">
        <v>9021</v>
      </c>
    </row>
    <row r="2154" spans="8:12" x14ac:dyDescent="0.25">
      <c r="H2154" s="151" t="s">
        <v>4442</v>
      </c>
      <c r="I2154" s="151" t="s">
        <v>391</v>
      </c>
      <c r="J2154" s="151" t="s">
        <v>7560</v>
      </c>
      <c r="K2154" s="151">
        <f t="shared" si="63"/>
        <v>650000000001644</v>
      </c>
      <c r="L2154" s="151" t="s">
        <v>9021</v>
      </c>
    </row>
    <row r="2155" spans="8:12" x14ac:dyDescent="0.25">
      <c r="H2155" s="151" t="s">
        <v>4443</v>
      </c>
      <c r="I2155" s="151" t="s">
        <v>6962</v>
      </c>
      <c r="J2155" s="151" t="s">
        <v>6962</v>
      </c>
      <c r="K2155" s="151">
        <f t="shared" si="63"/>
        <v>0</v>
      </c>
      <c r="L2155" s="151" t="s">
        <v>9021</v>
      </c>
    </row>
    <row r="2156" spans="8:12" x14ac:dyDescent="0.25">
      <c r="H2156" s="151" t="s">
        <v>4443</v>
      </c>
      <c r="I2156" s="151" t="s">
        <v>391</v>
      </c>
      <c r="J2156" s="151" t="s">
        <v>7561</v>
      </c>
      <c r="K2156" s="151">
        <f t="shared" si="63"/>
        <v>650000000000526</v>
      </c>
      <c r="L2156" s="151" t="s">
        <v>9021</v>
      </c>
    </row>
    <row r="2157" spans="8:12" x14ac:dyDescent="0.25">
      <c r="H2157" s="151" t="s">
        <v>4444</v>
      </c>
      <c r="I2157" s="151" t="s">
        <v>6962</v>
      </c>
      <c r="J2157" s="151" t="s">
        <v>6962</v>
      </c>
      <c r="K2157" s="151">
        <f t="shared" si="63"/>
        <v>0</v>
      </c>
      <c r="L2157" s="151" t="s">
        <v>9021</v>
      </c>
    </row>
    <row r="2158" spans="8:12" x14ac:dyDescent="0.25">
      <c r="H2158" s="151" t="s">
        <v>4444</v>
      </c>
      <c r="I2158" s="151" t="s">
        <v>391</v>
      </c>
      <c r="J2158" s="151" t="s">
        <v>7562</v>
      </c>
      <c r="K2158" s="151">
        <f t="shared" si="63"/>
        <v>650000000000527</v>
      </c>
      <c r="L2158" s="151" t="s">
        <v>9021</v>
      </c>
    </row>
    <row r="2159" spans="8:12" x14ac:dyDescent="0.25">
      <c r="H2159" s="151" t="s">
        <v>4445</v>
      </c>
      <c r="I2159" s="151" t="s">
        <v>6962</v>
      </c>
      <c r="J2159" s="151" t="s">
        <v>6962</v>
      </c>
      <c r="K2159" s="151">
        <f t="shared" si="63"/>
        <v>0</v>
      </c>
      <c r="L2159" s="151" t="s">
        <v>9021</v>
      </c>
    </row>
    <row r="2160" spans="8:12" x14ac:dyDescent="0.25">
      <c r="H2160" s="151" t="s">
        <v>4445</v>
      </c>
      <c r="I2160" s="151" t="s">
        <v>391</v>
      </c>
      <c r="J2160" s="151" t="s">
        <v>7563</v>
      </c>
      <c r="K2160" s="151">
        <f t="shared" si="63"/>
        <v>650000000001645</v>
      </c>
      <c r="L2160" s="151" t="s">
        <v>9021</v>
      </c>
    </row>
    <row r="2161" spans="8:12" x14ac:dyDescent="0.25">
      <c r="H2161" s="151" t="s">
        <v>4446</v>
      </c>
      <c r="I2161" s="151" t="s">
        <v>6962</v>
      </c>
      <c r="J2161" s="151" t="s">
        <v>6962</v>
      </c>
      <c r="K2161" s="151">
        <f t="shared" si="63"/>
        <v>0</v>
      </c>
      <c r="L2161" s="151" t="s">
        <v>9026</v>
      </c>
    </row>
    <row r="2162" spans="8:12" x14ac:dyDescent="0.25">
      <c r="H2162" s="151" t="s">
        <v>4446</v>
      </c>
      <c r="I2162" s="151" t="s">
        <v>391</v>
      </c>
      <c r="J2162" s="151" t="s">
        <v>7564</v>
      </c>
      <c r="K2162" s="151">
        <f t="shared" si="63"/>
        <v>650000000001646</v>
      </c>
      <c r="L2162" s="151" t="s">
        <v>9026</v>
      </c>
    </row>
    <row r="2163" spans="8:12" x14ac:dyDescent="0.25">
      <c r="H2163" s="151" t="s">
        <v>4447</v>
      </c>
      <c r="I2163" s="151" t="s">
        <v>6962</v>
      </c>
      <c r="J2163" s="151" t="s">
        <v>6962</v>
      </c>
      <c r="K2163" s="151">
        <f t="shared" si="63"/>
        <v>0</v>
      </c>
      <c r="L2163" s="151" t="s">
        <v>9025</v>
      </c>
    </row>
    <row r="2164" spans="8:12" x14ac:dyDescent="0.25">
      <c r="H2164" s="151" t="s">
        <v>4447</v>
      </c>
      <c r="I2164" s="151" t="s">
        <v>391</v>
      </c>
      <c r="J2164" s="151" t="s">
        <v>7565</v>
      </c>
      <c r="K2164" s="151">
        <f t="shared" si="63"/>
        <v>650000000000528</v>
      </c>
      <c r="L2164" s="151" t="s">
        <v>9025</v>
      </c>
    </row>
    <row r="2165" spans="8:12" x14ac:dyDescent="0.25">
      <c r="H2165" s="151" t="s">
        <v>4448</v>
      </c>
      <c r="I2165" s="151" t="s">
        <v>6962</v>
      </c>
      <c r="J2165" s="151" t="s">
        <v>6962</v>
      </c>
      <c r="K2165" s="151">
        <f t="shared" si="63"/>
        <v>0</v>
      </c>
      <c r="L2165" s="151" t="s">
        <v>9021</v>
      </c>
    </row>
    <row r="2166" spans="8:12" x14ac:dyDescent="0.25">
      <c r="H2166" s="151" t="s">
        <v>4448</v>
      </c>
      <c r="I2166" s="151" t="s">
        <v>391</v>
      </c>
      <c r="J2166" s="151" t="s">
        <v>7566</v>
      </c>
      <c r="K2166" s="151">
        <f t="shared" si="63"/>
        <v>650000000001647</v>
      </c>
      <c r="L2166" s="151" t="s">
        <v>9021</v>
      </c>
    </row>
    <row r="2167" spans="8:12" x14ac:dyDescent="0.25">
      <c r="H2167" s="151" t="s">
        <v>4449</v>
      </c>
      <c r="I2167" s="151" t="s">
        <v>6962</v>
      </c>
      <c r="J2167" s="151" t="s">
        <v>6962</v>
      </c>
      <c r="K2167" s="151">
        <f t="shared" si="63"/>
        <v>0</v>
      </c>
      <c r="L2167" s="151" t="s">
        <v>9021</v>
      </c>
    </row>
    <row r="2168" spans="8:12" x14ac:dyDescent="0.25">
      <c r="H2168" s="151" t="s">
        <v>4449</v>
      </c>
      <c r="I2168" s="151" t="s">
        <v>391</v>
      </c>
      <c r="J2168" s="151" t="s">
        <v>7567</v>
      </c>
      <c r="K2168" s="151">
        <f t="shared" si="63"/>
        <v>650000000001648</v>
      </c>
      <c r="L2168" s="151" t="s">
        <v>9021</v>
      </c>
    </row>
    <row r="2169" spans="8:12" x14ac:dyDescent="0.25">
      <c r="H2169" s="151" t="s">
        <v>4450</v>
      </c>
      <c r="I2169" s="151" t="s">
        <v>6962</v>
      </c>
      <c r="J2169" s="151" t="s">
        <v>6962</v>
      </c>
      <c r="K2169" s="151">
        <f t="shared" si="63"/>
        <v>0</v>
      </c>
      <c r="L2169" s="151" t="s">
        <v>9021</v>
      </c>
    </row>
    <row r="2170" spans="8:12" x14ac:dyDescent="0.25">
      <c r="H2170" s="151" t="s">
        <v>4450</v>
      </c>
      <c r="I2170" s="151" t="s">
        <v>391</v>
      </c>
      <c r="J2170" s="151" t="s">
        <v>7568</v>
      </c>
      <c r="K2170" s="151">
        <f t="shared" si="63"/>
        <v>650000000000529</v>
      </c>
      <c r="L2170" s="151" t="s">
        <v>9021</v>
      </c>
    </row>
    <row r="2171" spans="8:12" x14ac:dyDescent="0.25">
      <c r="H2171" s="151" t="s">
        <v>4451</v>
      </c>
      <c r="I2171" s="151" t="s">
        <v>6962</v>
      </c>
      <c r="J2171" s="151" t="s">
        <v>6962</v>
      </c>
      <c r="K2171" s="151">
        <f t="shared" si="63"/>
        <v>0</v>
      </c>
      <c r="L2171" s="151" t="s">
        <v>9021</v>
      </c>
    </row>
    <row r="2172" spans="8:12" x14ac:dyDescent="0.25">
      <c r="H2172" s="151" t="s">
        <v>4451</v>
      </c>
      <c r="I2172" s="151" t="s">
        <v>391</v>
      </c>
      <c r="J2172" s="151" t="s">
        <v>7569</v>
      </c>
      <c r="K2172" s="151">
        <f t="shared" si="63"/>
        <v>650000000000530</v>
      </c>
      <c r="L2172" s="151" t="s">
        <v>9021</v>
      </c>
    </row>
    <row r="2173" spans="8:12" x14ac:dyDescent="0.25">
      <c r="H2173" s="151" t="s">
        <v>4452</v>
      </c>
      <c r="I2173" s="151" t="s">
        <v>6962</v>
      </c>
      <c r="J2173" s="151" t="s">
        <v>6962</v>
      </c>
      <c r="K2173" s="151">
        <f t="shared" si="63"/>
        <v>0</v>
      </c>
      <c r="L2173" s="151" t="s">
        <v>9021</v>
      </c>
    </row>
    <row r="2174" spans="8:12" x14ac:dyDescent="0.25">
      <c r="H2174" s="151" t="s">
        <v>4452</v>
      </c>
      <c r="I2174" s="151" t="s">
        <v>391</v>
      </c>
      <c r="J2174" s="151" t="s">
        <v>7570</v>
      </c>
      <c r="K2174" s="151">
        <f t="shared" si="63"/>
        <v>650000000000531</v>
      </c>
      <c r="L2174" s="151" t="s">
        <v>9021</v>
      </c>
    </row>
    <row r="2175" spans="8:12" x14ac:dyDescent="0.25">
      <c r="H2175" s="151" t="s">
        <v>4453</v>
      </c>
      <c r="I2175" s="151" t="s">
        <v>6962</v>
      </c>
      <c r="J2175" s="151" t="s">
        <v>6962</v>
      </c>
      <c r="K2175" s="151">
        <f t="shared" si="63"/>
        <v>0</v>
      </c>
      <c r="L2175" s="151" t="s">
        <v>9021</v>
      </c>
    </row>
    <row r="2176" spans="8:12" x14ac:dyDescent="0.25">
      <c r="H2176" s="151" t="s">
        <v>4453</v>
      </c>
      <c r="I2176" s="151" t="s">
        <v>391</v>
      </c>
      <c r="J2176" s="151" t="s">
        <v>7571</v>
      </c>
      <c r="K2176" s="151">
        <f t="shared" si="63"/>
        <v>650000000000532</v>
      </c>
      <c r="L2176" s="151" t="s">
        <v>9021</v>
      </c>
    </row>
    <row r="2177" spans="8:12" x14ac:dyDescent="0.25">
      <c r="H2177" s="151" t="s">
        <v>4454</v>
      </c>
      <c r="I2177" s="151" t="s">
        <v>6962</v>
      </c>
      <c r="J2177" s="151" t="s">
        <v>6962</v>
      </c>
      <c r="K2177" s="151">
        <f t="shared" si="63"/>
        <v>0</v>
      </c>
      <c r="L2177" s="151" t="s">
        <v>9021</v>
      </c>
    </row>
    <row r="2178" spans="8:12" x14ac:dyDescent="0.25">
      <c r="H2178" s="151" t="s">
        <v>4454</v>
      </c>
      <c r="I2178" s="151" t="s">
        <v>391</v>
      </c>
      <c r="J2178" s="151" t="s">
        <v>7572</v>
      </c>
      <c r="K2178" s="151">
        <f t="shared" si="63"/>
        <v>650000000000533</v>
      </c>
      <c r="L2178" s="151" t="s">
        <v>9021</v>
      </c>
    </row>
    <row r="2179" spans="8:12" x14ac:dyDescent="0.25">
      <c r="H2179" s="151" t="s">
        <v>4455</v>
      </c>
      <c r="I2179" s="151" t="s">
        <v>6962</v>
      </c>
      <c r="J2179" s="151" t="s">
        <v>6962</v>
      </c>
      <c r="K2179" s="151">
        <f t="shared" ref="K2179:K2242" si="64">+IFERROR(J2179*1,0)</f>
        <v>0</v>
      </c>
      <c r="L2179" s="151" t="s">
        <v>9021</v>
      </c>
    </row>
    <row r="2180" spans="8:12" x14ac:dyDescent="0.25">
      <c r="H2180" s="151" t="s">
        <v>4455</v>
      </c>
      <c r="I2180" s="151" t="s">
        <v>391</v>
      </c>
      <c r="J2180" s="151" t="s">
        <v>7573</v>
      </c>
      <c r="K2180" s="151">
        <f t="shared" si="64"/>
        <v>650000000000534</v>
      </c>
      <c r="L2180" s="151" t="s">
        <v>9021</v>
      </c>
    </row>
    <row r="2181" spans="8:12" x14ac:dyDescent="0.25">
      <c r="H2181" s="151" t="s">
        <v>4456</v>
      </c>
      <c r="I2181" s="151" t="s">
        <v>6962</v>
      </c>
      <c r="J2181" s="151" t="s">
        <v>6962</v>
      </c>
      <c r="K2181" s="151">
        <f t="shared" si="64"/>
        <v>0</v>
      </c>
      <c r="L2181" s="151" t="s">
        <v>9021</v>
      </c>
    </row>
    <row r="2182" spans="8:12" x14ac:dyDescent="0.25">
      <c r="H2182" s="151" t="s">
        <v>4456</v>
      </c>
      <c r="I2182" s="151" t="s">
        <v>391</v>
      </c>
      <c r="J2182" s="151" t="s">
        <v>7574</v>
      </c>
      <c r="K2182" s="151">
        <f t="shared" si="64"/>
        <v>650000000000535</v>
      </c>
      <c r="L2182" s="151" t="s">
        <v>9021</v>
      </c>
    </row>
    <row r="2183" spans="8:12" x14ac:dyDescent="0.25">
      <c r="H2183" s="151" t="s">
        <v>4457</v>
      </c>
      <c r="I2183" s="151" t="s">
        <v>6962</v>
      </c>
      <c r="J2183" s="151" t="s">
        <v>6962</v>
      </c>
      <c r="K2183" s="151">
        <f t="shared" si="64"/>
        <v>0</v>
      </c>
      <c r="L2183" s="151" t="s">
        <v>9021</v>
      </c>
    </row>
    <row r="2184" spans="8:12" x14ac:dyDescent="0.25">
      <c r="H2184" s="151" t="s">
        <v>4457</v>
      </c>
      <c r="I2184" s="151" t="s">
        <v>391</v>
      </c>
      <c r="J2184" s="151" t="s">
        <v>7575</v>
      </c>
      <c r="K2184" s="151">
        <f t="shared" si="64"/>
        <v>650000000000536</v>
      </c>
      <c r="L2184" s="151" t="s">
        <v>9021</v>
      </c>
    </row>
    <row r="2185" spans="8:12" x14ac:dyDescent="0.25">
      <c r="H2185" s="151" t="s">
        <v>4458</v>
      </c>
      <c r="I2185" s="151" t="s">
        <v>6962</v>
      </c>
      <c r="J2185" s="151" t="s">
        <v>6962</v>
      </c>
      <c r="K2185" s="151">
        <f t="shared" si="64"/>
        <v>0</v>
      </c>
      <c r="L2185" s="151" t="s">
        <v>9021</v>
      </c>
    </row>
    <row r="2186" spans="8:12" x14ac:dyDescent="0.25">
      <c r="H2186" s="151" t="s">
        <v>4458</v>
      </c>
      <c r="I2186" s="151" t="s">
        <v>391</v>
      </c>
      <c r="J2186" s="151" t="s">
        <v>7576</v>
      </c>
      <c r="K2186" s="151">
        <f t="shared" si="64"/>
        <v>650000000001649</v>
      </c>
      <c r="L2186" s="151" t="s">
        <v>9021</v>
      </c>
    </row>
    <row r="2187" spans="8:12" x14ac:dyDescent="0.25">
      <c r="H2187" s="151" t="s">
        <v>4459</v>
      </c>
      <c r="I2187" s="151" t="s">
        <v>6962</v>
      </c>
      <c r="J2187" s="151" t="s">
        <v>6962</v>
      </c>
      <c r="K2187" s="151">
        <f t="shared" si="64"/>
        <v>0</v>
      </c>
      <c r="L2187" s="151" t="s">
        <v>9021</v>
      </c>
    </row>
    <row r="2188" spans="8:12" x14ac:dyDescent="0.25">
      <c r="H2188" s="151" t="s">
        <v>4459</v>
      </c>
      <c r="I2188" s="151" t="s">
        <v>391</v>
      </c>
      <c r="J2188" s="151" t="s">
        <v>7577</v>
      </c>
      <c r="K2188" s="151">
        <f t="shared" si="64"/>
        <v>650000000000537</v>
      </c>
      <c r="L2188" s="151" t="s">
        <v>9021</v>
      </c>
    </row>
    <row r="2189" spans="8:12" x14ac:dyDescent="0.25">
      <c r="H2189" s="151" t="s">
        <v>4460</v>
      </c>
      <c r="I2189" s="151" t="s">
        <v>6962</v>
      </c>
      <c r="J2189" s="151" t="s">
        <v>6962</v>
      </c>
      <c r="K2189" s="151">
        <f t="shared" si="64"/>
        <v>0</v>
      </c>
      <c r="L2189" s="151" t="s">
        <v>9021</v>
      </c>
    </row>
    <row r="2190" spans="8:12" x14ac:dyDescent="0.25">
      <c r="H2190" s="151" t="s">
        <v>4460</v>
      </c>
      <c r="I2190" s="151" t="s">
        <v>391</v>
      </c>
      <c r="J2190" s="151" t="s">
        <v>7578</v>
      </c>
      <c r="K2190" s="151">
        <f t="shared" si="64"/>
        <v>650000000000538</v>
      </c>
      <c r="L2190" s="151" t="s">
        <v>9021</v>
      </c>
    </row>
    <row r="2191" spans="8:12" x14ac:dyDescent="0.25">
      <c r="H2191" s="151" t="s">
        <v>4461</v>
      </c>
      <c r="I2191" s="151" t="s">
        <v>6962</v>
      </c>
      <c r="J2191" s="151" t="s">
        <v>6962</v>
      </c>
      <c r="K2191" s="151">
        <f t="shared" si="64"/>
        <v>0</v>
      </c>
      <c r="L2191" s="151" t="s">
        <v>9021</v>
      </c>
    </row>
    <row r="2192" spans="8:12" x14ac:dyDescent="0.25">
      <c r="H2192" s="151" t="s">
        <v>4461</v>
      </c>
      <c r="I2192" s="151" t="s">
        <v>391</v>
      </c>
      <c r="J2192" s="151" t="s">
        <v>7579</v>
      </c>
      <c r="K2192" s="151">
        <f t="shared" si="64"/>
        <v>650000000001650</v>
      </c>
      <c r="L2192" s="151" t="s">
        <v>9021</v>
      </c>
    </row>
    <row r="2193" spans="8:12" x14ac:dyDescent="0.25">
      <c r="H2193" s="151" t="s">
        <v>4462</v>
      </c>
      <c r="I2193" s="151" t="s">
        <v>6962</v>
      </c>
      <c r="J2193" s="151" t="s">
        <v>6962</v>
      </c>
      <c r="K2193" s="151">
        <f t="shared" si="64"/>
        <v>0</v>
      </c>
      <c r="L2193" s="151" t="s">
        <v>9021</v>
      </c>
    </row>
    <row r="2194" spans="8:12" x14ac:dyDescent="0.25">
      <c r="H2194" s="151" t="s">
        <v>4462</v>
      </c>
      <c r="I2194" s="151" t="s">
        <v>391</v>
      </c>
      <c r="J2194" s="151" t="s">
        <v>7580</v>
      </c>
      <c r="K2194" s="151">
        <f t="shared" si="64"/>
        <v>650000000000539</v>
      </c>
      <c r="L2194" s="151" t="s">
        <v>9021</v>
      </c>
    </row>
    <row r="2195" spans="8:12" x14ac:dyDescent="0.25">
      <c r="H2195" s="151" t="s">
        <v>4463</v>
      </c>
      <c r="I2195" s="151" t="s">
        <v>6962</v>
      </c>
      <c r="J2195" s="151" t="s">
        <v>6962</v>
      </c>
      <c r="K2195" s="151">
        <f t="shared" si="64"/>
        <v>0</v>
      </c>
      <c r="L2195" s="151" t="s">
        <v>9021</v>
      </c>
    </row>
    <row r="2196" spans="8:12" x14ac:dyDescent="0.25">
      <c r="H2196" s="151" t="s">
        <v>4463</v>
      </c>
      <c r="I2196" s="151" t="s">
        <v>391</v>
      </c>
      <c r="J2196" s="151" t="s">
        <v>7581</v>
      </c>
      <c r="K2196" s="151">
        <f t="shared" si="64"/>
        <v>650000000001651</v>
      </c>
      <c r="L2196" s="151" t="s">
        <v>9021</v>
      </c>
    </row>
    <row r="2197" spans="8:12" x14ac:dyDescent="0.25">
      <c r="H2197" s="151" t="s">
        <v>4464</v>
      </c>
      <c r="I2197" s="151" t="s">
        <v>6962</v>
      </c>
      <c r="J2197" s="151" t="s">
        <v>6962</v>
      </c>
      <c r="K2197" s="151">
        <f t="shared" si="64"/>
        <v>0</v>
      </c>
      <c r="L2197" s="151" t="s">
        <v>9021</v>
      </c>
    </row>
    <row r="2198" spans="8:12" x14ac:dyDescent="0.25">
      <c r="H2198" s="151" t="s">
        <v>4464</v>
      </c>
      <c r="I2198" s="151" t="s">
        <v>391</v>
      </c>
      <c r="J2198" s="151" t="s">
        <v>7582</v>
      </c>
      <c r="K2198" s="151">
        <f t="shared" si="64"/>
        <v>650000000001652</v>
      </c>
      <c r="L2198" s="151" t="s">
        <v>9021</v>
      </c>
    </row>
    <row r="2199" spans="8:12" x14ac:dyDescent="0.25">
      <c r="H2199" s="151" t="s">
        <v>4465</v>
      </c>
      <c r="I2199" s="151" t="s">
        <v>6962</v>
      </c>
      <c r="J2199" s="151" t="s">
        <v>6962</v>
      </c>
      <c r="K2199" s="151">
        <f t="shared" si="64"/>
        <v>0</v>
      </c>
      <c r="L2199" s="151" t="s">
        <v>9021</v>
      </c>
    </row>
    <row r="2200" spans="8:12" x14ac:dyDescent="0.25">
      <c r="H2200" s="151" t="s">
        <v>4465</v>
      </c>
      <c r="I2200" s="151" t="s">
        <v>391</v>
      </c>
      <c r="J2200" s="151" t="s">
        <v>7583</v>
      </c>
      <c r="K2200" s="151">
        <f t="shared" si="64"/>
        <v>650000000000540</v>
      </c>
      <c r="L2200" s="151" t="s">
        <v>9021</v>
      </c>
    </row>
    <row r="2201" spans="8:12" x14ac:dyDescent="0.25">
      <c r="H2201" s="151" t="s">
        <v>6860</v>
      </c>
      <c r="I2201" s="151" t="s">
        <v>6962</v>
      </c>
      <c r="J2201" s="151" t="s">
        <v>6962</v>
      </c>
      <c r="K2201" s="151">
        <f t="shared" si="64"/>
        <v>0</v>
      </c>
      <c r="L2201" s="151" t="s">
        <v>9021</v>
      </c>
    </row>
    <row r="2202" spans="8:12" x14ac:dyDescent="0.25">
      <c r="H2202" s="151" t="s">
        <v>4466</v>
      </c>
      <c r="I2202" s="151" t="s">
        <v>6962</v>
      </c>
      <c r="J2202" s="151" t="s">
        <v>6962</v>
      </c>
      <c r="K2202" s="151">
        <f t="shared" si="64"/>
        <v>0</v>
      </c>
      <c r="L2202" s="151" t="s">
        <v>9021</v>
      </c>
    </row>
    <row r="2203" spans="8:12" x14ac:dyDescent="0.25">
      <c r="H2203" s="151" t="s">
        <v>4466</v>
      </c>
      <c r="I2203" s="151" t="s">
        <v>391</v>
      </c>
      <c r="J2203" s="151" t="s">
        <v>7584</v>
      </c>
      <c r="K2203" s="151">
        <f t="shared" si="64"/>
        <v>650000000001653</v>
      </c>
      <c r="L2203" s="151" t="s">
        <v>9021</v>
      </c>
    </row>
    <row r="2204" spans="8:12" x14ac:dyDescent="0.25">
      <c r="H2204" s="151" t="s">
        <v>4467</v>
      </c>
      <c r="I2204" s="151" t="s">
        <v>6962</v>
      </c>
      <c r="J2204" s="151" t="s">
        <v>6962</v>
      </c>
      <c r="K2204" s="151">
        <f t="shared" si="64"/>
        <v>0</v>
      </c>
      <c r="L2204" s="151" t="s">
        <v>9021</v>
      </c>
    </row>
    <row r="2205" spans="8:12" x14ac:dyDescent="0.25">
      <c r="H2205" s="151" t="s">
        <v>4467</v>
      </c>
      <c r="I2205" s="151" t="s">
        <v>391</v>
      </c>
      <c r="J2205" s="151" t="s">
        <v>7585</v>
      </c>
      <c r="K2205" s="151">
        <f t="shared" si="64"/>
        <v>650000000000541</v>
      </c>
      <c r="L2205" s="151" t="s">
        <v>9021</v>
      </c>
    </row>
    <row r="2206" spans="8:12" x14ac:dyDescent="0.25">
      <c r="H2206" s="151" t="s">
        <v>4468</v>
      </c>
      <c r="I2206" s="151" t="s">
        <v>6962</v>
      </c>
      <c r="J2206" s="151" t="s">
        <v>6962</v>
      </c>
      <c r="K2206" s="151">
        <f t="shared" si="64"/>
        <v>0</v>
      </c>
      <c r="L2206" s="151" t="s">
        <v>9021</v>
      </c>
    </row>
    <row r="2207" spans="8:12" x14ac:dyDescent="0.25">
      <c r="H2207" s="151" t="s">
        <v>4468</v>
      </c>
      <c r="I2207" s="151" t="s">
        <v>391</v>
      </c>
      <c r="J2207" s="151" t="s">
        <v>7586</v>
      </c>
      <c r="K2207" s="151">
        <f t="shared" si="64"/>
        <v>650000000000542</v>
      </c>
      <c r="L2207" s="151" t="s">
        <v>9021</v>
      </c>
    </row>
    <row r="2208" spans="8:12" x14ac:dyDescent="0.25">
      <c r="H2208" s="151" t="s">
        <v>4469</v>
      </c>
      <c r="I2208" s="151" t="s">
        <v>6962</v>
      </c>
      <c r="J2208" s="151" t="s">
        <v>6962</v>
      </c>
      <c r="K2208" s="151">
        <f t="shared" si="64"/>
        <v>0</v>
      </c>
      <c r="L2208" s="151" t="s">
        <v>9021</v>
      </c>
    </row>
    <row r="2209" spans="8:12" x14ac:dyDescent="0.25">
      <c r="H2209" s="151" t="s">
        <v>4469</v>
      </c>
      <c r="I2209" s="151" t="s">
        <v>391</v>
      </c>
      <c r="J2209" s="151" t="s">
        <v>7587</v>
      </c>
      <c r="K2209" s="151">
        <f t="shared" si="64"/>
        <v>650000000000543</v>
      </c>
      <c r="L2209" s="151" t="s">
        <v>9021</v>
      </c>
    </row>
    <row r="2210" spans="8:12" x14ac:dyDescent="0.25">
      <c r="H2210" s="151" t="s">
        <v>4470</v>
      </c>
      <c r="I2210" s="151" t="s">
        <v>6962</v>
      </c>
      <c r="J2210" s="151" t="s">
        <v>6962</v>
      </c>
      <c r="K2210" s="151">
        <f t="shared" si="64"/>
        <v>0</v>
      </c>
      <c r="L2210" s="151" t="s">
        <v>9026</v>
      </c>
    </row>
    <row r="2211" spans="8:12" x14ac:dyDescent="0.25">
      <c r="H2211" s="151" t="s">
        <v>4470</v>
      </c>
      <c r="I2211" s="151" t="s">
        <v>391</v>
      </c>
      <c r="J2211" s="151" t="s">
        <v>7588</v>
      </c>
      <c r="K2211" s="151">
        <f t="shared" si="64"/>
        <v>650000000001654</v>
      </c>
      <c r="L2211" s="151" t="s">
        <v>9026</v>
      </c>
    </row>
    <row r="2212" spans="8:12" x14ac:dyDescent="0.25">
      <c r="H2212" s="151" t="s">
        <v>4471</v>
      </c>
      <c r="I2212" s="151" t="s">
        <v>6962</v>
      </c>
      <c r="J2212" s="151" t="s">
        <v>6962</v>
      </c>
      <c r="K2212" s="151">
        <f t="shared" si="64"/>
        <v>0</v>
      </c>
      <c r="L2212" s="151" t="s">
        <v>9025</v>
      </c>
    </row>
    <row r="2213" spans="8:12" x14ac:dyDescent="0.25">
      <c r="H2213" s="151" t="s">
        <v>4471</v>
      </c>
      <c r="I2213" s="151" t="s">
        <v>391</v>
      </c>
      <c r="J2213" s="151" t="s">
        <v>7589</v>
      </c>
      <c r="K2213" s="151">
        <f t="shared" si="64"/>
        <v>650000000000544</v>
      </c>
      <c r="L2213" s="151" t="s">
        <v>9025</v>
      </c>
    </row>
    <row r="2214" spans="8:12" x14ac:dyDescent="0.25">
      <c r="H2214" s="151" t="s">
        <v>4472</v>
      </c>
      <c r="I2214" s="151" t="s">
        <v>6962</v>
      </c>
      <c r="J2214" s="151" t="s">
        <v>6962</v>
      </c>
      <c r="K2214" s="151">
        <f t="shared" si="64"/>
        <v>0</v>
      </c>
      <c r="L2214" s="151" t="s">
        <v>9021</v>
      </c>
    </row>
    <row r="2215" spans="8:12" x14ac:dyDescent="0.25">
      <c r="H2215" s="151" t="s">
        <v>4472</v>
      </c>
      <c r="I2215" s="151" t="s">
        <v>391</v>
      </c>
      <c r="J2215" s="151" t="s">
        <v>7590</v>
      </c>
      <c r="K2215" s="151">
        <f t="shared" si="64"/>
        <v>650000000000545</v>
      </c>
      <c r="L2215" s="151" t="s">
        <v>9021</v>
      </c>
    </row>
    <row r="2216" spans="8:12" x14ac:dyDescent="0.25">
      <c r="H2216" s="151" t="s">
        <v>4473</v>
      </c>
      <c r="I2216" s="151" t="s">
        <v>6962</v>
      </c>
      <c r="J2216" s="151" t="s">
        <v>6962</v>
      </c>
      <c r="K2216" s="151">
        <f t="shared" si="64"/>
        <v>0</v>
      </c>
      <c r="L2216" s="151" t="s">
        <v>9021</v>
      </c>
    </row>
    <row r="2217" spans="8:12" x14ac:dyDescent="0.25">
      <c r="H2217" s="151" t="s">
        <v>4473</v>
      </c>
      <c r="I2217" s="151" t="s">
        <v>391</v>
      </c>
      <c r="J2217" s="151" t="s">
        <v>7591</v>
      </c>
      <c r="K2217" s="151">
        <f t="shared" si="64"/>
        <v>650000000000546</v>
      </c>
      <c r="L2217" s="151" t="s">
        <v>9021</v>
      </c>
    </row>
    <row r="2218" spans="8:12" x14ac:dyDescent="0.25">
      <c r="H2218" s="151" t="s">
        <v>4474</v>
      </c>
      <c r="I2218" s="151" t="s">
        <v>6962</v>
      </c>
      <c r="J2218" s="151" t="s">
        <v>6962</v>
      </c>
      <c r="K2218" s="151">
        <f t="shared" si="64"/>
        <v>0</v>
      </c>
      <c r="L2218" s="151" t="s">
        <v>9021</v>
      </c>
    </row>
    <row r="2219" spans="8:12" x14ac:dyDescent="0.25">
      <c r="H2219" s="151" t="s">
        <v>4474</v>
      </c>
      <c r="I2219" s="151" t="s">
        <v>391</v>
      </c>
      <c r="J2219" s="151" t="s">
        <v>7592</v>
      </c>
      <c r="K2219" s="151">
        <f t="shared" si="64"/>
        <v>650000000000547</v>
      </c>
      <c r="L2219" s="151" t="s">
        <v>9021</v>
      </c>
    </row>
    <row r="2220" spans="8:12" x14ac:dyDescent="0.25">
      <c r="H2220" s="151" t="s">
        <v>4475</v>
      </c>
      <c r="I2220" s="151" t="s">
        <v>6962</v>
      </c>
      <c r="J2220" s="151" t="s">
        <v>6962</v>
      </c>
      <c r="K2220" s="151">
        <f t="shared" si="64"/>
        <v>0</v>
      </c>
      <c r="L2220" s="151" t="s">
        <v>9021</v>
      </c>
    </row>
    <row r="2221" spans="8:12" x14ac:dyDescent="0.25">
      <c r="H2221" s="151" t="s">
        <v>4475</v>
      </c>
      <c r="I2221" s="151" t="s">
        <v>391</v>
      </c>
      <c r="J2221" s="151" t="s">
        <v>7593</v>
      </c>
      <c r="K2221" s="151">
        <f t="shared" si="64"/>
        <v>650000000001655</v>
      </c>
      <c r="L2221" s="151" t="s">
        <v>9021</v>
      </c>
    </row>
    <row r="2222" spans="8:12" x14ac:dyDescent="0.25">
      <c r="H2222" s="151" t="s">
        <v>4476</v>
      </c>
      <c r="I2222" s="151" t="s">
        <v>6962</v>
      </c>
      <c r="J2222" s="151" t="s">
        <v>6962</v>
      </c>
      <c r="K2222" s="151">
        <f t="shared" si="64"/>
        <v>0</v>
      </c>
      <c r="L2222" s="151" t="s">
        <v>9021</v>
      </c>
    </row>
    <row r="2223" spans="8:12" x14ac:dyDescent="0.25">
      <c r="H2223" s="151" t="s">
        <v>4476</v>
      </c>
      <c r="I2223" s="151" t="s">
        <v>391</v>
      </c>
      <c r="J2223" s="151" t="s">
        <v>7594</v>
      </c>
      <c r="K2223" s="151">
        <f t="shared" si="64"/>
        <v>650000000000548</v>
      </c>
      <c r="L2223" s="151" t="s">
        <v>9021</v>
      </c>
    </row>
    <row r="2224" spans="8:12" x14ac:dyDescent="0.25">
      <c r="H2224" s="151" t="s">
        <v>4477</v>
      </c>
      <c r="I2224" s="151" t="s">
        <v>6962</v>
      </c>
      <c r="J2224" s="151" t="s">
        <v>6962</v>
      </c>
      <c r="K2224" s="151">
        <f t="shared" si="64"/>
        <v>0</v>
      </c>
      <c r="L2224" s="151" t="s">
        <v>9023</v>
      </c>
    </row>
    <row r="2225" spans="8:12" x14ac:dyDescent="0.25">
      <c r="H2225" s="151" t="s">
        <v>4477</v>
      </c>
      <c r="I2225" s="151" t="s">
        <v>391</v>
      </c>
      <c r="J2225" s="151" t="s">
        <v>7594</v>
      </c>
      <c r="K2225" s="151">
        <f t="shared" si="64"/>
        <v>650000000000548</v>
      </c>
      <c r="L2225" s="151" t="s">
        <v>9023</v>
      </c>
    </row>
    <row r="2226" spans="8:12" x14ac:dyDescent="0.25">
      <c r="H2226" s="151" t="s">
        <v>4478</v>
      </c>
      <c r="I2226" s="151" t="s">
        <v>6962</v>
      </c>
      <c r="J2226" s="151" t="s">
        <v>6962</v>
      </c>
      <c r="K2226" s="151">
        <f t="shared" si="64"/>
        <v>0</v>
      </c>
      <c r="L2226" s="151" t="s">
        <v>9021</v>
      </c>
    </row>
    <row r="2227" spans="8:12" x14ac:dyDescent="0.25">
      <c r="H2227" s="151" t="s">
        <v>4478</v>
      </c>
      <c r="I2227" s="151" t="s">
        <v>391</v>
      </c>
      <c r="J2227" s="151" t="s">
        <v>7595</v>
      </c>
      <c r="K2227" s="151">
        <f t="shared" si="64"/>
        <v>650000000000549</v>
      </c>
      <c r="L2227" s="151" t="s">
        <v>9021</v>
      </c>
    </row>
    <row r="2228" spans="8:12" x14ac:dyDescent="0.25">
      <c r="H2228" s="151" t="s">
        <v>4479</v>
      </c>
      <c r="I2228" s="151" t="s">
        <v>6962</v>
      </c>
      <c r="J2228" s="151" t="s">
        <v>6962</v>
      </c>
      <c r="K2228" s="151">
        <f t="shared" si="64"/>
        <v>0</v>
      </c>
      <c r="L2228" s="151" t="s">
        <v>9021</v>
      </c>
    </row>
    <row r="2229" spans="8:12" x14ac:dyDescent="0.25">
      <c r="H2229" s="151" t="s">
        <v>4479</v>
      </c>
      <c r="I2229" s="151" t="s">
        <v>391</v>
      </c>
      <c r="J2229" s="151" t="s">
        <v>7596</v>
      </c>
      <c r="K2229" s="151">
        <f t="shared" si="64"/>
        <v>650000000000550</v>
      </c>
      <c r="L2229" s="151" t="s">
        <v>9021</v>
      </c>
    </row>
    <row r="2230" spans="8:12" x14ac:dyDescent="0.25">
      <c r="H2230" s="151" t="s">
        <v>4480</v>
      </c>
      <c r="I2230" s="151" t="s">
        <v>6962</v>
      </c>
      <c r="J2230" s="151" t="s">
        <v>6962</v>
      </c>
      <c r="K2230" s="151">
        <f t="shared" si="64"/>
        <v>0</v>
      </c>
      <c r="L2230" s="151" t="s">
        <v>9023</v>
      </c>
    </row>
    <row r="2231" spans="8:12" x14ac:dyDescent="0.25">
      <c r="H2231" s="151" t="s">
        <v>4480</v>
      </c>
      <c r="I2231" s="151" t="s">
        <v>391</v>
      </c>
      <c r="J2231" s="151" t="s">
        <v>7596</v>
      </c>
      <c r="K2231" s="151">
        <f t="shared" si="64"/>
        <v>650000000000550</v>
      </c>
      <c r="L2231" s="151" t="s">
        <v>9023</v>
      </c>
    </row>
    <row r="2232" spans="8:12" x14ac:dyDescent="0.25">
      <c r="H2232" s="151" t="s">
        <v>4481</v>
      </c>
      <c r="I2232" s="151" t="s">
        <v>6962</v>
      </c>
      <c r="J2232" s="151" t="s">
        <v>6962</v>
      </c>
      <c r="K2232" s="151">
        <f t="shared" si="64"/>
        <v>0</v>
      </c>
      <c r="L2232" s="151" t="s">
        <v>9021</v>
      </c>
    </row>
    <row r="2233" spans="8:12" x14ac:dyDescent="0.25">
      <c r="H2233" s="151" t="s">
        <v>4481</v>
      </c>
      <c r="I2233" s="151" t="s">
        <v>391</v>
      </c>
      <c r="J2233" s="151" t="s">
        <v>7597</v>
      </c>
      <c r="K2233" s="151">
        <f t="shared" si="64"/>
        <v>650000000000551</v>
      </c>
      <c r="L2233" s="151" t="s">
        <v>9021</v>
      </c>
    </row>
    <row r="2234" spans="8:12" x14ac:dyDescent="0.25">
      <c r="H2234" s="151" t="s">
        <v>4482</v>
      </c>
      <c r="I2234" s="151" t="s">
        <v>6962</v>
      </c>
      <c r="J2234" s="151" t="s">
        <v>6962</v>
      </c>
      <c r="K2234" s="151">
        <f t="shared" si="64"/>
        <v>0</v>
      </c>
      <c r="L2234" s="151" t="s">
        <v>9021</v>
      </c>
    </row>
    <row r="2235" spans="8:12" x14ac:dyDescent="0.25">
      <c r="H2235" s="151" t="s">
        <v>4482</v>
      </c>
      <c r="I2235" s="151" t="s">
        <v>391</v>
      </c>
      <c r="J2235" s="151" t="s">
        <v>7598</v>
      </c>
      <c r="K2235" s="151">
        <f t="shared" si="64"/>
        <v>650000000001656</v>
      </c>
      <c r="L2235" s="151" t="s">
        <v>9021</v>
      </c>
    </row>
    <row r="2236" spans="8:12" x14ac:dyDescent="0.25">
      <c r="H2236" s="151" t="s">
        <v>4483</v>
      </c>
      <c r="I2236" s="151" t="s">
        <v>6962</v>
      </c>
      <c r="J2236" s="151" t="s">
        <v>6962</v>
      </c>
      <c r="K2236" s="151">
        <f t="shared" si="64"/>
        <v>0</v>
      </c>
      <c r="L2236" s="151" t="s">
        <v>9021</v>
      </c>
    </row>
    <row r="2237" spans="8:12" x14ac:dyDescent="0.25">
      <c r="H2237" s="151" t="s">
        <v>4483</v>
      </c>
      <c r="I2237" s="151" t="s">
        <v>391</v>
      </c>
      <c r="J2237" s="151" t="s">
        <v>7599</v>
      </c>
      <c r="K2237" s="151">
        <f t="shared" si="64"/>
        <v>650000000001657</v>
      </c>
      <c r="L2237" s="151" t="s">
        <v>9021</v>
      </c>
    </row>
    <row r="2238" spans="8:12" x14ac:dyDescent="0.25">
      <c r="H2238" s="151" t="s">
        <v>4484</v>
      </c>
      <c r="I2238" s="151" t="s">
        <v>6962</v>
      </c>
      <c r="J2238" s="151" t="s">
        <v>6962</v>
      </c>
      <c r="K2238" s="151">
        <f t="shared" si="64"/>
        <v>0</v>
      </c>
      <c r="L2238" s="151" t="s">
        <v>9021</v>
      </c>
    </row>
    <row r="2239" spans="8:12" x14ac:dyDescent="0.25">
      <c r="H2239" s="151" t="s">
        <v>4484</v>
      </c>
      <c r="I2239" s="151" t="s">
        <v>391</v>
      </c>
      <c r="J2239" s="151" t="s">
        <v>7600</v>
      </c>
      <c r="K2239" s="151">
        <f t="shared" si="64"/>
        <v>650000000000552</v>
      </c>
      <c r="L2239" s="151" t="s">
        <v>9021</v>
      </c>
    </row>
    <row r="2240" spans="8:12" x14ac:dyDescent="0.25">
      <c r="H2240" s="151" t="s">
        <v>4485</v>
      </c>
      <c r="I2240" s="151" t="s">
        <v>6962</v>
      </c>
      <c r="J2240" s="151" t="s">
        <v>6962</v>
      </c>
      <c r="K2240" s="151">
        <f t="shared" si="64"/>
        <v>0</v>
      </c>
      <c r="L2240" s="151" t="s">
        <v>9021</v>
      </c>
    </row>
    <row r="2241" spans="8:12" x14ac:dyDescent="0.25">
      <c r="H2241" s="151" t="s">
        <v>4485</v>
      </c>
      <c r="I2241" s="151" t="s">
        <v>391</v>
      </c>
      <c r="J2241" s="151" t="s">
        <v>7601</v>
      </c>
      <c r="K2241" s="151">
        <f t="shared" si="64"/>
        <v>650000000001658</v>
      </c>
      <c r="L2241" s="151" t="s">
        <v>9021</v>
      </c>
    </row>
    <row r="2242" spans="8:12" x14ac:dyDescent="0.25">
      <c r="H2242" s="151" t="s">
        <v>4486</v>
      </c>
      <c r="I2242" s="151" t="s">
        <v>6962</v>
      </c>
      <c r="J2242" s="151" t="s">
        <v>6962</v>
      </c>
      <c r="K2242" s="151">
        <f t="shared" si="64"/>
        <v>0</v>
      </c>
      <c r="L2242" s="151" t="s">
        <v>9021</v>
      </c>
    </row>
    <row r="2243" spans="8:12" x14ac:dyDescent="0.25">
      <c r="H2243" s="151" t="s">
        <v>4486</v>
      </c>
      <c r="I2243" s="151" t="s">
        <v>391</v>
      </c>
      <c r="J2243" s="151" t="s">
        <v>7602</v>
      </c>
      <c r="K2243" s="151">
        <f t="shared" ref="K2243:K2306" si="65">+IFERROR(J2243*1,0)</f>
        <v>650000000001659</v>
      </c>
      <c r="L2243" s="151" t="s">
        <v>9021</v>
      </c>
    </row>
    <row r="2244" spans="8:12" x14ac:dyDescent="0.25">
      <c r="H2244" s="151" t="s">
        <v>4487</v>
      </c>
      <c r="I2244" s="151" t="s">
        <v>6962</v>
      </c>
      <c r="J2244" s="151" t="s">
        <v>6962</v>
      </c>
      <c r="K2244" s="151">
        <f t="shared" si="65"/>
        <v>0</v>
      </c>
      <c r="L2244" s="151" t="s">
        <v>9023</v>
      </c>
    </row>
    <row r="2245" spans="8:12" x14ac:dyDescent="0.25">
      <c r="H2245" s="151" t="s">
        <v>4487</v>
      </c>
      <c r="I2245" s="151" t="s">
        <v>391</v>
      </c>
      <c r="J2245" s="151" t="s">
        <v>7602</v>
      </c>
      <c r="K2245" s="151">
        <f t="shared" si="65"/>
        <v>650000000001659</v>
      </c>
      <c r="L2245" s="151" t="s">
        <v>9023</v>
      </c>
    </row>
    <row r="2246" spans="8:12" x14ac:dyDescent="0.25">
      <c r="H2246" s="151" t="s">
        <v>4488</v>
      </c>
      <c r="I2246" s="151" t="s">
        <v>6962</v>
      </c>
      <c r="J2246" s="151" t="s">
        <v>6962</v>
      </c>
      <c r="K2246" s="151">
        <f t="shared" si="65"/>
        <v>0</v>
      </c>
      <c r="L2246" s="151" t="s">
        <v>9021</v>
      </c>
    </row>
    <row r="2247" spans="8:12" x14ac:dyDescent="0.25">
      <c r="H2247" s="151" t="s">
        <v>4488</v>
      </c>
      <c r="I2247" s="151" t="s">
        <v>391</v>
      </c>
      <c r="J2247" s="151" t="s">
        <v>7603</v>
      </c>
      <c r="K2247" s="151">
        <f t="shared" si="65"/>
        <v>650000000000553</v>
      </c>
      <c r="L2247" s="151" t="s">
        <v>9021</v>
      </c>
    </row>
    <row r="2248" spans="8:12" x14ac:dyDescent="0.25">
      <c r="H2248" s="151" t="s">
        <v>4489</v>
      </c>
      <c r="I2248" s="151" t="s">
        <v>6962</v>
      </c>
      <c r="J2248" s="151" t="s">
        <v>6962</v>
      </c>
      <c r="K2248" s="151">
        <f t="shared" si="65"/>
        <v>0</v>
      </c>
      <c r="L2248" s="151" t="s">
        <v>9023</v>
      </c>
    </row>
    <row r="2249" spans="8:12" x14ac:dyDescent="0.25">
      <c r="H2249" s="151" t="s">
        <v>4489</v>
      </c>
      <c r="I2249" s="151" t="s">
        <v>391</v>
      </c>
      <c r="J2249" s="151" t="s">
        <v>7603</v>
      </c>
      <c r="K2249" s="151">
        <f t="shared" si="65"/>
        <v>650000000000553</v>
      </c>
      <c r="L2249" s="151" t="s">
        <v>9023</v>
      </c>
    </row>
    <row r="2250" spans="8:12" x14ac:dyDescent="0.25">
      <c r="H2250" s="151" t="s">
        <v>4490</v>
      </c>
      <c r="I2250" s="151" t="s">
        <v>6962</v>
      </c>
      <c r="J2250" s="151" t="s">
        <v>6962</v>
      </c>
      <c r="K2250" s="151">
        <f t="shared" si="65"/>
        <v>0</v>
      </c>
      <c r="L2250" s="151" t="s">
        <v>9021</v>
      </c>
    </row>
    <row r="2251" spans="8:12" x14ac:dyDescent="0.25">
      <c r="H2251" s="151" t="s">
        <v>4490</v>
      </c>
      <c r="I2251" s="151" t="s">
        <v>391</v>
      </c>
      <c r="J2251" s="151" t="s">
        <v>7604</v>
      </c>
      <c r="K2251" s="151">
        <f t="shared" si="65"/>
        <v>650000000001660</v>
      </c>
      <c r="L2251" s="151" t="s">
        <v>9021</v>
      </c>
    </row>
    <row r="2252" spans="8:12" x14ac:dyDescent="0.25">
      <c r="H2252" s="151" t="s">
        <v>4491</v>
      </c>
      <c r="I2252" s="151" t="s">
        <v>6962</v>
      </c>
      <c r="J2252" s="151" t="s">
        <v>6962</v>
      </c>
      <c r="K2252" s="151">
        <f t="shared" si="65"/>
        <v>0</v>
      </c>
      <c r="L2252" s="151" t="s">
        <v>9021</v>
      </c>
    </row>
    <row r="2253" spans="8:12" x14ac:dyDescent="0.25">
      <c r="H2253" s="151" t="s">
        <v>4491</v>
      </c>
      <c r="I2253" s="151" t="s">
        <v>391</v>
      </c>
      <c r="J2253" s="151" t="s">
        <v>7605</v>
      </c>
      <c r="K2253" s="151">
        <f t="shared" si="65"/>
        <v>650000000000554</v>
      </c>
      <c r="L2253" s="151" t="s">
        <v>9021</v>
      </c>
    </row>
    <row r="2254" spans="8:12" x14ac:dyDescent="0.25">
      <c r="H2254" s="151" t="s">
        <v>4492</v>
      </c>
      <c r="I2254" s="151" t="s">
        <v>6962</v>
      </c>
      <c r="J2254" s="151" t="s">
        <v>6962</v>
      </c>
      <c r="K2254" s="151">
        <f t="shared" si="65"/>
        <v>0</v>
      </c>
      <c r="L2254" s="151" t="s">
        <v>9021</v>
      </c>
    </row>
    <row r="2255" spans="8:12" x14ac:dyDescent="0.25">
      <c r="H2255" s="151" t="s">
        <v>4492</v>
      </c>
      <c r="I2255" s="151" t="s">
        <v>391</v>
      </c>
      <c r="J2255" s="151" t="s">
        <v>7606</v>
      </c>
      <c r="K2255" s="151">
        <f t="shared" si="65"/>
        <v>650000000000555</v>
      </c>
      <c r="L2255" s="151" t="s">
        <v>9021</v>
      </c>
    </row>
    <row r="2256" spans="8:12" x14ac:dyDescent="0.25">
      <c r="H2256" s="151" t="s">
        <v>4493</v>
      </c>
      <c r="I2256" s="151" t="s">
        <v>6962</v>
      </c>
      <c r="J2256" s="151" t="s">
        <v>6962</v>
      </c>
      <c r="K2256" s="151">
        <f t="shared" si="65"/>
        <v>0</v>
      </c>
      <c r="L2256" s="151" t="s">
        <v>9021</v>
      </c>
    </row>
    <row r="2257" spans="8:12" x14ac:dyDescent="0.25">
      <c r="H2257" s="151" t="s">
        <v>4493</v>
      </c>
      <c r="I2257" s="151" t="s">
        <v>391</v>
      </c>
      <c r="J2257" s="151" t="s">
        <v>7607</v>
      </c>
      <c r="K2257" s="151">
        <f t="shared" si="65"/>
        <v>650000000000556</v>
      </c>
      <c r="L2257" s="151" t="s">
        <v>9021</v>
      </c>
    </row>
    <row r="2258" spans="8:12" x14ac:dyDescent="0.25">
      <c r="H2258" s="151" t="s">
        <v>4494</v>
      </c>
      <c r="I2258" s="151" t="s">
        <v>6962</v>
      </c>
      <c r="J2258" s="151" t="s">
        <v>6962</v>
      </c>
      <c r="K2258" s="151">
        <f t="shared" si="65"/>
        <v>0</v>
      </c>
      <c r="L2258" s="151" t="s">
        <v>9021</v>
      </c>
    </row>
    <row r="2259" spans="8:12" x14ac:dyDescent="0.25">
      <c r="H2259" s="151" t="s">
        <v>4494</v>
      </c>
      <c r="I2259" s="151" t="s">
        <v>391</v>
      </c>
      <c r="J2259" s="151" t="s">
        <v>7608</v>
      </c>
      <c r="K2259" s="151">
        <f t="shared" si="65"/>
        <v>650000000001661</v>
      </c>
      <c r="L2259" s="151" t="s">
        <v>9021</v>
      </c>
    </row>
    <row r="2260" spans="8:12" x14ac:dyDescent="0.25">
      <c r="H2260" s="151" t="s">
        <v>4495</v>
      </c>
      <c r="I2260" s="151" t="s">
        <v>6962</v>
      </c>
      <c r="J2260" s="151" t="s">
        <v>6962</v>
      </c>
      <c r="K2260" s="151">
        <f t="shared" si="65"/>
        <v>0</v>
      </c>
      <c r="L2260" s="151" t="s">
        <v>9021</v>
      </c>
    </row>
    <row r="2261" spans="8:12" x14ac:dyDescent="0.25">
      <c r="H2261" s="151" t="s">
        <v>4495</v>
      </c>
      <c r="I2261" s="151" t="s">
        <v>391</v>
      </c>
      <c r="J2261" s="151" t="s">
        <v>7609</v>
      </c>
      <c r="K2261" s="151">
        <f t="shared" si="65"/>
        <v>650000000000557</v>
      </c>
      <c r="L2261" s="151" t="s">
        <v>9021</v>
      </c>
    </row>
    <row r="2262" spans="8:12" x14ac:dyDescent="0.25">
      <c r="H2262" s="151" t="s">
        <v>4496</v>
      </c>
      <c r="I2262" s="151" t="s">
        <v>6962</v>
      </c>
      <c r="J2262" s="151" t="s">
        <v>6962</v>
      </c>
      <c r="K2262" s="151">
        <f t="shared" si="65"/>
        <v>0</v>
      </c>
      <c r="L2262" s="151" t="s">
        <v>9021</v>
      </c>
    </row>
    <row r="2263" spans="8:12" x14ac:dyDescent="0.25">
      <c r="H2263" s="151" t="s">
        <v>4496</v>
      </c>
      <c r="I2263" s="151" t="s">
        <v>391</v>
      </c>
      <c r="J2263" s="151" t="s">
        <v>7610</v>
      </c>
      <c r="K2263" s="151">
        <f t="shared" si="65"/>
        <v>650000000001662</v>
      </c>
      <c r="L2263" s="151" t="s">
        <v>9021</v>
      </c>
    </row>
    <row r="2264" spans="8:12" x14ac:dyDescent="0.25">
      <c r="H2264" s="151" t="s">
        <v>4497</v>
      </c>
      <c r="I2264" s="151" t="s">
        <v>6962</v>
      </c>
      <c r="J2264" s="151" t="s">
        <v>6962</v>
      </c>
      <c r="K2264" s="151">
        <f t="shared" si="65"/>
        <v>0</v>
      </c>
      <c r="L2264" s="151" t="s">
        <v>9021</v>
      </c>
    </row>
    <row r="2265" spans="8:12" x14ac:dyDescent="0.25">
      <c r="H2265" s="151" t="s">
        <v>4497</v>
      </c>
      <c r="I2265" s="151" t="s">
        <v>391</v>
      </c>
      <c r="J2265" s="151" t="s">
        <v>7611</v>
      </c>
      <c r="K2265" s="151">
        <f t="shared" si="65"/>
        <v>650000000001663</v>
      </c>
      <c r="L2265" s="151" t="s">
        <v>9021</v>
      </c>
    </row>
    <row r="2266" spans="8:12" x14ac:dyDescent="0.25">
      <c r="H2266" s="151" t="s">
        <v>4498</v>
      </c>
      <c r="I2266" s="151" t="s">
        <v>6962</v>
      </c>
      <c r="J2266" s="151" t="s">
        <v>6962</v>
      </c>
      <c r="K2266" s="151">
        <f t="shared" si="65"/>
        <v>0</v>
      </c>
      <c r="L2266" s="151" t="s">
        <v>9021</v>
      </c>
    </row>
    <row r="2267" spans="8:12" x14ac:dyDescent="0.25">
      <c r="H2267" s="151" t="s">
        <v>4498</v>
      </c>
      <c r="I2267" s="151" t="s">
        <v>391</v>
      </c>
      <c r="J2267" s="151" t="s">
        <v>7612</v>
      </c>
      <c r="K2267" s="151">
        <f t="shared" si="65"/>
        <v>650000000000558</v>
      </c>
      <c r="L2267" s="151" t="s">
        <v>9021</v>
      </c>
    </row>
    <row r="2268" spans="8:12" x14ac:dyDescent="0.25">
      <c r="H2268" s="151" t="s">
        <v>6861</v>
      </c>
      <c r="I2268" s="151" t="s">
        <v>6962</v>
      </c>
      <c r="J2268" s="151" t="s">
        <v>6962</v>
      </c>
      <c r="K2268" s="151">
        <f t="shared" si="65"/>
        <v>0</v>
      </c>
      <c r="L2268" s="151" t="s">
        <v>9021</v>
      </c>
    </row>
    <row r="2269" spans="8:12" x14ac:dyDescent="0.25">
      <c r="H2269" s="151" t="s">
        <v>4499</v>
      </c>
      <c r="I2269" s="151" t="s">
        <v>6962</v>
      </c>
      <c r="J2269" s="151" t="s">
        <v>6962</v>
      </c>
      <c r="K2269" s="151">
        <f t="shared" si="65"/>
        <v>0</v>
      </c>
      <c r="L2269" s="151" t="s">
        <v>9021</v>
      </c>
    </row>
    <row r="2270" spans="8:12" x14ac:dyDescent="0.25">
      <c r="H2270" s="151" t="s">
        <v>4499</v>
      </c>
      <c r="I2270" s="151" t="s">
        <v>391</v>
      </c>
      <c r="J2270" s="151" t="s">
        <v>7613</v>
      </c>
      <c r="K2270" s="151">
        <f t="shared" si="65"/>
        <v>650000000001664</v>
      </c>
      <c r="L2270" s="151" t="s">
        <v>9021</v>
      </c>
    </row>
    <row r="2271" spans="8:12" x14ac:dyDescent="0.25">
      <c r="H2271" s="151" t="s">
        <v>4500</v>
      </c>
      <c r="I2271" s="151" t="s">
        <v>6962</v>
      </c>
      <c r="J2271" s="151" t="s">
        <v>6962</v>
      </c>
      <c r="K2271" s="151">
        <f t="shared" si="65"/>
        <v>0</v>
      </c>
      <c r="L2271" s="151" t="s">
        <v>9021</v>
      </c>
    </row>
    <row r="2272" spans="8:12" x14ac:dyDescent="0.25">
      <c r="H2272" s="151" t="s">
        <v>4500</v>
      </c>
      <c r="I2272" s="151" t="s">
        <v>391</v>
      </c>
      <c r="J2272" s="151" t="s">
        <v>7614</v>
      </c>
      <c r="K2272" s="151">
        <f t="shared" si="65"/>
        <v>650000000000559</v>
      </c>
      <c r="L2272" s="151" t="s">
        <v>9021</v>
      </c>
    </row>
    <row r="2273" spans="8:12" x14ac:dyDescent="0.25">
      <c r="H2273" s="151" t="s">
        <v>4501</v>
      </c>
      <c r="I2273" s="151" t="s">
        <v>6962</v>
      </c>
      <c r="J2273" s="151" t="s">
        <v>6962</v>
      </c>
      <c r="K2273" s="151">
        <f t="shared" si="65"/>
        <v>0</v>
      </c>
      <c r="L2273" s="151" t="s">
        <v>9021</v>
      </c>
    </row>
    <row r="2274" spans="8:12" x14ac:dyDescent="0.25">
      <c r="H2274" s="151" t="s">
        <v>4501</v>
      </c>
      <c r="I2274" s="151" t="s">
        <v>391</v>
      </c>
      <c r="J2274" s="151" t="s">
        <v>7615</v>
      </c>
      <c r="K2274" s="151">
        <f t="shared" si="65"/>
        <v>650000000001665</v>
      </c>
      <c r="L2274" s="151" t="s">
        <v>9021</v>
      </c>
    </row>
    <row r="2275" spans="8:12" x14ac:dyDescent="0.25">
      <c r="H2275" s="151" t="s">
        <v>4502</v>
      </c>
      <c r="I2275" s="151" t="s">
        <v>6962</v>
      </c>
      <c r="J2275" s="151" t="s">
        <v>6962</v>
      </c>
      <c r="K2275" s="151">
        <f t="shared" si="65"/>
        <v>0</v>
      </c>
      <c r="L2275" s="151" t="s">
        <v>9021</v>
      </c>
    </row>
    <row r="2276" spans="8:12" x14ac:dyDescent="0.25">
      <c r="H2276" s="151" t="s">
        <v>4502</v>
      </c>
      <c r="I2276" s="151" t="s">
        <v>391</v>
      </c>
      <c r="J2276" s="151" t="s">
        <v>7616</v>
      </c>
      <c r="K2276" s="151">
        <f t="shared" si="65"/>
        <v>650000000000560</v>
      </c>
      <c r="L2276" s="151" t="s">
        <v>9021</v>
      </c>
    </row>
    <row r="2277" spans="8:12" x14ac:dyDescent="0.25">
      <c r="H2277" s="151" t="s">
        <v>4503</v>
      </c>
      <c r="I2277" s="151" t="s">
        <v>6962</v>
      </c>
      <c r="J2277" s="151" t="s">
        <v>6962</v>
      </c>
      <c r="K2277" s="151">
        <f t="shared" si="65"/>
        <v>0</v>
      </c>
      <c r="L2277" s="151" t="s">
        <v>9021</v>
      </c>
    </row>
    <row r="2278" spans="8:12" x14ac:dyDescent="0.25">
      <c r="H2278" s="151" t="s">
        <v>4503</v>
      </c>
      <c r="I2278" s="151" t="s">
        <v>391</v>
      </c>
      <c r="J2278" s="151" t="s">
        <v>7617</v>
      </c>
      <c r="K2278" s="151">
        <f t="shared" si="65"/>
        <v>650000000001666</v>
      </c>
      <c r="L2278" s="151" t="s">
        <v>9021</v>
      </c>
    </row>
    <row r="2279" spans="8:12" x14ac:dyDescent="0.25">
      <c r="H2279" s="151" t="s">
        <v>4504</v>
      </c>
      <c r="I2279" s="151" t="s">
        <v>6962</v>
      </c>
      <c r="J2279" s="151" t="s">
        <v>6962</v>
      </c>
      <c r="K2279" s="151">
        <f t="shared" si="65"/>
        <v>0</v>
      </c>
      <c r="L2279" s="151" t="s">
        <v>9021</v>
      </c>
    </row>
    <row r="2280" spans="8:12" x14ac:dyDescent="0.25">
      <c r="H2280" s="151" t="s">
        <v>4504</v>
      </c>
      <c r="I2280" s="151" t="s">
        <v>391</v>
      </c>
      <c r="J2280" s="151" t="s">
        <v>7618</v>
      </c>
      <c r="K2280" s="151">
        <f t="shared" si="65"/>
        <v>650000000000561</v>
      </c>
      <c r="L2280" s="151" t="s">
        <v>9021</v>
      </c>
    </row>
    <row r="2281" spans="8:12" x14ac:dyDescent="0.25">
      <c r="H2281" s="151" t="s">
        <v>4505</v>
      </c>
      <c r="I2281" s="151" t="s">
        <v>6962</v>
      </c>
      <c r="J2281" s="151" t="s">
        <v>6962</v>
      </c>
      <c r="K2281" s="151">
        <f t="shared" si="65"/>
        <v>0</v>
      </c>
      <c r="L2281" s="151" t="s">
        <v>9021</v>
      </c>
    </row>
    <row r="2282" spans="8:12" x14ac:dyDescent="0.25">
      <c r="H2282" s="151" t="s">
        <v>4505</v>
      </c>
      <c r="I2282" s="151" t="s">
        <v>391</v>
      </c>
      <c r="J2282" s="151" t="s">
        <v>7619</v>
      </c>
      <c r="K2282" s="151">
        <f t="shared" si="65"/>
        <v>650000000000562</v>
      </c>
      <c r="L2282" s="151" t="s">
        <v>9021</v>
      </c>
    </row>
    <row r="2283" spans="8:12" x14ac:dyDescent="0.25">
      <c r="H2283" s="151" t="s">
        <v>4506</v>
      </c>
      <c r="I2283" s="151" t="s">
        <v>6962</v>
      </c>
      <c r="J2283" s="151" t="s">
        <v>6962</v>
      </c>
      <c r="K2283" s="151">
        <f t="shared" si="65"/>
        <v>0</v>
      </c>
      <c r="L2283" s="151" t="s">
        <v>9021</v>
      </c>
    </row>
    <row r="2284" spans="8:12" x14ac:dyDescent="0.25">
      <c r="H2284" s="151" t="s">
        <v>4506</v>
      </c>
      <c r="I2284" s="151" t="s">
        <v>391</v>
      </c>
      <c r="J2284" s="151" t="s">
        <v>7620</v>
      </c>
      <c r="K2284" s="151">
        <f t="shared" si="65"/>
        <v>650000000001667</v>
      </c>
      <c r="L2284" s="151" t="s">
        <v>9021</v>
      </c>
    </row>
    <row r="2285" spans="8:12" x14ac:dyDescent="0.25">
      <c r="H2285" s="151" t="s">
        <v>4507</v>
      </c>
      <c r="I2285" s="151" t="s">
        <v>6962</v>
      </c>
      <c r="J2285" s="151" t="s">
        <v>6962</v>
      </c>
      <c r="K2285" s="151">
        <f t="shared" si="65"/>
        <v>0</v>
      </c>
      <c r="L2285" s="151" t="s">
        <v>9021</v>
      </c>
    </row>
    <row r="2286" spans="8:12" x14ac:dyDescent="0.25">
      <c r="H2286" s="151" t="s">
        <v>4507</v>
      </c>
      <c r="I2286" s="151" t="s">
        <v>391</v>
      </c>
      <c r="J2286" s="151" t="s">
        <v>7621</v>
      </c>
      <c r="K2286" s="151">
        <f t="shared" si="65"/>
        <v>650000000000563</v>
      </c>
      <c r="L2286" s="151" t="s">
        <v>9021</v>
      </c>
    </row>
    <row r="2287" spans="8:12" x14ac:dyDescent="0.25">
      <c r="H2287" s="151" t="s">
        <v>4508</v>
      </c>
      <c r="I2287" s="151" t="s">
        <v>6962</v>
      </c>
      <c r="J2287" s="151" t="s">
        <v>6962</v>
      </c>
      <c r="K2287" s="151">
        <f t="shared" si="65"/>
        <v>0</v>
      </c>
      <c r="L2287" s="151" t="s">
        <v>9021</v>
      </c>
    </row>
    <row r="2288" spans="8:12" x14ac:dyDescent="0.25">
      <c r="H2288" s="151" t="s">
        <v>4508</v>
      </c>
      <c r="I2288" s="151" t="s">
        <v>391</v>
      </c>
      <c r="J2288" s="151" t="s">
        <v>7622</v>
      </c>
      <c r="K2288" s="151">
        <f t="shared" si="65"/>
        <v>650000000001668</v>
      </c>
      <c r="L2288" s="151" t="s">
        <v>9021</v>
      </c>
    </row>
    <row r="2289" spans="8:12" x14ac:dyDescent="0.25">
      <c r="H2289" s="151" t="s">
        <v>6862</v>
      </c>
      <c r="I2289" s="151" t="s">
        <v>6962</v>
      </c>
      <c r="J2289" s="151" t="s">
        <v>6962</v>
      </c>
      <c r="K2289" s="151">
        <f t="shared" si="65"/>
        <v>0</v>
      </c>
      <c r="L2289" s="151" t="s">
        <v>9021</v>
      </c>
    </row>
    <row r="2290" spans="8:12" x14ac:dyDescent="0.25">
      <c r="H2290" s="151" t="s">
        <v>4509</v>
      </c>
      <c r="I2290" s="151" t="s">
        <v>6962</v>
      </c>
      <c r="J2290" s="151" t="s">
        <v>6962</v>
      </c>
      <c r="K2290" s="151">
        <f t="shared" si="65"/>
        <v>0</v>
      </c>
      <c r="L2290" s="151" t="s">
        <v>9021</v>
      </c>
    </row>
    <row r="2291" spans="8:12" x14ac:dyDescent="0.25">
      <c r="H2291" s="151" t="s">
        <v>4509</v>
      </c>
      <c r="I2291" s="151" t="s">
        <v>391</v>
      </c>
      <c r="J2291" s="151" t="s">
        <v>7623</v>
      </c>
      <c r="K2291" s="151">
        <f t="shared" si="65"/>
        <v>650000000000564</v>
      </c>
      <c r="L2291" s="151" t="s">
        <v>9021</v>
      </c>
    </row>
    <row r="2292" spans="8:12" x14ac:dyDescent="0.25">
      <c r="H2292" s="151" t="s">
        <v>4510</v>
      </c>
      <c r="I2292" s="151" t="s">
        <v>6962</v>
      </c>
      <c r="J2292" s="151" t="s">
        <v>6962</v>
      </c>
      <c r="K2292" s="151">
        <f t="shared" si="65"/>
        <v>0</v>
      </c>
      <c r="L2292" s="151" t="s">
        <v>9021</v>
      </c>
    </row>
    <row r="2293" spans="8:12" x14ac:dyDescent="0.25">
      <c r="H2293" s="151" t="s">
        <v>4510</v>
      </c>
      <c r="I2293" s="151" t="s">
        <v>391</v>
      </c>
      <c r="J2293" s="151" t="s">
        <v>7624</v>
      </c>
      <c r="K2293" s="151">
        <f t="shared" si="65"/>
        <v>650000000000565</v>
      </c>
      <c r="L2293" s="151" t="s">
        <v>9021</v>
      </c>
    </row>
    <row r="2294" spans="8:12" x14ac:dyDescent="0.25">
      <c r="H2294" s="151" t="s">
        <v>4511</v>
      </c>
      <c r="I2294" s="151" t="s">
        <v>6962</v>
      </c>
      <c r="J2294" s="151" t="s">
        <v>6962</v>
      </c>
      <c r="K2294" s="151">
        <f t="shared" si="65"/>
        <v>0</v>
      </c>
      <c r="L2294" s="151" t="s">
        <v>9021</v>
      </c>
    </row>
    <row r="2295" spans="8:12" x14ac:dyDescent="0.25">
      <c r="H2295" s="151" t="s">
        <v>4511</v>
      </c>
      <c r="I2295" s="151" t="s">
        <v>391</v>
      </c>
      <c r="J2295" s="151" t="s">
        <v>7625</v>
      </c>
      <c r="K2295" s="151">
        <f t="shared" si="65"/>
        <v>650000000000566</v>
      </c>
      <c r="L2295" s="151" t="s">
        <v>9021</v>
      </c>
    </row>
    <row r="2296" spans="8:12" x14ac:dyDescent="0.25">
      <c r="H2296" s="151" t="s">
        <v>4512</v>
      </c>
      <c r="I2296" s="151" t="s">
        <v>6962</v>
      </c>
      <c r="J2296" s="151" t="s">
        <v>6962</v>
      </c>
      <c r="K2296" s="151">
        <f t="shared" si="65"/>
        <v>0</v>
      </c>
      <c r="L2296" s="151" t="s">
        <v>9021</v>
      </c>
    </row>
    <row r="2297" spans="8:12" x14ac:dyDescent="0.25">
      <c r="H2297" s="151" t="s">
        <v>4512</v>
      </c>
      <c r="I2297" s="151" t="s">
        <v>391</v>
      </c>
      <c r="J2297" s="151" t="s">
        <v>7626</v>
      </c>
      <c r="K2297" s="151">
        <f t="shared" si="65"/>
        <v>650000000000567</v>
      </c>
      <c r="L2297" s="151" t="s">
        <v>9021</v>
      </c>
    </row>
    <row r="2298" spans="8:12" x14ac:dyDescent="0.25">
      <c r="H2298" s="151" t="s">
        <v>4513</v>
      </c>
      <c r="I2298" s="151" t="s">
        <v>6962</v>
      </c>
      <c r="J2298" s="151" t="s">
        <v>6962</v>
      </c>
      <c r="K2298" s="151">
        <f t="shared" si="65"/>
        <v>0</v>
      </c>
      <c r="L2298" s="151" t="s">
        <v>9021</v>
      </c>
    </row>
    <row r="2299" spans="8:12" x14ac:dyDescent="0.25">
      <c r="H2299" s="151" t="s">
        <v>4513</v>
      </c>
      <c r="I2299" s="151" t="s">
        <v>391</v>
      </c>
      <c r="J2299" s="151" t="s">
        <v>7627</v>
      </c>
      <c r="K2299" s="151">
        <f t="shared" si="65"/>
        <v>650000000000568</v>
      </c>
      <c r="L2299" s="151" t="s">
        <v>9021</v>
      </c>
    </row>
    <row r="2300" spans="8:12" x14ac:dyDescent="0.25">
      <c r="H2300" s="151" t="s">
        <v>4514</v>
      </c>
      <c r="I2300" s="151" t="s">
        <v>6962</v>
      </c>
      <c r="J2300" s="151" t="s">
        <v>6962</v>
      </c>
      <c r="K2300" s="151">
        <f t="shared" si="65"/>
        <v>0</v>
      </c>
      <c r="L2300" s="151" t="s">
        <v>9021</v>
      </c>
    </row>
    <row r="2301" spans="8:12" x14ac:dyDescent="0.25">
      <c r="H2301" s="151" t="s">
        <v>4514</v>
      </c>
      <c r="I2301" s="151" t="s">
        <v>391</v>
      </c>
      <c r="J2301" s="151" t="s">
        <v>7628</v>
      </c>
      <c r="K2301" s="151">
        <f t="shared" si="65"/>
        <v>650000000000569</v>
      </c>
      <c r="L2301" s="151" t="s">
        <v>9021</v>
      </c>
    </row>
    <row r="2302" spans="8:12" x14ac:dyDescent="0.25">
      <c r="H2302" s="151" t="s">
        <v>4515</v>
      </c>
      <c r="I2302" s="151" t="s">
        <v>6962</v>
      </c>
      <c r="J2302" s="151" t="s">
        <v>6962</v>
      </c>
      <c r="K2302" s="151">
        <f t="shared" si="65"/>
        <v>0</v>
      </c>
      <c r="L2302" s="151" t="s">
        <v>9021</v>
      </c>
    </row>
    <row r="2303" spans="8:12" x14ac:dyDescent="0.25">
      <c r="H2303" s="151" t="s">
        <v>4515</v>
      </c>
      <c r="I2303" s="151" t="s">
        <v>391</v>
      </c>
      <c r="J2303" s="151" t="s">
        <v>7629</v>
      </c>
      <c r="K2303" s="151">
        <f t="shared" si="65"/>
        <v>650000000001669</v>
      </c>
      <c r="L2303" s="151" t="s">
        <v>9021</v>
      </c>
    </row>
    <row r="2304" spans="8:12" x14ac:dyDescent="0.25">
      <c r="H2304" s="151" t="s">
        <v>4516</v>
      </c>
      <c r="I2304" s="151" t="s">
        <v>6962</v>
      </c>
      <c r="J2304" s="151" t="s">
        <v>6962</v>
      </c>
      <c r="K2304" s="151">
        <f t="shared" si="65"/>
        <v>0</v>
      </c>
      <c r="L2304" s="151" t="s">
        <v>9021</v>
      </c>
    </row>
    <row r="2305" spans="8:12" x14ac:dyDescent="0.25">
      <c r="H2305" s="151" t="s">
        <v>4516</v>
      </c>
      <c r="I2305" s="151" t="s">
        <v>391</v>
      </c>
      <c r="J2305" s="151" t="s">
        <v>7630</v>
      </c>
      <c r="K2305" s="151">
        <f t="shared" si="65"/>
        <v>650000000001670</v>
      </c>
      <c r="L2305" s="151" t="s">
        <v>9021</v>
      </c>
    </row>
    <row r="2306" spans="8:12" x14ac:dyDescent="0.25">
      <c r="H2306" s="151" t="s">
        <v>4517</v>
      </c>
      <c r="I2306" s="151" t="s">
        <v>6962</v>
      </c>
      <c r="J2306" s="151" t="s">
        <v>6962</v>
      </c>
      <c r="K2306" s="151">
        <f t="shared" si="65"/>
        <v>0</v>
      </c>
      <c r="L2306" s="151" t="s">
        <v>9021</v>
      </c>
    </row>
    <row r="2307" spans="8:12" x14ac:dyDescent="0.25">
      <c r="H2307" s="151" t="s">
        <v>4517</v>
      </c>
      <c r="I2307" s="151" t="s">
        <v>391</v>
      </c>
      <c r="J2307" s="151" t="s">
        <v>7631</v>
      </c>
      <c r="K2307" s="151">
        <f t="shared" ref="K2307:K2370" si="66">+IFERROR(J2307*1,0)</f>
        <v>650000000000570</v>
      </c>
      <c r="L2307" s="151" t="s">
        <v>9021</v>
      </c>
    </row>
    <row r="2308" spans="8:12" x14ac:dyDescent="0.25">
      <c r="H2308" s="151" t="s">
        <v>4518</v>
      </c>
      <c r="I2308" s="151" t="s">
        <v>6962</v>
      </c>
      <c r="J2308" s="151" t="s">
        <v>6962</v>
      </c>
      <c r="K2308" s="151">
        <f t="shared" si="66"/>
        <v>0</v>
      </c>
      <c r="L2308" s="151" t="s">
        <v>9021</v>
      </c>
    </row>
    <row r="2309" spans="8:12" x14ac:dyDescent="0.25">
      <c r="H2309" s="151" t="s">
        <v>4518</v>
      </c>
      <c r="I2309" s="151" t="s">
        <v>391</v>
      </c>
      <c r="J2309" s="151" t="s">
        <v>7632</v>
      </c>
      <c r="K2309" s="151">
        <f t="shared" si="66"/>
        <v>650000000000571</v>
      </c>
      <c r="L2309" s="151" t="s">
        <v>9021</v>
      </c>
    </row>
    <row r="2310" spans="8:12" x14ac:dyDescent="0.25">
      <c r="H2310" s="151" t="s">
        <v>4519</v>
      </c>
      <c r="I2310" s="151" t="s">
        <v>6962</v>
      </c>
      <c r="J2310" s="151" t="s">
        <v>6962</v>
      </c>
      <c r="K2310" s="151">
        <f t="shared" si="66"/>
        <v>0</v>
      </c>
      <c r="L2310" s="151" t="s">
        <v>9021</v>
      </c>
    </row>
    <row r="2311" spans="8:12" x14ac:dyDescent="0.25">
      <c r="H2311" s="151" t="s">
        <v>4519</v>
      </c>
      <c r="I2311" s="151" t="s">
        <v>391</v>
      </c>
      <c r="J2311" s="151" t="s">
        <v>7633</v>
      </c>
      <c r="K2311" s="151">
        <f t="shared" si="66"/>
        <v>650000000001671</v>
      </c>
      <c r="L2311" s="151" t="s">
        <v>9021</v>
      </c>
    </row>
    <row r="2312" spans="8:12" x14ac:dyDescent="0.25">
      <c r="H2312" s="151" t="s">
        <v>4520</v>
      </c>
      <c r="I2312" s="151" t="s">
        <v>6962</v>
      </c>
      <c r="J2312" s="151" t="s">
        <v>6962</v>
      </c>
      <c r="K2312" s="151">
        <f t="shared" si="66"/>
        <v>0</v>
      </c>
      <c r="L2312" s="151" t="s">
        <v>9021</v>
      </c>
    </row>
    <row r="2313" spans="8:12" x14ac:dyDescent="0.25">
      <c r="H2313" s="151" t="s">
        <v>4520</v>
      </c>
      <c r="I2313" s="151" t="s">
        <v>391</v>
      </c>
      <c r="J2313" s="151" t="s">
        <v>7634</v>
      </c>
      <c r="K2313" s="151">
        <f t="shared" si="66"/>
        <v>650000000001672</v>
      </c>
      <c r="L2313" s="151" t="s">
        <v>9021</v>
      </c>
    </row>
    <row r="2314" spans="8:12" x14ac:dyDescent="0.25">
      <c r="H2314" s="151" t="s">
        <v>4521</v>
      </c>
      <c r="I2314" s="151" t="s">
        <v>6962</v>
      </c>
      <c r="J2314" s="151" t="s">
        <v>6962</v>
      </c>
      <c r="K2314" s="151">
        <f t="shared" si="66"/>
        <v>0</v>
      </c>
      <c r="L2314" s="151" t="s">
        <v>9021</v>
      </c>
    </row>
    <row r="2315" spans="8:12" x14ac:dyDescent="0.25">
      <c r="H2315" s="151" t="s">
        <v>4521</v>
      </c>
      <c r="I2315" s="151" t="s">
        <v>391</v>
      </c>
      <c r="J2315" s="151" t="s">
        <v>7635</v>
      </c>
      <c r="K2315" s="151">
        <f t="shared" si="66"/>
        <v>650000000001673</v>
      </c>
      <c r="L2315" s="151" t="s">
        <v>9021</v>
      </c>
    </row>
    <row r="2316" spans="8:12" x14ac:dyDescent="0.25">
      <c r="H2316" s="151" t="s">
        <v>4522</v>
      </c>
      <c r="I2316" s="151" t="s">
        <v>6962</v>
      </c>
      <c r="J2316" s="151" t="s">
        <v>6962</v>
      </c>
      <c r="K2316" s="151">
        <f t="shared" si="66"/>
        <v>0</v>
      </c>
      <c r="L2316" s="151" t="s">
        <v>9021</v>
      </c>
    </row>
    <row r="2317" spans="8:12" x14ac:dyDescent="0.25">
      <c r="H2317" s="151" t="s">
        <v>4522</v>
      </c>
      <c r="I2317" s="151" t="s">
        <v>391</v>
      </c>
      <c r="J2317" s="151" t="s">
        <v>7636</v>
      </c>
      <c r="K2317" s="151">
        <f t="shared" si="66"/>
        <v>650000000000572</v>
      </c>
      <c r="L2317" s="151" t="s">
        <v>9021</v>
      </c>
    </row>
    <row r="2318" spans="8:12" x14ac:dyDescent="0.25">
      <c r="H2318" s="151" t="s">
        <v>4523</v>
      </c>
      <c r="I2318" s="151" t="s">
        <v>6962</v>
      </c>
      <c r="J2318" s="151" t="s">
        <v>6962</v>
      </c>
      <c r="K2318" s="151">
        <f t="shared" si="66"/>
        <v>0</v>
      </c>
      <c r="L2318" s="151" t="s">
        <v>9021</v>
      </c>
    </row>
    <row r="2319" spans="8:12" x14ac:dyDescent="0.25">
      <c r="H2319" s="151" t="s">
        <v>4523</v>
      </c>
      <c r="I2319" s="151" t="s">
        <v>391</v>
      </c>
      <c r="J2319" s="151" t="s">
        <v>7637</v>
      </c>
      <c r="K2319" s="151">
        <f t="shared" si="66"/>
        <v>650000000001674</v>
      </c>
      <c r="L2319" s="151" t="s">
        <v>9021</v>
      </c>
    </row>
    <row r="2320" spans="8:12" x14ac:dyDescent="0.25">
      <c r="H2320" s="151" t="s">
        <v>4524</v>
      </c>
      <c r="I2320" s="151" t="s">
        <v>6962</v>
      </c>
      <c r="J2320" s="151" t="s">
        <v>6962</v>
      </c>
      <c r="K2320" s="151">
        <f t="shared" si="66"/>
        <v>0</v>
      </c>
      <c r="L2320" s="151" t="s">
        <v>9021</v>
      </c>
    </row>
    <row r="2321" spans="8:12" x14ac:dyDescent="0.25">
      <c r="H2321" s="151" t="s">
        <v>4524</v>
      </c>
      <c r="I2321" s="151" t="s">
        <v>391</v>
      </c>
      <c r="J2321" s="151" t="s">
        <v>7638</v>
      </c>
      <c r="K2321" s="151">
        <f t="shared" si="66"/>
        <v>650000000000573</v>
      </c>
      <c r="L2321" s="151" t="s">
        <v>9021</v>
      </c>
    </row>
    <row r="2322" spans="8:12" x14ac:dyDescent="0.25">
      <c r="H2322" s="151" t="s">
        <v>4525</v>
      </c>
      <c r="I2322" s="151" t="s">
        <v>6962</v>
      </c>
      <c r="J2322" s="151" t="s">
        <v>6962</v>
      </c>
      <c r="K2322" s="151">
        <f t="shared" si="66"/>
        <v>0</v>
      </c>
      <c r="L2322" s="151" t="s">
        <v>9021</v>
      </c>
    </row>
    <row r="2323" spans="8:12" x14ac:dyDescent="0.25">
      <c r="H2323" s="151" t="s">
        <v>4525</v>
      </c>
      <c r="I2323" s="151" t="s">
        <v>391</v>
      </c>
      <c r="J2323" s="151" t="s">
        <v>7639</v>
      </c>
      <c r="K2323" s="151">
        <f t="shared" si="66"/>
        <v>650000000000574</v>
      </c>
      <c r="L2323" s="151" t="s">
        <v>9021</v>
      </c>
    </row>
    <row r="2324" spans="8:12" x14ac:dyDescent="0.25">
      <c r="H2324" s="151" t="s">
        <v>4526</v>
      </c>
      <c r="I2324" s="151" t="s">
        <v>6962</v>
      </c>
      <c r="J2324" s="151" t="s">
        <v>6962</v>
      </c>
      <c r="K2324" s="151">
        <f t="shared" si="66"/>
        <v>0</v>
      </c>
      <c r="L2324" s="151" t="s">
        <v>9026</v>
      </c>
    </row>
    <row r="2325" spans="8:12" x14ac:dyDescent="0.25">
      <c r="H2325" s="151" t="s">
        <v>4526</v>
      </c>
      <c r="I2325" s="151" t="s">
        <v>391</v>
      </c>
      <c r="J2325" s="151" t="s">
        <v>7640</v>
      </c>
      <c r="K2325" s="151">
        <f t="shared" si="66"/>
        <v>650000000000575</v>
      </c>
      <c r="L2325" s="151" t="s">
        <v>9026</v>
      </c>
    </row>
    <row r="2326" spans="8:12" x14ac:dyDescent="0.25">
      <c r="H2326" s="151" t="s">
        <v>4527</v>
      </c>
      <c r="I2326" s="151" t="s">
        <v>6962</v>
      </c>
      <c r="J2326" s="151" t="s">
        <v>6962</v>
      </c>
      <c r="K2326" s="151">
        <f t="shared" si="66"/>
        <v>0</v>
      </c>
      <c r="L2326" s="151" t="s">
        <v>9025</v>
      </c>
    </row>
    <row r="2327" spans="8:12" x14ac:dyDescent="0.25">
      <c r="H2327" s="151" t="s">
        <v>4527</v>
      </c>
      <c r="I2327" s="151" t="s">
        <v>391</v>
      </c>
      <c r="J2327" s="151" t="s">
        <v>7641</v>
      </c>
      <c r="K2327" s="151">
        <f t="shared" si="66"/>
        <v>650000000000576</v>
      </c>
      <c r="L2327" s="151" t="s">
        <v>9025</v>
      </c>
    </row>
    <row r="2328" spans="8:12" x14ac:dyDescent="0.25">
      <c r="H2328" s="151" t="s">
        <v>4528</v>
      </c>
      <c r="I2328" s="151" t="s">
        <v>6962</v>
      </c>
      <c r="J2328" s="151" t="s">
        <v>6962</v>
      </c>
      <c r="K2328" s="151">
        <f t="shared" si="66"/>
        <v>0</v>
      </c>
      <c r="L2328" s="151" t="s">
        <v>9021</v>
      </c>
    </row>
    <row r="2329" spans="8:12" x14ac:dyDescent="0.25">
      <c r="H2329" s="151" t="s">
        <v>4528</v>
      </c>
      <c r="I2329" s="151" t="s">
        <v>391</v>
      </c>
      <c r="J2329" s="151" t="s">
        <v>7642</v>
      </c>
      <c r="K2329" s="151">
        <f t="shared" si="66"/>
        <v>650000000000577</v>
      </c>
      <c r="L2329" s="151" t="s">
        <v>9021</v>
      </c>
    </row>
    <row r="2330" spans="8:12" x14ac:dyDescent="0.25">
      <c r="H2330" s="151" t="s">
        <v>4529</v>
      </c>
      <c r="I2330" s="151" t="s">
        <v>6962</v>
      </c>
      <c r="J2330" s="151" t="s">
        <v>6962</v>
      </c>
      <c r="K2330" s="151">
        <f t="shared" si="66"/>
        <v>0</v>
      </c>
      <c r="L2330" s="151" t="s">
        <v>9026</v>
      </c>
    </row>
    <row r="2331" spans="8:12" x14ac:dyDescent="0.25">
      <c r="H2331" s="151" t="s">
        <v>4529</v>
      </c>
      <c r="I2331" s="151" t="s">
        <v>391</v>
      </c>
      <c r="J2331" s="151" t="s">
        <v>7643</v>
      </c>
      <c r="K2331" s="151">
        <f t="shared" si="66"/>
        <v>650000000000578</v>
      </c>
      <c r="L2331" s="151" t="s">
        <v>9026</v>
      </c>
    </row>
    <row r="2332" spans="8:12" x14ac:dyDescent="0.25">
      <c r="H2332" s="151" t="s">
        <v>4530</v>
      </c>
      <c r="I2332" s="151" t="s">
        <v>6962</v>
      </c>
      <c r="J2332" s="151" t="s">
        <v>6962</v>
      </c>
      <c r="K2332" s="151">
        <f t="shared" si="66"/>
        <v>0</v>
      </c>
      <c r="L2332" s="151" t="s">
        <v>9025</v>
      </c>
    </row>
    <row r="2333" spans="8:12" x14ac:dyDescent="0.25">
      <c r="H2333" s="151" t="s">
        <v>4530</v>
      </c>
      <c r="I2333" s="151" t="s">
        <v>391</v>
      </c>
      <c r="J2333" s="151" t="s">
        <v>7644</v>
      </c>
      <c r="K2333" s="151">
        <f t="shared" si="66"/>
        <v>650000000000579</v>
      </c>
      <c r="L2333" s="151" t="s">
        <v>9025</v>
      </c>
    </row>
    <row r="2334" spans="8:12" x14ac:dyDescent="0.25">
      <c r="H2334" s="151" t="s">
        <v>4531</v>
      </c>
      <c r="I2334" s="151" t="s">
        <v>6962</v>
      </c>
      <c r="J2334" s="151" t="s">
        <v>6962</v>
      </c>
      <c r="K2334" s="151">
        <f t="shared" si="66"/>
        <v>0</v>
      </c>
      <c r="L2334" s="151" t="s">
        <v>9021</v>
      </c>
    </row>
    <row r="2335" spans="8:12" x14ac:dyDescent="0.25">
      <c r="H2335" s="151" t="s">
        <v>4531</v>
      </c>
      <c r="I2335" s="151" t="s">
        <v>391</v>
      </c>
      <c r="J2335" s="151" t="s">
        <v>7645</v>
      </c>
      <c r="K2335" s="151">
        <f t="shared" si="66"/>
        <v>650000000000580</v>
      </c>
      <c r="L2335" s="151" t="s">
        <v>9021</v>
      </c>
    </row>
    <row r="2336" spans="8:12" x14ac:dyDescent="0.25">
      <c r="H2336" s="151" t="s">
        <v>4532</v>
      </c>
      <c r="I2336" s="151" t="s">
        <v>6962</v>
      </c>
      <c r="J2336" s="151" t="s">
        <v>6962</v>
      </c>
      <c r="K2336" s="151">
        <f t="shared" si="66"/>
        <v>0</v>
      </c>
      <c r="L2336" s="151" t="s">
        <v>9021</v>
      </c>
    </row>
    <row r="2337" spans="8:12" x14ac:dyDescent="0.25">
      <c r="H2337" s="151" t="s">
        <v>4532</v>
      </c>
      <c r="I2337" s="151" t="s">
        <v>391</v>
      </c>
      <c r="J2337" s="151" t="s">
        <v>7646</v>
      </c>
      <c r="K2337" s="151">
        <f t="shared" si="66"/>
        <v>650000000000581</v>
      </c>
      <c r="L2337" s="151" t="s">
        <v>9021</v>
      </c>
    </row>
    <row r="2338" spans="8:12" x14ac:dyDescent="0.25">
      <c r="H2338" s="151" t="s">
        <v>4533</v>
      </c>
      <c r="I2338" s="151" t="s">
        <v>6962</v>
      </c>
      <c r="J2338" s="151" t="s">
        <v>6962</v>
      </c>
      <c r="K2338" s="151">
        <f t="shared" si="66"/>
        <v>0</v>
      </c>
      <c r="L2338" s="151" t="s">
        <v>9021</v>
      </c>
    </row>
    <row r="2339" spans="8:12" x14ac:dyDescent="0.25">
      <c r="H2339" s="151" t="s">
        <v>4533</v>
      </c>
      <c r="I2339" s="151" t="s">
        <v>391</v>
      </c>
      <c r="J2339" s="151" t="s">
        <v>7647</v>
      </c>
      <c r="K2339" s="151">
        <f t="shared" si="66"/>
        <v>650000000000582</v>
      </c>
      <c r="L2339" s="151" t="s">
        <v>9021</v>
      </c>
    </row>
    <row r="2340" spans="8:12" x14ac:dyDescent="0.25">
      <c r="H2340" s="151" t="s">
        <v>4534</v>
      </c>
      <c r="I2340" s="151" t="s">
        <v>6962</v>
      </c>
      <c r="J2340" s="151" t="s">
        <v>6962</v>
      </c>
      <c r="K2340" s="151">
        <f t="shared" si="66"/>
        <v>0</v>
      </c>
      <c r="L2340" s="151" t="s">
        <v>9021</v>
      </c>
    </row>
    <row r="2341" spans="8:12" x14ac:dyDescent="0.25">
      <c r="H2341" s="151" t="s">
        <v>4534</v>
      </c>
      <c r="I2341" s="151" t="s">
        <v>391</v>
      </c>
      <c r="J2341" s="151" t="s">
        <v>7648</v>
      </c>
      <c r="K2341" s="151">
        <f t="shared" si="66"/>
        <v>650000000000583</v>
      </c>
      <c r="L2341" s="151" t="s">
        <v>9021</v>
      </c>
    </row>
    <row r="2342" spans="8:12" x14ac:dyDescent="0.25">
      <c r="H2342" s="151" t="s">
        <v>4535</v>
      </c>
      <c r="I2342" s="151" t="s">
        <v>6962</v>
      </c>
      <c r="J2342" s="151" t="s">
        <v>6962</v>
      </c>
      <c r="K2342" s="151">
        <f t="shared" si="66"/>
        <v>0</v>
      </c>
      <c r="L2342" s="151" t="s">
        <v>9021</v>
      </c>
    </row>
    <row r="2343" spans="8:12" x14ac:dyDescent="0.25">
      <c r="H2343" s="151" t="s">
        <v>4535</v>
      </c>
      <c r="I2343" s="151" t="s">
        <v>391</v>
      </c>
      <c r="J2343" s="151" t="s">
        <v>7649</v>
      </c>
      <c r="K2343" s="151">
        <f t="shared" si="66"/>
        <v>650000000000584</v>
      </c>
      <c r="L2343" s="151" t="s">
        <v>9021</v>
      </c>
    </row>
    <row r="2344" spans="8:12" x14ac:dyDescent="0.25">
      <c r="H2344" s="151" t="s">
        <v>4536</v>
      </c>
      <c r="I2344" s="151" t="s">
        <v>6962</v>
      </c>
      <c r="J2344" s="151" t="s">
        <v>6962</v>
      </c>
      <c r="K2344" s="151">
        <f t="shared" si="66"/>
        <v>0</v>
      </c>
      <c r="L2344" s="151" t="s">
        <v>9021</v>
      </c>
    </row>
    <row r="2345" spans="8:12" x14ac:dyDescent="0.25">
      <c r="H2345" s="151" t="s">
        <v>4536</v>
      </c>
      <c r="I2345" s="151" t="s">
        <v>391</v>
      </c>
      <c r="J2345" s="151" t="s">
        <v>7650</v>
      </c>
      <c r="K2345" s="151">
        <f t="shared" si="66"/>
        <v>650000000001675</v>
      </c>
      <c r="L2345" s="151" t="s">
        <v>9021</v>
      </c>
    </row>
    <row r="2346" spans="8:12" x14ac:dyDescent="0.25">
      <c r="H2346" s="151" t="s">
        <v>4537</v>
      </c>
      <c r="I2346" s="151" t="s">
        <v>6962</v>
      </c>
      <c r="J2346" s="151" t="s">
        <v>6962</v>
      </c>
      <c r="K2346" s="151">
        <f t="shared" si="66"/>
        <v>0</v>
      </c>
      <c r="L2346" s="151" t="s">
        <v>9021</v>
      </c>
    </row>
    <row r="2347" spans="8:12" x14ac:dyDescent="0.25">
      <c r="H2347" s="151" t="s">
        <v>4537</v>
      </c>
      <c r="I2347" s="151" t="s">
        <v>391</v>
      </c>
      <c r="J2347" s="151" t="s">
        <v>7651</v>
      </c>
      <c r="K2347" s="151">
        <f t="shared" si="66"/>
        <v>650000000001676</v>
      </c>
      <c r="L2347" s="151" t="s">
        <v>9021</v>
      </c>
    </row>
    <row r="2348" spans="8:12" x14ac:dyDescent="0.25">
      <c r="H2348" s="151" t="s">
        <v>4538</v>
      </c>
      <c r="I2348" s="151" t="s">
        <v>6962</v>
      </c>
      <c r="J2348" s="151" t="s">
        <v>6962</v>
      </c>
      <c r="K2348" s="151">
        <f t="shared" si="66"/>
        <v>0</v>
      </c>
      <c r="L2348" s="151" t="s">
        <v>9021</v>
      </c>
    </row>
    <row r="2349" spans="8:12" x14ac:dyDescent="0.25">
      <c r="H2349" s="151" t="s">
        <v>4538</v>
      </c>
      <c r="I2349" s="151" t="s">
        <v>391</v>
      </c>
      <c r="J2349" s="151" t="s">
        <v>7652</v>
      </c>
      <c r="K2349" s="151">
        <f t="shared" si="66"/>
        <v>650000000001677</v>
      </c>
      <c r="L2349" s="151" t="s">
        <v>9021</v>
      </c>
    </row>
    <row r="2350" spans="8:12" x14ac:dyDescent="0.25">
      <c r="H2350" s="151" t="s">
        <v>4539</v>
      </c>
      <c r="I2350" s="151" t="s">
        <v>6962</v>
      </c>
      <c r="J2350" s="151" t="s">
        <v>6962</v>
      </c>
      <c r="K2350" s="151">
        <f t="shared" si="66"/>
        <v>0</v>
      </c>
      <c r="L2350" s="151" t="s">
        <v>9021</v>
      </c>
    </row>
    <row r="2351" spans="8:12" x14ac:dyDescent="0.25">
      <c r="H2351" s="151" t="s">
        <v>4539</v>
      </c>
      <c r="I2351" s="151" t="s">
        <v>391</v>
      </c>
      <c r="J2351" s="151" t="s">
        <v>7653</v>
      </c>
      <c r="K2351" s="151">
        <f t="shared" si="66"/>
        <v>650000000000585</v>
      </c>
      <c r="L2351" s="151" t="s">
        <v>9021</v>
      </c>
    </row>
    <row r="2352" spans="8:12" x14ac:dyDescent="0.25">
      <c r="H2352" s="151" t="s">
        <v>6863</v>
      </c>
      <c r="I2352" s="151" t="s">
        <v>6962</v>
      </c>
      <c r="J2352" s="151" t="s">
        <v>6962</v>
      </c>
      <c r="K2352" s="151">
        <f t="shared" si="66"/>
        <v>0</v>
      </c>
      <c r="L2352" s="151" t="s">
        <v>9021</v>
      </c>
    </row>
    <row r="2353" spans="8:12" x14ac:dyDescent="0.25">
      <c r="H2353" s="151" t="s">
        <v>4540</v>
      </c>
      <c r="I2353" s="151" t="s">
        <v>6962</v>
      </c>
      <c r="J2353" s="151" t="s">
        <v>6962</v>
      </c>
      <c r="K2353" s="151">
        <f t="shared" si="66"/>
        <v>0</v>
      </c>
      <c r="L2353" s="151" t="s">
        <v>9021</v>
      </c>
    </row>
    <row r="2354" spans="8:12" x14ac:dyDescent="0.25">
      <c r="H2354" s="151" t="s">
        <v>4540</v>
      </c>
      <c r="I2354" s="151" t="s">
        <v>391</v>
      </c>
      <c r="J2354" s="151" t="s">
        <v>7654</v>
      </c>
      <c r="K2354" s="151">
        <f t="shared" si="66"/>
        <v>650000000001678</v>
      </c>
      <c r="L2354" s="151" t="s">
        <v>9021</v>
      </c>
    </row>
    <row r="2355" spans="8:12" x14ac:dyDescent="0.25">
      <c r="H2355" s="151" t="s">
        <v>4541</v>
      </c>
      <c r="I2355" s="151" t="s">
        <v>6962</v>
      </c>
      <c r="J2355" s="151" t="s">
        <v>6962</v>
      </c>
      <c r="K2355" s="151">
        <f t="shared" si="66"/>
        <v>0</v>
      </c>
      <c r="L2355" s="151" t="s">
        <v>9021</v>
      </c>
    </row>
    <row r="2356" spans="8:12" x14ac:dyDescent="0.25">
      <c r="H2356" s="151" t="s">
        <v>4541</v>
      </c>
      <c r="I2356" s="151" t="s">
        <v>391</v>
      </c>
      <c r="J2356" s="151" t="s">
        <v>7655</v>
      </c>
      <c r="K2356" s="151">
        <f t="shared" si="66"/>
        <v>650000000001679</v>
      </c>
      <c r="L2356" s="151" t="s">
        <v>9021</v>
      </c>
    </row>
    <row r="2357" spans="8:12" x14ac:dyDescent="0.25">
      <c r="H2357" s="151" t="s">
        <v>4542</v>
      </c>
      <c r="I2357" s="151" t="s">
        <v>6962</v>
      </c>
      <c r="J2357" s="151" t="s">
        <v>6962</v>
      </c>
      <c r="K2357" s="151">
        <f t="shared" si="66"/>
        <v>0</v>
      </c>
      <c r="L2357" s="151" t="s">
        <v>9021</v>
      </c>
    </row>
    <row r="2358" spans="8:12" x14ac:dyDescent="0.25">
      <c r="H2358" s="151" t="s">
        <v>4542</v>
      </c>
      <c r="I2358" s="151" t="s">
        <v>391</v>
      </c>
      <c r="J2358" s="151" t="s">
        <v>7656</v>
      </c>
      <c r="K2358" s="151">
        <f t="shared" si="66"/>
        <v>650000000000586</v>
      </c>
      <c r="L2358" s="151" t="s">
        <v>9021</v>
      </c>
    </row>
    <row r="2359" spans="8:12" x14ac:dyDescent="0.25">
      <c r="H2359" s="151" t="s">
        <v>6864</v>
      </c>
      <c r="I2359" s="151" t="s">
        <v>6962</v>
      </c>
      <c r="J2359" s="151" t="s">
        <v>6962</v>
      </c>
      <c r="K2359" s="151">
        <f t="shared" si="66"/>
        <v>0</v>
      </c>
      <c r="L2359" s="151" t="s">
        <v>9021</v>
      </c>
    </row>
    <row r="2360" spans="8:12" x14ac:dyDescent="0.25">
      <c r="H2360" s="151" t="s">
        <v>4543</v>
      </c>
      <c r="I2360" s="151" t="s">
        <v>6962</v>
      </c>
      <c r="J2360" s="151" t="s">
        <v>6962</v>
      </c>
      <c r="K2360" s="151">
        <f t="shared" si="66"/>
        <v>0</v>
      </c>
      <c r="L2360" s="151" t="s">
        <v>9021</v>
      </c>
    </row>
    <row r="2361" spans="8:12" x14ac:dyDescent="0.25">
      <c r="H2361" s="151" t="s">
        <v>4543</v>
      </c>
      <c r="I2361" s="151" t="s">
        <v>391</v>
      </c>
      <c r="J2361" s="151" t="s">
        <v>7657</v>
      </c>
      <c r="K2361" s="151">
        <f t="shared" si="66"/>
        <v>650000000001680</v>
      </c>
      <c r="L2361" s="151" t="s">
        <v>9021</v>
      </c>
    </row>
    <row r="2362" spans="8:12" x14ac:dyDescent="0.25">
      <c r="H2362" s="151" t="s">
        <v>4544</v>
      </c>
      <c r="I2362" s="151" t="s">
        <v>6962</v>
      </c>
      <c r="J2362" s="151" t="s">
        <v>6962</v>
      </c>
      <c r="K2362" s="151">
        <f t="shared" si="66"/>
        <v>0</v>
      </c>
      <c r="L2362" s="151" t="s">
        <v>9021</v>
      </c>
    </row>
    <row r="2363" spans="8:12" x14ac:dyDescent="0.25">
      <c r="H2363" s="151" t="s">
        <v>4544</v>
      </c>
      <c r="I2363" s="151" t="s">
        <v>391</v>
      </c>
      <c r="J2363" s="151" t="s">
        <v>7658</v>
      </c>
      <c r="K2363" s="151">
        <f t="shared" si="66"/>
        <v>650000000001681</v>
      </c>
      <c r="L2363" s="151" t="s">
        <v>9021</v>
      </c>
    </row>
    <row r="2364" spans="8:12" x14ac:dyDescent="0.25">
      <c r="H2364" s="151" t="s">
        <v>4545</v>
      </c>
      <c r="I2364" s="151" t="s">
        <v>6962</v>
      </c>
      <c r="J2364" s="151" t="s">
        <v>6962</v>
      </c>
      <c r="K2364" s="151">
        <f t="shared" si="66"/>
        <v>0</v>
      </c>
      <c r="L2364" s="151" t="s">
        <v>9021</v>
      </c>
    </row>
    <row r="2365" spans="8:12" x14ac:dyDescent="0.25">
      <c r="H2365" s="151" t="s">
        <v>4545</v>
      </c>
      <c r="I2365" s="151" t="s">
        <v>391</v>
      </c>
      <c r="J2365" s="151" t="s">
        <v>7659</v>
      </c>
      <c r="K2365" s="151">
        <f t="shared" si="66"/>
        <v>650000000000587</v>
      </c>
      <c r="L2365" s="151" t="s">
        <v>9021</v>
      </c>
    </row>
    <row r="2366" spans="8:12" x14ac:dyDescent="0.25">
      <c r="H2366" s="151" t="s">
        <v>4546</v>
      </c>
      <c r="I2366" s="151" t="s">
        <v>6962</v>
      </c>
      <c r="J2366" s="151" t="s">
        <v>6962</v>
      </c>
      <c r="K2366" s="151">
        <f t="shared" si="66"/>
        <v>0</v>
      </c>
      <c r="L2366" s="151" t="s">
        <v>9021</v>
      </c>
    </row>
    <row r="2367" spans="8:12" x14ac:dyDescent="0.25">
      <c r="H2367" s="151" t="s">
        <v>4546</v>
      </c>
      <c r="I2367" s="151" t="s">
        <v>391</v>
      </c>
      <c r="J2367" s="151" t="s">
        <v>7660</v>
      </c>
      <c r="K2367" s="151">
        <f t="shared" si="66"/>
        <v>650000000001682</v>
      </c>
      <c r="L2367" s="151" t="s">
        <v>9021</v>
      </c>
    </row>
    <row r="2368" spans="8:12" x14ac:dyDescent="0.25">
      <c r="H2368" s="151" t="s">
        <v>4547</v>
      </c>
      <c r="I2368" s="151" t="s">
        <v>6962</v>
      </c>
      <c r="J2368" s="151" t="s">
        <v>6962</v>
      </c>
      <c r="K2368" s="151">
        <f t="shared" si="66"/>
        <v>0</v>
      </c>
      <c r="L2368" s="151" t="s">
        <v>9021</v>
      </c>
    </row>
    <row r="2369" spans="8:12" x14ac:dyDescent="0.25">
      <c r="H2369" s="151" t="s">
        <v>4547</v>
      </c>
      <c r="I2369" s="151" t="s">
        <v>391</v>
      </c>
      <c r="J2369" s="151" t="s">
        <v>7661</v>
      </c>
      <c r="K2369" s="151">
        <f t="shared" si="66"/>
        <v>650000000001683</v>
      </c>
      <c r="L2369" s="151" t="s">
        <v>9021</v>
      </c>
    </row>
    <row r="2370" spans="8:12" x14ac:dyDescent="0.25">
      <c r="H2370" s="151" t="s">
        <v>4548</v>
      </c>
      <c r="I2370" s="151" t="s">
        <v>6962</v>
      </c>
      <c r="J2370" s="151" t="s">
        <v>6962</v>
      </c>
      <c r="K2370" s="151">
        <f t="shared" si="66"/>
        <v>0</v>
      </c>
      <c r="L2370" s="151" t="s">
        <v>9021</v>
      </c>
    </row>
    <row r="2371" spans="8:12" x14ac:dyDescent="0.25">
      <c r="H2371" s="151" t="s">
        <v>4548</v>
      </c>
      <c r="I2371" s="151" t="s">
        <v>391</v>
      </c>
      <c r="J2371" s="151" t="s">
        <v>7662</v>
      </c>
      <c r="K2371" s="151">
        <f t="shared" ref="K2371:K2434" si="67">+IFERROR(J2371*1,0)</f>
        <v>650000000000588</v>
      </c>
      <c r="L2371" s="151" t="s">
        <v>9021</v>
      </c>
    </row>
    <row r="2372" spans="8:12" x14ac:dyDescent="0.25">
      <c r="H2372" s="151" t="s">
        <v>4549</v>
      </c>
      <c r="I2372" s="151" t="s">
        <v>6962</v>
      </c>
      <c r="J2372" s="151" t="s">
        <v>6962</v>
      </c>
      <c r="K2372" s="151">
        <f t="shared" si="67"/>
        <v>0</v>
      </c>
      <c r="L2372" s="151" t="s">
        <v>9021</v>
      </c>
    </row>
    <row r="2373" spans="8:12" x14ac:dyDescent="0.25">
      <c r="H2373" s="151" t="s">
        <v>4549</v>
      </c>
      <c r="I2373" s="151" t="s">
        <v>391</v>
      </c>
      <c r="J2373" s="151" t="s">
        <v>7663</v>
      </c>
      <c r="K2373" s="151">
        <f t="shared" si="67"/>
        <v>650000000001684</v>
      </c>
      <c r="L2373" s="151" t="s">
        <v>9021</v>
      </c>
    </row>
    <row r="2374" spans="8:12" x14ac:dyDescent="0.25">
      <c r="H2374" s="151" t="s">
        <v>4550</v>
      </c>
      <c r="I2374" s="151" t="s">
        <v>6962</v>
      </c>
      <c r="J2374" s="151" t="s">
        <v>6962</v>
      </c>
      <c r="K2374" s="151">
        <f t="shared" si="67"/>
        <v>0</v>
      </c>
      <c r="L2374" s="151" t="s">
        <v>9021</v>
      </c>
    </row>
    <row r="2375" spans="8:12" x14ac:dyDescent="0.25">
      <c r="H2375" s="151" t="s">
        <v>4550</v>
      </c>
      <c r="I2375" s="151" t="s">
        <v>391</v>
      </c>
      <c r="J2375" s="151" t="s">
        <v>7664</v>
      </c>
      <c r="K2375" s="151">
        <f t="shared" si="67"/>
        <v>650000000001685</v>
      </c>
      <c r="L2375" s="151" t="s">
        <v>9021</v>
      </c>
    </row>
    <row r="2376" spans="8:12" x14ac:dyDescent="0.25">
      <c r="H2376" s="151" t="s">
        <v>4551</v>
      </c>
      <c r="I2376" s="151" t="s">
        <v>6962</v>
      </c>
      <c r="J2376" s="151" t="s">
        <v>6962</v>
      </c>
      <c r="K2376" s="151">
        <f t="shared" si="67"/>
        <v>0</v>
      </c>
      <c r="L2376" s="151" t="s">
        <v>9021</v>
      </c>
    </row>
    <row r="2377" spans="8:12" x14ac:dyDescent="0.25">
      <c r="H2377" s="151" t="s">
        <v>4551</v>
      </c>
      <c r="I2377" s="151" t="s">
        <v>391</v>
      </c>
      <c r="J2377" s="151" t="s">
        <v>7665</v>
      </c>
      <c r="K2377" s="151">
        <f t="shared" si="67"/>
        <v>650000000000589</v>
      </c>
      <c r="L2377" s="151" t="s">
        <v>9021</v>
      </c>
    </row>
    <row r="2378" spans="8:12" x14ac:dyDescent="0.25">
      <c r="H2378" s="151" t="s">
        <v>4552</v>
      </c>
      <c r="I2378" s="151" t="s">
        <v>6962</v>
      </c>
      <c r="J2378" s="151" t="s">
        <v>6962</v>
      </c>
      <c r="K2378" s="151">
        <f t="shared" si="67"/>
        <v>0</v>
      </c>
      <c r="L2378" s="151" t="s">
        <v>9021</v>
      </c>
    </row>
    <row r="2379" spans="8:12" x14ac:dyDescent="0.25">
      <c r="H2379" s="151" t="s">
        <v>4552</v>
      </c>
      <c r="I2379" s="151" t="s">
        <v>391</v>
      </c>
      <c r="J2379" s="151" t="s">
        <v>7666</v>
      </c>
      <c r="K2379" s="151">
        <f t="shared" si="67"/>
        <v>650000000000590</v>
      </c>
      <c r="L2379" s="151" t="s">
        <v>9021</v>
      </c>
    </row>
    <row r="2380" spans="8:12" x14ac:dyDescent="0.25">
      <c r="H2380" s="151" t="s">
        <v>4553</v>
      </c>
      <c r="I2380" s="151" t="s">
        <v>6962</v>
      </c>
      <c r="J2380" s="151" t="s">
        <v>6962</v>
      </c>
      <c r="K2380" s="151">
        <f t="shared" si="67"/>
        <v>0</v>
      </c>
      <c r="L2380" s="151" t="s">
        <v>9021</v>
      </c>
    </row>
    <row r="2381" spans="8:12" x14ac:dyDescent="0.25">
      <c r="H2381" s="151" t="s">
        <v>4553</v>
      </c>
      <c r="I2381" s="151" t="s">
        <v>391</v>
      </c>
      <c r="J2381" s="151" t="s">
        <v>7667</v>
      </c>
      <c r="K2381" s="151">
        <f t="shared" si="67"/>
        <v>650000000001686</v>
      </c>
      <c r="L2381" s="151" t="s">
        <v>9021</v>
      </c>
    </row>
    <row r="2382" spans="8:12" x14ac:dyDescent="0.25">
      <c r="H2382" s="151" t="s">
        <v>4554</v>
      </c>
      <c r="I2382" s="151" t="s">
        <v>6962</v>
      </c>
      <c r="J2382" s="151" t="s">
        <v>6962</v>
      </c>
      <c r="K2382" s="151">
        <f t="shared" si="67"/>
        <v>0</v>
      </c>
      <c r="L2382" s="151" t="s">
        <v>9021</v>
      </c>
    </row>
    <row r="2383" spans="8:12" x14ac:dyDescent="0.25">
      <c r="H2383" s="151" t="s">
        <v>4554</v>
      </c>
      <c r="I2383" s="151" t="s">
        <v>391</v>
      </c>
      <c r="J2383" s="151" t="s">
        <v>7668</v>
      </c>
      <c r="K2383" s="151">
        <f t="shared" si="67"/>
        <v>650000000001687</v>
      </c>
      <c r="L2383" s="151" t="s">
        <v>9021</v>
      </c>
    </row>
    <row r="2384" spans="8:12" x14ac:dyDescent="0.25">
      <c r="H2384" s="151" t="s">
        <v>4555</v>
      </c>
      <c r="I2384" s="151" t="s">
        <v>6962</v>
      </c>
      <c r="J2384" s="151" t="s">
        <v>6962</v>
      </c>
      <c r="K2384" s="151">
        <f t="shared" si="67"/>
        <v>0</v>
      </c>
      <c r="L2384" s="151" t="s">
        <v>9021</v>
      </c>
    </row>
    <row r="2385" spans="8:12" x14ac:dyDescent="0.25">
      <c r="H2385" s="151" t="s">
        <v>4555</v>
      </c>
      <c r="I2385" s="151" t="s">
        <v>391</v>
      </c>
      <c r="J2385" s="151" t="s">
        <v>7669</v>
      </c>
      <c r="K2385" s="151">
        <f t="shared" si="67"/>
        <v>650000000001688</v>
      </c>
      <c r="L2385" s="151" t="s">
        <v>9021</v>
      </c>
    </row>
    <row r="2386" spans="8:12" x14ac:dyDescent="0.25">
      <c r="H2386" s="151" t="s">
        <v>4556</v>
      </c>
      <c r="I2386" s="151" t="s">
        <v>6962</v>
      </c>
      <c r="J2386" s="151" t="s">
        <v>6962</v>
      </c>
      <c r="K2386" s="151">
        <f t="shared" si="67"/>
        <v>0</v>
      </c>
      <c r="L2386" s="151" t="s">
        <v>9021</v>
      </c>
    </row>
    <row r="2387" spans="8:12" x14ac:dyDescent="0.25">
      <c r="H2387" s="151" t="s">
        <v>4556</v>
      </c>
      <c r="I2387" s="151" t="s">
        <v>391</v>
      </c>
      <c r="J2387" s="151" t="s">
        <v>7670</v>
      </c>
      <c r="K2387" s="151">
        <f t="shared" si="67"/>
        <v>650000000000591</v>
      </c>
      <c r="L2387" s="151" t="s">
        <v>9021</v>
      </c>
    </row>
    <row r="2388" spans="8:12" x14ac:dyDescent="0.25">
      <c r="H2388" s="151" t="s">
        <v>4557</v>
      </c>
      <c r="I2388" s="151" t="s">
        <v>6962</v>
      </c>
      <c r="J2388" s="151" t="s">
        <v>6962</v>
      </c>
      <c r="K2388" s="151">
        <f t="shared" si="67"/>
        <v>0</v>
      </c>
      <c r="L2388" s="151" t="s">
        <v>9021</v>
      </c>
    </row>
    <row r="2389" spans="8:12" x14ac:dyDescent="0.25">
      <c r="H2389" s="151" t="s">
        <v>4557</v>
      </c>
      <c r="I2389" s="151" t="s">
        <v>391</v>
      </c>
      <c r="J2389" s="151" t="s">
        <v>7671</v>
      </c>
      <c r="K2389" s="151">
        <f t="shared" si="67"/>
        <v>650000000001689</v>
      </c>
      <c r="L2389" s="151" t="s">
        <v>9021</v>
      </c>
    </row>
    <row r="2390" spans="8:12" x14ac:dyDescent="0.25">
      <c r="H2390" s="151" t="s">
        <v>4558</v>
      </c>
      <c r="I2390" s="151" t="s">
        <v>6962</v>
      </c>
      <c r="J2390" s="151" t="s">
        <v>6962</v>
      </c>
      <c r="K2390" s="151">
        <f t="shared" si="67"/>
        <v>0</v>
      </c>
      <c r="L2390" s="151" t="s">
        <v>9021</v>
      </c>
    </row>
    <row r="2391" spans="8:12" x14ac:dyDescent="0.25">
      <c r="H2391" s="151" t="s">
        <v>4558</v>
      </c>
      <c r="I2391" s="151" t="s">
        <v>391</v>
      </c>
      <c r="J2391" s="151" t="s">
        <v>7672</v>
      </c>
      <c r="K2391" s="151">
        <f t="shared" si="67"/>
        <v>650000000000592</v>
      </c>
      <c r="L2391" s="151" t="s">
        <v>9021</v>
      </c>
    </row>
    <row r="2392" spans="8:12" x14ac:dyDescent="0.25">
      <c r="H2392" s="151" t="s">
        <v>4559</v>
      </c>
      <c r="I2392" s="151" t="s">
        <v>6962</v>
      </c>
      <c r="J2392" s="151" t="s">
        <v>6962</v>
      </c>
      <c r="K2392" s="151">
        <f t="shared" si="67"/>
        <v>0</v>
      </c>
      <c r="L2392" s="151" t="s">
        <v>9021</v>
      </c>
    </row>
    <row r="2393" spans="8:12" x14ac:dyDescent="0.25">
      <c r="H2393" s="151" t="s">
        <v>4559</v>
      </c>
      <c r="I2393" s="151" t="s">
        <v>391</v>
      </c>
      <c r="J2393" s="151" t="s">
        <v>7673</v>
      </c>
      <c r="K2393" s="151">
        <f t="shared" si="67"/>
        <v>650000000001690</v>
      </c>
      <c r="L2393" s="151" t="s">
        <v>9021</v>
      </c>
    </row>
    <row r="2394" spans="8:12" x14ac:dyDescent="0.25">
      <c r="H2394" s="151" t="s">
        <v>4560</v>
      </c>
      <c r="I2394" s="151" t="s">
        <v>6962</v>
      </c>
      <c r="J2394" s="151" t="s">
        <v>6962</v>
      </c>
      <c r="K2394" s="151">
        <f t="shared" si="67"/>
        <v>0</v>
      </c>
      <c r="L2394" s="151" t="s">
        <v>9021</v>
      </c>
    </row>
    <row r="2395" spans="8:12" x14ac:dyDescent="0.25">
      <c r="H2395" s="151" t="s">
        <v>4560</v>
      </c>
      <c r="I2395" s="151" t="s">
        <v>391</v>
      </c>
      <c r="J2395" s="151" t="s">
        <v>7674</v>
      </c>
      <c r="K2395" s="151">
        <f t="shared" si="67"/>
        <v>650000000000593</v>
      </c>
      <c r="L2395" s="151" t="s">
        <v>9021</v>
      </c>
    </row>
    <row r="2396" spans="8:12" x14ac:dyDescent="0.25">
      <c r="H2396" s="151" t="s">
        <v>4561</v>
      </c>
      <c r="I2396" s="151" t="s">
        <v>6962</v>
      </c>
      <c r="J2396" s="151" t="s">
        <v>6962</v>
      </c>
      <c r="K2396" s="151">
        <f t="shared" si="67"/>
        <v>0</v>
      </c>
      <c r="L2396" s="151" t="s">
        <v>9021</v>
      </c>
    </row>
    <row r="2397" spans="8:12" x14ac:dyDescent="0.25">
      <c r="H2397" s="151" t="s">
        <v>4561</v>
      </c>
      <c r="I2397" s="151" t="s">
        <v>391</v>
      </c>
      <c r="J2397" s="151" t="s">
        <v>7675</v>
      </c>
      <c r="K2397" s="151">
        <f t="shared" si="67"/>
        <v>650000000000594</v>
      </c>
      <c r="L2397" s="151" t="s">
        <v>9021</v>
      </c>
    </row>
    <row r="2398" spans="8:12" x14ac:dyDescent="0.25">
      <c r="H2398" s="151" t="s">
        <v>4562</v>
      </c>
      <c r="I2398" s="151" t="s">
        <v>6962</v>
      </c>
      <c r="J2398" s="151" t="s">
        <v>6962</v>
      </c>
      <c r="K2398" s="151">
        <f t="shared" si="67"/>
        <v>0</v>
      </c>
      <c r="L2398" s="151" t="s">
        <v>9021</v>
      </c>
    </row>
    <row r="2399" spans="8:12" x14ac:dyDescent="0.25">
      <c r="H2399" s="151" t="s">
        <v>4562</v>
      </c>
      <c r="I2399" s="151" t="s">
        <v>391</v>
      </c>
      <c r="J2399" s="151" t="s">
        <v>7676</v>
      </c>
      <c r="K2399" s="151">
        <f t="shared" si="67"/>
        <v>650000000000595</v>
      </c>
      <c r="L2399" s="151" t="s">
        <v>9021</v>
      </c>
    </row>
    <row r="2400" spans="8:12" x14ac:dyDescent="0.25">
      <c r="H2400" s="151" t="s">
        <v>4563</v>
      </c>
      <c r="I2400" s="151" t="s">
        <v>6962</v>
      </c>
      <c r="J2400" s="151" t="s">
        <v>6962</v>
      </c>
      <c r="K2400" s="151">
        <f t="shared" si="67"/>
        <v>0</v>
      </c>
      <c r="L2400" s="151" t="s">
        <v>9021</v>
      </c>
    </row>
    <row r="2401" spans="8:12" x14ac:dyDescent="0.25">
      <c r="H2401" s="151" t="s">
        <v>4563</v>
      </c>
      <c r="I2401" s="151" t="s">
        <v>391</v>
      </c>
      <c r="J2401" s="151" t="s">
        <v>7677</v>
      </c>
      <c r="K2401" s="151">
        <f t="shared" si="67"/>
        <v>650000000000596</v>
      </c>
      <c r="L2401" s="151" t="s">
        <v>9021</v>
      </c>
    </row>
    <row r="2402" spans="8:12" x14ac:dyDescent="0.25">
      <c r="H2402" s="151" t="s">
        <v>4564</v>
      </c>
      <c r="I2402" s="151" t="s">
        <v>6962</v>
      </c>
      <c r="J2402" s="151" t="s">
        <v>6962</v>
      </c>
      <c r="K2402" s="151">
        <f t="shared" si="67"/>
        <v>0</v>
      </c>
      <c r="L2402" s="151" t="s">
        <v>9021</v>
      </c>
    </row>
    <row r="2403" spans="8:12" x14ac:dyDescent="0.25">
      <c r="H2403" s="151" t="s">
        <v>4564</v>
      </c>
      <c r="I2403" s="151" t="s">
        <v>391</v>
      </c>
      <c r="J2403" s="151" t="s">
        <v>7678</v>
      </c>
      <c r="K2403" s="151">
        <f t="shared" si="67"/>
        <v>650000000000597</v>
      </c>
      <c r="L2403" s="151" t="s">
        <v>9021</v>
      </c>
    </row>
    <row r="2404" spans="8:12" x14ac:dyDescent="0.25">
      <c r="H2404" s="151" t="s">
        <v>4565</v>
      </c>
      <c r="I2404" s="151" t="s">
        <v>6962</v>
      </c>
      <c r="J2404" s="151" t="s">
        <v>6962</v>
      </c>
      <c r="K2404" s="151">
        <f t="shared" si="67"/>
        <v>0</v>
      </c>
      <c r="L2404" s="151" t="s">
        <v>9021</v>
      </c>
    </row>
    <row r="2405" spans="8:12" x14ac:dyDescent="0.25">
      <c r="H2405" s="151" t="s">
        <v>4565</v>
      </c>
      <c r="I2405" s="151" t="s">
        <v>391</v>
      </c>
      <c r="J2405" s="151" t="s">
        <v>7679</v>
      </c>
      <c r="K2405" s="151">
        <f t="shared" si="67"/>
        <v>650000000000598</v>
      </c>
      <c r="L2405" s="151" t="s">
        <v>9021</v>
      </c>
    </row>
    <row r="2406" spans="8:12" x14ac:dyDescent="0.25">
      <c r="H2406" s="151" t="s">
        <v>4566</v>
      </c>
      <c r="I2406" s="151" t="s">
        <v>6962</v>
      </c>
      <c r="J2406" s="151" t="s">
        <v>6962</v>
      </c>
      <c r="K2406" s="151">
        <f t="shared" si="67"/>
        <v>0</v>
      </c>
      <c r="L2406" s="151" t="s">
        <v>9021</v>
      </c>
    </row>
    <row r="2407" spans="8:12" x14ac:dyDescent="0.25">
      <c r="H2407" s="151" t="s">
        <v>4566</v>
      </c>
      <c r="I2407" s="151" t="s">
        <v>391</v>
      </c>
      <c r="J2407" s="151" t="s">
        <v>7680</v>
      </c>
      <c r="K2407" s="151">
        <f t="shared" si="67"/>
        <v>650000000001691</v>
      </c>
      <c r="L2407" s="151" t="s">
        <v>9021</v>
      </c>
    </row>
    <row r="2408" spans="8:12" x14ac:dyDescent="0.25">
      <c r="H2408" s="151" t="s">
        <v>4567</v>
      </c>
      <c r="I2408" s="151" t="s">
        <v>6962</v>
      </c>
      <c r="J2408" s="151" t="s">
        <v>6962</v>
      </c>
      <c r="K2408" s="151">
        <f t="shared" si="67"/>
        <v>0</v>
      </c>
      <c r="L2408" s="151" t="s">
        <v>9021</v>
      </c>
    </row>
    <row r="2409" spans="8:12" x14ac:dyDescent="0.25">
      <c r="H2409" s="151" t="s">
        <v>4567</v>
      </c>
      <c r="I2409" s="151" t="s">
        <v>391</v>
      </c>
      <c r="J2409" s="151" t="s">
        <v>7681</v>
      </c>
      <c r="K2409" s="151">
        <f t="shared" si="67"/>
        <v>650000000000599</v>
      </c>
      <c r="L2409" s="151" t="s">
        <v>9021</v>
      </c>
    </row>
    <row r="2410" spans="8:12" x14ac:dyDescent="0.25">
      <c r="H2410" s="151" t="s">
        <v>4568</v>
      </c>
      <c r="I2410" s="151" t="s">
        <v>6962</v>
      </c>
      <c r="J2410" s="151" t="s">
        <v>6962</v>
      </c>
      <c r="K2410" s="151">
        <f t="shared" si="67"/>
        <v>0</v>
      </c>
      <c r="L2410" s="151" t="s">
        <v>9021</v>
      </c>
    </row>
    <row r="2411" spans="8:12" x14ac:dyDescent="0.25">
      <c r="H2411" s="151" t="s">
        <v>4568</v>
      </c>
      <c r="I2411" s="151" t="s">
        <v>391</v>
      </c>
      <c r="J2411" s="151" t="s">
        <v>7682</v>
      </c>
      <c r="K2411" s="151">
        <f t="shared" si="67"/>
        <v>650000000000600</v>
      </c>
      <c r="L2411" s="151" t="s">
        <v>9021</v>
      </c>
    </row>
    <row r="2412" spans="8:12" x14ac:dyDescent="0.25">
      <c r="H2412" s="151" t="s">
        <v>4569</v>
      </c>
      <c r="I2412" s="151" t="s">
        <v>6962</v>
      </c>
      <c r="J2412" s="151" t="s">
        <v>6962</v>
      </c>
      <c r="K2412" s="151">
        <f t="shared" si="67"/>
        <v>0</v>
      </c>
      <c r="L2412" s="151" t="s">
        <v>9021</v>
      </c>
    </row>
    <row r="2413" spans="8:12" x14ac:dyDescent="0.25">
      <c r="H2413" s="151" t="s">
        <v>4569</v>
      </c>
      <c r="I2413" s="151" t="s">
        <v>391</v>
      </c>
      <c r="J2413" s="151" t="s">
        <v>7683</v>
      </c>
      <c r="K2413" s="151">
        <f t="shared" si="67"/>
        <v>650000000000601</v>
      </c>
      <c r="L2413" s="151" t="s">
        <v>9021</v>
      </c>
    </row>
    <row r="2414" spans="8:12" x14ac:dyDescent="0.25">
      <c r="H2414" s="151" t="s">
        <v>4570</v>
      </c>
      <c r="I2414" s="151" t="s">
        <v>6962</v>
      </c>
      <c r="J2414" s="151" t="s">
        <v>6962</v>
      </c>
      <c r="K2414" s="151">
        <f t="shared" si="67"/>
        <v>0</v>
      </c>
      <c r="L2414" s="151" t="s">
        <v>9021</v>
      </c>
    </row>
    <row r="2415" spans="8:12" x14ac:dyDescent="0.25">
      <c r="H2415" s="151" t="s">
        <v>4570</v>
      </c>
      <c r="I2415" s="151" t="s">
        <v>391</v>
      </c>
      <c r="J2415" s="151" t="s">
        <v>7684</v>
      </c>
      <c r="K2415" s="151">
        <f t="shared" si="67"/>
        <v>650000000000602</v>
      </c>
      <c r="L2415" s="151" t="s">
        <v>9021</v>
      </c>
    </row>
    <row r="2416" spans="8:12" x14ac:dyDescent="0.25">
      <c r="H2416" s="151" t="s">
        <v>4571</v>
      </c>
      <c r="I2416" s="151" t="s">
        <v>6962</v>
      </c>
      <c r="J2416" s="151" t="s">
        <v>6962</v>
      </c>
      <c r="K2416" s="151">
        <f t="shared" si="67"/>
        <v>0</v>
      </c>
      <c r="L2416" s="151" t="s">
        <v>9021</v>
      </c>
    </row>
    <row r="2417" spans="8:12" x14ac:dyDescent="0.25">
      <c r="H2417" s="151" t="s">
        <v>4571</v>
      </c>
      <c r="I2417" s="151" t="s">
        <v>391</v>
      </c>
      <c r="J2417" s="151" t="s">
        <v>7685</v>
      </c>
      <c r="K2417" s="151">
        <f t="shared" si="67"/>
        <v>650000000000603</v>
      </c>
      <c r="L2417" s="151" t="s">
        <v>9021</v>
      </c>
    </row>
    <row r="2418" spans="8:12" x14ac:dyDescent="0.25">
      <c r="H2418" s="151" t="s">
        <v>4572</v>
      </c>
      <c r="I2418" s="151" t="s">
        <v>6962</v>
      </c>
      <c r="J2418" s="151" t="s">
        <v>6962</v>
      </c>
      <c r="K2418" s="151">
        <f t="shared" si="67"/>
        <v>0</v>
      </c>
      <c r="L2418" s="151" t="s">
        <v>9021</v>
      </c>
    </row>
    <row r="2419" spans="8:12" x14ac:dyDescent="0.25">
      <c r="H2419" s="151" t="s">
        <v>4572</v>
      </c>
      <c r="I2419" s="151" t="s">
        <v>391</v>
      </c>
      <c r="J2419" s="151" t="s">
        <v>7686</v>
      </c>
      <c r="K2419" s="151">
        <f t="shared" si="67"/>
        <v>650000000000604</v>
      </c>
      <c r="L2419" s="151" t="s">
        <v>9021</v>
      </c>
    </row>
    <row r="2420" spans="8:12" x14ac:dyDescent="0.25">
      <c r="H2420" s="151" t="s">
        <v>4573</v>
      </c>
      <c r="I2420" s="151" t="s">
        <v>6962</v>
      </c>
      <c r="J2420" s="151" t="s">
        <v>6962</v>
      </c>
      <c r="K2420" s="151">
        <f t="shared" si="67"/>
        <v>0</v>
      </c>
      <c r="L2420" s="151" t="s">
        <v>9021</v>
      </c>
    </row>
    <row r="2421" spans="8:12" x14ac:dyDescent="0.25">
      <c r="H2421" s="151" t="s">
        <v>4573</v>
      </c>
      <c r="I2421" s="151" t="s">
        <v>391</v>
      </c>
      <c r="J2421" s="151" t="s">
        <v>7687</v>
      </c>
      <c r="K2421" s="151">
        <f t="shared" si="67"/>
        <v>650000000001692</v>
      </c>
      <c r="L2421" s="151" t="s">
        <v>9021</v>
      </c>
    </row>
    <row r="2422" spans="8:12" x14ac:dyDescent="0.25">
      <c r="H2422" s="151" t="s">
        <v>4574</v>
      </c>
      <c r="I2422" s="151" t="s">
        <v>6962</v>
      </c>
      <c r="J2422" s="151" t="s">
        <v>6962</v>
      </c>
      <c r="K2422" s="151">
        <f t="shared" si="67"/>
        <v>0</v>
      </c>
      <c r="L2422" s="151" t="s">
        <v>9021</v>
      </c>
    </row>
    <row r="2423" spans="8:12" x14ac:dyDescent="0.25">
      <c r="H2423" s="151" t="s">
        <v>4574</v>
      </c>
      <c r="I2423" s="151" t="s">
        <v>391</v>
      </c>
      <c r="J2423" s="151" t="s">
        <v>7688</v>
      </c>
      <c r="K2423" s="151">
        <f t="shared" si="67"/>
        <v>650000000000605</v>
      </c>
      <c r="L2423" s="151" t="s">
        <v>9021</v>
      </c>
    </row>
    <row r="2424" spans="8:12" x14ac:dyDescent="0.25">
      <c r="H2424" s="151" t="s">
        <v>4575</v>
      </c>
      <c r="I2424" s="151" t="s">
        <v>6962</v>
      </c>
      <c r="J2424" s="151" t="s">
        <v>6962</v>
      </c>
      <c r="K2424" s="151">
        <f t="shared" si="67"/>
        <v>0</v>
      </c>
      <c r="L2424" s="151" t="s">
        <v>9021</v>
      </c>
    </row>
    <row r="2425" spans="8:12" x14ac:dyDescent="0.25">
      <c r="H2425" s="151" t="s">
        <v>4575</v>
      </c>
      <c r="I2425" s="151" t="s">
        <v>391</v>
      </c>
      <c r="J2425" s="151" t="s">
        <v>7689</v>
      </c>
      <c r="K2425" s="151">
        <f t="shared" si="67"/>
        <v>650000000001693</v>
      </c>
      <c r="L2425" s="151" t="s">
        <v>9021</v>
      </c>
    </row>
    <row r="2426" spans="8:12" x14ac:dyDescent="0.25">
      <c r="H2426" s="151" t="s">
        <v>4576</v>
      </c>
      <c r="I2426" s="151" t="s">
        <v>6962</v>
      </c>
      <c r="J2426" s="151" t="s">
        <v>6962</v>
      </c>
      <c r="K2426" s="151">
        <f t="shared" si="67"/>
        <v>0</v>
      </c>
      <c r="L2426" s="151" t="s">
        <v>9021</v>
      </c>
    </row>
    <row r="2427" spans="8:12" x14ac:dyDescent="0.25">
      <c r="H2427" s="151" t="s">
        <v>4576</v>
      </c>
      <c r="I2427" s="151" t="s">
        <v>391</v>
      </c>
      <c r="J2427" s="151" t="s">
        <v>7690</v>
      </c>
      <c r="K2427" s="151">
        <f t="shared" si="67"/>
        <v>650000000000606</v>
      </c>
      <c r="L2427" s="151" t="s">
        <v>9021</v>
      </c>
    </row>
    <row r="2428" spans="8:12" x14ac:dyDescent="0.25">
      <c r="H2428" s="151" t="s">
        <v>6865</v>
      </c>
      <c r="I2428" s="151" t="s">
        <v>6962</v>
      </c>
      <c r="J2428" s="151" t="s">
        <v>6962</v>
      </c>
      <c r="K2428" s="151">
        <f t="shared" si="67"/>
        <v>0</v>
      </c>
      <c r="L2428" s="151" t="s">
        <v>9021</v>
      </c>
    </row>
    <row r="2429" spans="8:12" x14ac:dyDescent="0.25">
      <c r="H2429" s="151" t="s">
        <v>4577</v>
      </c>
      <c r="I2429" s="151" t="s">
        <v>6962</v>
      </c>
      <c r="J2429" s="151" t="s">
        <v>6962</v>
      </c>
      <c r="K2429" s="151">
        <f t="shared" si="67"/>
        <v>0</v>
      </c>
      <c r="L2429" s="151" t="s">
        <v>9021</v>
      </c>
    </row>
    <row r="2430" spans="8:12" x14ac:dyDescent="0.25">
      <c r="H2430" s="151" t="s">
        <v>4577</v>
      </c>
      <c r="I2430" s="151" t="s">
        <v>391</v>
      </c>
      <c r="J2430" s="151" t="s">
        <v>7691</v>
      </c>
      <c r="K2430" s="151">
        <f t="shared" si="67"/>
        <v>650000000000607</v>
      </c>
      <c r="L2430" s="151" t="s">
        <v>9021</v>
      </c>
    </row>
    <row r="2431" spans="8:12" x14ac:dyDescent="0.25">
      <c r="H2431" s="151" t="s">
        <v>4578</v>
      </c>
      <c r="I2431" s="151" t="s">
        <v>6962</v>
      </c>
      <c r="J2431" s="151" t="s">
        <v>6962</v>
      </c>
      <c r="K2431" s="151">
        <f t="shared" si="67"/>
        <v>0</v>
      </c>
      <c r="L2431" s="151" t="s">
        <v>9021</v>
      </c>
    </row>
    <row r="2432" spans="8:12" x14ac:dyDescent="0.25">
      <c r="H2432" s="151" t="s">
        <v>4578</v>
      </c>
      <c r="I2432" s="151" t="s">
        <v>391</v>
      </c>
      <c r="J2432" s="151" t="s">
        <v>7692</v>
      </c>
      <c r="K2432" s="151">
        <f t="shared" si="67"/>
        <v>650000000000608</v>
      </c>
      <c r="L2432" s="151" t="s">
        <v>9021</v>
      </c>
    </row>
    <row r="2433" spans="8:12" x14ac:dyDescent="0.25">
      <c r="H2433" s="151" t="s">
        <v>4579</v>
      </c>
      <c r="I2433" s="151" t="s">
        <v>6962</v>
      </c>
      <c r="J2433" s="151" t="s">
        <v>6962</v>
      </c>
      <c r="K2433" s="151">
        <f t="shared" si="67"/>
        <v>0</v>
      </c>
      <c r="L2433" s="151" t="s">
        <v>9021</v>
      </c>
    </row>
    <row r="2434" spans="8:12" x14ac:dyDescent="0.25">
      <c r="H2434" s="151" t="s">
        <v>4579</v>
      </c>
      <c r="I2434" s="151" t="s">
        <v>391</v>
      </c>
      <c r="J2434" s="151" t="s">
        <v>7693</v>
      </c>
      <c r="K2434" s="151">
        <f t="shared" si="67"/>
        <v>650000000000609</v>
      </c>
      <c r="L2434" s="151" t="s">
        <v>9021</v>
      </c>
    </row>
    <row r="2435" spans="8:12" x14ac:dyDescent="0.25">
      <c r="H2435" s="151" t="s">
        <v>4580</v>
      </c>
      <c r="I2435" s="151" t="s">
        <v>6962</v>
      </c>
      <c r="J2435" s="151" t="s">
        <v>6962</v>
      </c>
      <c r="K2435" s="151">
        <f t="shared" ref="K2435:K2498" si="68">+IFERROR(J2435*1,0)</f>
        <v>0</v>
      </c>
      <c r="L2435" s="151" t="s">
        <v>9021</v>
      </c>
    </row>
    <row r="2436" spans="8:12" x14ac:dyDescent="0.25">
      <c r="H2436" s="151" t="s">
        <v>4580</v>
      </c>
      <c r="I2436" s="151" t="s">
        <v>391</v>
      </c>
      <c r="J2436" s="151" t="s">
        <v>7694</v>
      </c>
      <c r="K2436" s="151">
        <f t="shared" si="68"/>
        <v>650000000000610</v>
      </c>
      <c r="L2436" s="151" t="s">
        <v>9021</v>
      </c>
    </row>
    <row r="2437" spans="8:12" x14ac:dyDescent="0.25">
      <c r="H2437" s="151" t="s">
        <v>4581</v>
      </c>
      <c r="I2437" s="151" t="s">
        <v>6962</v>
      </c>
      <c r="J2437" s="151" t="s">
        <v>6962</v>
      </c>
      <c r="K2437" s="151">
        <f t="shared" si="68"/>
        <v>0</v>
      </c>
      <c r="L2437" s="151" t="s">
        <v>9021</v>
      </c>
    </row>
    <row r="2438" spans="8:12" x14ac:dyDescent="0.25">
      <c r="H2438" s="151" t="s">
        <v>4581</v>
      </c>
      <c r="I2438" s="151" t="s">
        <v>391</v>
      </c>
      <c r="J2438" s="151" t="s">
        <v>7695</v>
      </c>
      <c r="K2438" s="151">
        <f t="shared" si="68"/>
        <v>650000000001694</v>
      </c>
      <c r="L2438" s="151" t="s">
        <v>9021</v>
      </c>
    </row>
    <row r="2439" spans="8:12" x14ac:dyDescent="0.25">
      <c r="H2439" s="151" t="s">
        <v>4582</v>
      </c>
      <c r="I2439" s="151" t="s">
        <v>6962</v>
      </c>
      <c r="J2439" s="151" t="s">
        <v>6962</v>
      </c>
      <c r="K2439" s="151">
        <f t="shared" si="68"/>
        <v>0</v>
      </c>
      <c r="L2439" s="151" t="s">
        <v>9021</v>
      </c>
    </row>
    <row r="2440" spans="8:12" x14ac:dyDescent="0.25">
      <c r="H2440" s="151" t="s">
        <v>4582</v>
      </c>
      <c r="I2440" s="151" t="s">
        <v>391</v>
      </c>
      <c r="J2440" s="151" t="s">
        <v>7696</v>
      </c>
      <c r="K2440" s="151">
        <f t="shared" si="68"/>
        <v>650000000001695</v>
      </c>
      <c r="L2440" s="151" t="s">
        <v>9021</v>
      </c>
    </row>
    <row r="2441" spans="8:12" x14ac:dyDescent="0.25">
      <c r="H2441" s="151" t="s">
        <v>4583</v>
      </c>
      <c r="I2441" s="151" t="s">
        <v>6962</v>
      </c>
      <c r="J2441" s="151" t="s">
        <v>6962</v>
      </c>
      <c r="K2441" s="151">
        <f t="shared" si="68"/>
        <v>0</v>
      </c>
      <c r="L2441" s="151" t="s">
        <v>9021</v>
      </c>
    </row>
    <row r="2442" spans="8:12" x14ac:dyDescent="0.25">
      <c r="H2442" s="151" t="s">
        <v>4583</v>
      </c>
      <c r="I2442" s="151" t="s">
        <v>391</v>
      </c>
      <c r="J2442" s="151" t="s">
        <v>7697</v>
      </c>
      <c r="K2442" s="151">
        <f t="shared" si="68"/>
        <v>650000000000611</v>
      </c>
      <c r="L2442" s="151" t="s">
        <v>9021</v>
      </c>
    </row>
    <row r="2443" spans="8:12" x14ac:dyDescent="0.25">
      <c r="H2443" s="151" t="s">
        <v>4584</v>
      </c>
      <c r="I2443" s="151" t="s">
        <v>6962</v>
      </c>
      <c r="J2443" s="151" t="s">
        <v>6962</v>
      </c>
      <c r="K2443" s="151">
        <f t="shared" si="68"/>
        <v>0</v>
      </c>
      <c r="L2443" s="151" t="s">
        <v>9021</v>
      </c>
    </row>
    <row r="2444" spans="8:12" x14ac:dyDescent="0.25">
      <c r="H2444" s="151" t="s">
        <v>4584</v>
      </c>
      <c r="I2444" s="151" t="s">
        <v>391</v>
      </c>
      <c r="J2444" s="151" t="s">
        <v>7698</v>
      </c>
      <c r="K2444" s="151">
        <f t="shared" si="68"/>
        <v>650000000000612</v>
      </c>
      <c r="L2444" s="151" t="s">
        <v>9021</v>
      </c>
    </row>
    <row r="2445" spans="8:12" x14ac:dyDescent="0.25">
      <c r="H2445" s="151" t="s">
        <v>4585</v>
      </c>
      <c r="I2445" s="151" t="s">
        <v>6962</v>
      </c>
      <c r="J2445" s="151" t="s">
        <v>6962</v>
      </c>
      <c r="K2445" s="151">
        <f t="shared" si="68"/>
        <v>0</v>
      </c>
      <c r="L2445" s="151" t="s">
        <v>9021</v>
      </c>
    </row>
    <row r="2446" spans="8:12" x14ac:dyDescent="0.25">
      <c r="H2446" s="151" t="s">
        <v>4585</v>
      </c>
      <c r="I2446" s="151" t="s">
        <v>391</v>
      </c>
      <c r="J2446" s="151" t="s">
        <v>7699</v>
      </c>
      <c r="K2446" s="151">
        <f t="shared" si="68"/>
        <v>650000000000613</v>
      </c>
      <c r="L2446" s="151" t="s">
        <v>9021</v>
      </c>
    </row>
    <row r="2447" spans="8:12" x14ac:dyDescent="0.25">
      <c r="H2447" s="151" t="s">
        <v>4586</v>
      </c>
      <c r="I2447" s="151" t="s">
        <v>6962</v>
      </c>
      <c r="J2447" s="151" t="s">
        <v>6962</v>
      </c>
      <c r="K2447" s="151">
        <f t="shared" si="68"/>
        <v>0</v>
      </c>
      <c r="L2447" s="151" t="s">
        <v>9021</v>
      </c>
    </row>
    <row r="2448" spans="8:12" x14ac:dyDescent="0.25">
      <c r="H2448" s="151" t="s">
        <v>4586</v>
      </c>
      <c r="I2448" s="151" t="s">
        <v>391</v>
      </c>
      <c r="J2448" s="151" t="s">
        <v>7700</v>
      </c>
      <c r="K2448" s="151">
        <f t="shared" si="68"/>
        <v>650000000000614</v>
      </c>
      <c r="L2448" s="151" t="s">
        <v>9021</v>
      </c>
    </row>
    <row r="2449" spans="8:12" x14ac:dyDescent="0.25">
      <c r="H2449" s="151" t="s">
        <v>4587</v>
      </c>
      <c r="I2449" s="151" t="s">
        <v>6962</v>
      </c>
      <c r="J2449" s="151" t="s">
        <v>6962</v>
      </c>
      <c r="K2449" s="151">
        <f t="shared" si="68"/>
        <v>0</v>
      </c>
      <c r="L2449" s="151" t="s">
        <v>9021</v>
      </c>
    </row>
    <row r="2450" spans="8:12" x14ac:dyDescent="0.25">
      <c r="H2450" s="151" t="s">
        <v>4587</v>
      </c>
      <c r="I2450" s="151" t="s">
        <v>391</v>
      </c>
      <c r="J2450" s="151" t="s">
        <v>7701</v>
      </c>
      <c r="K2450" s="151">
        <f t="shared" si="68"/>
        <v>650000000000615</v>
      </c>
      <c r="L2450" s="151" t="s">
        <v>9021</v>
      </c>
    </row>
    <row r="2451" spans="8:12" x14ac:dyDescent="0.25">
      <c r="H2451" s="151" t="s">
        <v>4588</v>
      </c>
      <c r="I2451" s="151" t="s">
        <v>6962</v>
      </c>
      <c r="J2451" s="151" t="s">
        <v>6962</v>
      </c>
      <c r="K2451" s="151">
        <f t="shared" si="68"/>
        <v>0</v>
      </c>
      <c r="L2451" s="151" t="s">
        <v>9021</v>
      </c>
    </row>
    <row r="2452" spans="8:12" x14ac:dyDescent="0.25">
      <c r="H2452" s="151" t="s">
        <v>4588</v>
      </c>
      <c r="I2452" s="151" t="s">
        <v>391</v>
      </c>
      <c r="J2452" s="151" t="s">
        <v>7702</v>
      </c>
      <c r="K2452" s="151">
        <f t="shared" si="68"/>
        <v>650000000001696</v>
      </c>
      <c r="L2452" s="151" t="s">
        <v>9021</v>
      </c>
    </row>
    <row r="2453" spans="8:12" x14ac:dyDescent="0.25">
      <c r="H2453" s="151" t="s">
        <v>4589</v>
      </c>
      <c r="I2453" s="151" t="s">
        <v>6962</v>
      </c>
      <c r="J2453" s="151" t="s">
        <v>6962</v>
      </c>
      <c r="K2453" s="151">
        <f t="shared" si="68"/>
        <v>0</v>
      </c>
      <c r="L2453" s="151" t="s">
        <v>9021</v>
      </c>
    </row>
    <row r="2454" spans="8:12" x14ac:dyDescent="0.25">
      <c r="H2454" s="151" t="s">
        <v>4589</v>
      </c>
      <c r="I2454" s="151" t="s">
        <v>391</v>
      </c>
      <c r="J2454" s="151" t="s">
        <v>7703</v>
      </c>
      <c r="K2454" s="151">
        <f t="shared" si="68"/>
        <v>650000000000616</v>
      </c>
      <c r="L2454" s="151" t="s">
        <v>9021</v>
      </c>
    </row>
    <row r="2455" spans="8:12" x14ac:dyDescent="0.25">
      <c r="H2455" s="151" t="s">
        <v>4590</v>
      </c>
      <c r="I2455" s="151" t="s">
        <v>6962</v>
      </c>
      <c r="J2455" s="151" t="s">
        <v>6962</v>
      </c>
      <c r="K2455" s="151">
        <f t="shared" si="68"/>
        <v>0</v>
      </c>
      <c r="L2455" s="151" t="s">
        <v>9021</v>
      </c>
    </row>
    <row r="2456" spans="8:12" x14ac:dyDescent="0.25">
      <c r="H2456" s="151" t="s">
        <v>4590</v>
      </c>
      <c r="I2456" s="151" t="s">
        <v>391</v>
      </c>
      <c r="J2456" s="151" t="s">
        <v>7704</v>
      </c>
      <c r="K2456" s="151">
        <f t="shared" si="68"/>
        <v>650000000000617</v>
      </c>
      <c r="L2456" s="151" t="s">
        <v>9021</v>
      </c>
    </row>
    <row r="2457" spans="8:12" x14ac:dyDescent="0.25">
      <c r="H2457" s="151" t="s">
        <v>4591</v>
      </c>
      <c r="I2457" s="151" t="s">
        <v>6962</v>
      </c>
      <c r="J2457" s="151" t="s">
        <v>6962</v>
      </c>
      <c r="K2457" s="151">
        <f t="shared" si="68"/>
        <v>0</v>
      </c>
      <c r="L2457" s="151" t="s">
        <v>9021</v>
      </c>
    </row>
    <row r="2458" spans="8:12" x14ac:dyDescent="0.25">
      <c r="H2458" s="151" t="s">
        <v>4591</v>
      </c>
      <c r="I2458" s="151" t="s">
        <v>391</v>
      </c>
      <c r="J2458" s="151" t="s">
        <v>7705</v>
      </c>
      <c r="K2458" s="151">
        <f t="shared" si="68"/>
        <v>650000000000618</v>
      </c>
      <c r="L2458" s="151" t="s">
        <v>9021</v>
      </c>
    </row>
    <row r="2459" spans="8:12" x14ac:dyDescent="0.25">
      <c r="H2459" s="151" t="s">
        <v>4592</v>
      </c>
      <c r="I2459" s="151" t="s">
        <v>6962</v>
      </c>
      <c r="J2459" s="151" t="s">
        <v>6962</v>
      </c>
      <c r="K2459" s="151">
        <f t="shared" si="68"/>
        <v>0</v>
      </c>
      <c r="L2459" s="151" t="s">
        <v>9021</v>
      </c>
    </row>
    <row r="2460" spans="8:12" x14ac:dyDescent="0.25">
      <c r="H2460" s="151" t="s">
        <v>4592</v>
      </c>
      <c r="I2460" s="151" t="s">
        <v>391</v>
      </c>
      <c r="J2460" s="151" t="s">
        <v>7706</v>
      </c>
      <c r="K2460" s="151">
        <f t="shared" si="68"/>
        <v>650000000000619</v>
      </c>
      <c r="L2460" s="151" t="s">
        <v>9021</v>
      </c>
    </row>
    <row r="2461" spans="8:12" x14ac:dyDescent="0.25">
      <c r="H2461" s="151" t="s">
        <v>6866</v>
      </c>
      <c r="I2461" s="151" t="s">
        <v>6962</v>
      </c>
      <c r="J2461" s="151" t="s">
        <v>6962</v>
      </c>
      <c r="K2461" s="151">
        <f t="shared" si="68"/>
        <v>0</v>
      </c>
      <c r="L2461" s="151" t="s">
        <v>9021</v>
      </c>
    </row>
    <row r="2462" spans="8:12" x14ac:dyDescent="0.25">
      <c r="H2462" s="151" t="s">
        <v>4593</v>
      </c>
      <c r="I2462" s="151" t="s">
        <v>6962</v>
      </c>
      <c r="J2462" s="151" t="s">
        <v>6962</v>
      </c>
      <c r="K2462" s="151">
        <f t="shared" si="68"/>
        <v>0</v>
      </c>
      <c r="L2462" s="151" t="s">
        <v>9021</v>
      </c>
    </row>
    <row r="2463" spans="8:12" x14ac:dyDescent="0.25">
      <c r="H2463" s="151" t="s">
        <v>4593</v>
      </c>
      <c r="I2463" s="151" t="s">
        <v>391</v>
      </c>
      <c r="J2463" s="151" t="s">
        <v>7707</v>
      </c>
      <c r="K2463" s="151">
        <f t="shared" si="68"/>
        <v>650000000000620</v>
      </c>
      <c r="L2463" s="151" t="s">
        <v>9021</v>
      </c>
    </row>
    <row r="2464" spans="8:12" x14ac:dyDescent="0.25">
      <c r="H2464" s="151" t="s">
        <v>4594</v>
      </c>
      <c r="I2464" s="151" t="s">
        <v>6962</v>
      </c>
      <c r="J2464" s="151" t="s">
        <v>6962</v>
      </c>
      <c r="K2464" s="151">
        <f t="shared" si="68"/>
        <v>0</v>
      </c>
      <c r="L2464" s="151" t="s">
        <v>9021</v>
      </c>
    </row>
    <row r="2465" spans="8:12" x14ac:dyDescent="0.25">
      <c r="H2465" s="151" t="s">
        <v>4594</v>
      </c>
      <c r="I2465" s="151" t="s">
        <v>391</v>
      </c>
      <c r="J2465" s="151" t="s">
        <v>7708</v>
      </c>
      <c r="K2465" s="151">
        <f t="shared" si="68"/>
        <v>650000000000621</v>
      </c>
      <c r="L2465" s="151" t="s">
        <v>9021</v>
      </c>
    </row>
    <row r="2466" spans="8:12" x14ac:dyDescent="0.25">
      <c r="H2466" s="151" t="s">
        <v>4595</v>
      </c>
      <c r="I2466" s="151" t="s">
        <v>6962</v>
      </c>
      <c r="J2466" s="151" t="s">
        <v>6962</v>
      </c>
      <c r="K2466" s="151">
        <f t="shared" si="68"/>
        <v>0</v>
      </c>
      <c r="L2466" s="151" t="s">
        <v>9021</v>
      </c>
    </row>
    <row r="2467" spans="8:12" x14ac:dyDescent="0.25">
      <c r="H2467" s="151" t="s">
        <v>4595</v>
      </c>
      <c r="I2467" s="151" t="s">
        <v>391</v>
      </c>
      <c r="J2467" s="151" t="s">
        <v>7709</v>
      </c>
      <c r="K2467" s="151">
        <f t="shared" si="68"/>
        <v>650000000001697</v>
      </c>
      <c r="L2467" s="151" t="s">
        <v>9021</v>
      </c>
    </row>
    <row r="2468" spans="8:12" x14ac:dyDescent="0.25">
      <c r="H2468" s="151" t="s">
        <v>4596</v>
      </c>
      <c r="I2468" s="151" t="s">
        <v>6962</v>
      </c>
      <c r="J2468" s="151" t="s">
        <v>6962</v>
      </c>
      <c r="K2468" s="151">
        <f t="shared" si="68"/>
        <v>0</v>
      </c>
      <c r="L2468" s="151" t="s">
        <v>9021</v>
      </c>
    </row>
    <row r="2469" spans="8:12" x14ac:dyDescent="0.25">
      <c r="H2469" s="151" t="s">
        <v>4596</v>
      </c>
      <c r="I2469" s="151" t="s">
        <v>391</v>
      </c>
      <c r="J2469" s="151" t="s">
        <v>7710</v>
      </c>
      <c r="K2469" s="151">
        <f t="shared" si="68"/>
        <v>650000000000622</v>
      </c>
      <c r="L2469" s="151" t="s">
        <v>9021</v>
      </c>
    </row>
    <row r="2470" spans="8:12" x14ac:dyDescent="0.25">
      <c r="H2470" s="151" t="s">
        <v>4597</v>
      </c>
      <c r="I2470" s="151" t="s">
        <v>6962</v>
      </c>
      <c r="J2470" s="151" t="s">
        <v>6962</v>
      </c>
      <c r="K2470" s="151">
        <f t="shared" si="68"/>
        <v>0</v>
      </c>
      <c r="L2470" s="151" t="s">
        <v>9021</v>
      </c>
    </row>
    <row r="2471" spans="8:12" x14ac:dyDescent="0.25">
      <c r="H2471" s="151" t="s">
        <v>4597</v>
      </c>
      <c r="I2471" s="151" t="s">
        <v>391</v>
      </c>
      <c r="J2471" s="151" t="s">
        <v>7711</v>
      </c>
      <c r="K2471" s="151">
        <f t="shared" si="68"/>
        <v>650000000001698</v>
      </c>
      <c r="L2471" s="151" t="s">
        <v>9021</v>
      </c>
    </row>
    <row r="2472" spans="8:12" x14ac:dyDescent="0.25">
      <c r="H2472" s="151" t="s">
        <v>4598</v>
      </c>
      <c r="I2472" s="151" t="s">
        <v>6962</v>
      </c>
      <c r="J2472" s="151" t="s">
        <v>6962</v>
      </c>
      <c r="K2472" s="151">
        <f t="shared" si="68"/>
        <v>0</v>
      </c>
      <c r="L2472" s="151" t="s">
        <v>9021</v>
      </c>
    </row>
    <row r="2473" spans="8:12" x14ac:dyDescent="0.25">
      <c r="H2473" s="151" t="s">
        <v>4598</v>
      </c>
      <c r="I2473" s="151" t="s">
        <v>391</v>
      </c>
      <c r="J2473" s="151" t="s">
        <v>7712</v>
      </c>
      <c r="K2473" s="151">
        <f t="shared" si="68"/>
        <v>650000000000623</v>
      </c>
      <c r="L2473" s="151" t="s">
        <v>9021</v>
      </c>
    </row>
    <row r="2474" spans="8:12" x14ac:dyDescent="0.25">
      <c r="H2474" s="151" t="s">
        <v>4599</v>
      </c>
      <c r="I2474" s="151" t="s">
        <v>6962</v>
      </c>
      <c r="J2474" s="151" t="s">
        <v>6962</v>
      </c>
      <c r="K2474" s="151">
        <f t="shared" si="68"/>
        <v>0</v>
      </c>
      <c r="L2474" s="151" t="s">
        <v>9021</v>
      </c>
    </row>
    <row r="2475" spans="8:12" x14ac:dyDescent="0.25">
      <c r="H2475" s="151" t="s">
        <v>4599</v>
      </c>
      <c r="I2475" s="151" t="s">
        <v>391</v>
      </c>
      <c r="J2475" s="151" t="s">
        <v>7713</v>
      </c>
      <c r="K2475" s="151">
        <f t="shared" si="68"/>
        <v>650000000001699</v>
      </c>
      <c r="L2475" s="151" t="s">
        <v>9021</v>
      </c>
    </row>
    <row r="2476" spans="8:12" x14ac:dyDescent="0.25">
      <c r="H2476" s="151" t="s">
        <v>4600</v>
      </c>
      <c r="I2476" s="151" t="s">
        <v>6962</v>
      </c>
      <c r="J2476" s="151" t="s">
        <v>6962</v>
      </c>
      <c r="K2476" s="151">
        <f t="shared" si="68"/>
        <v>0</v>
      </c>
      <c r="L2476" s="151" t="s">
        <v>9021</v>
      </c>
    </row>
    <row r="2477" spans="8:12" x14ac:dyDescent="0.25">
      <c r="H2477" s="151" t="s">
        <v>4600</v>
      </c>
      <c r="I2477" s="151" t="s">
        <v>391</v>
      </c>
      <c r="J2477" s="151" t="s">
        <v>7714</v>
      </c>
      <c r="K2477" s="151">
        <f t="shared" si="68"/>
        <v>650000000000624</v>
      </c>
      <c r="L2477" s="151" t="s">
        <v>9021</v>
      </c>
    </row>
    <row r="2478" spans="8:12" x14ac:dyDescent="0.25">
      <c r="H2478" s="151" t="s">
        <v>4601</v>
      </c>
      <c r="I2478" s="151" t="s">
        <v>6962</v>
      </c>
      <c r="J2478" s="151" t="s">
        <v>6962</v>
      </c>
      <c r="K2478" s="151">
        <f t="shared" si="68"/>
        <v>0</v>
      </c>
      <c r="L2478" s="151" t="s">
        <v>9021</v>
      </c>
    </row>
    <row r="2479" spans="8:12" x14ac:dyDescent="0.25">
      <c r="H2479" s="151" t="s">
        <v>4601</v>
      </c>
      <c r="I2479" s="151" t="s">
        <v>391</v>
      </c>
      <c r="J2479" s="151" t="s">
        <v>7715</v>
      </c>
      <c r="K2479" s="151">
        <f t="shared" si="68"/>
        <v>650000000000625</v>
      </c>
      <c r="L2479" s="151" t="s">
        <v>9021</v>
      </c>
    </row>
    <row r="2480" spans="8:12" x14ac:dyDescent="0.25">
      <c r="H2480" s="151" t="s">
        <v>4602</v>
      </c>
      <c r="I2480" s="151" t="s">
        <v>6962</v>
      </c>
      <c r="J2480" s="151" t="s">
        <v>6962</v>
      </c>
      <c r="K2480" s="151">
        <f t="shared" si="68"/>
        <v>0</v>
      </c>
      <c r="L2480" s="151" t="s">
        <v>9021</v>
      </c>
    </row>
    <row r="2481" spans="8:12" x14ac:dyDescent="0.25">
      <c r="H2481" s="151" t="s">
        <v>4602</v>
      </c>
      <c r="I2481" s="151" t="s">
        <v>391</v>
      </c>
      <c r="J2481" s="151" t="s">
        <v>7716</v>
      </c>
      <c r="K2481" s="151">
        <f t="shared" si="68"/>
        <v>650000000001700</v>
      </c>
      <c r="L2481" s="151" t="s">
        <v>9021</v>
      </c>
    </row>
    <row r="2482" spans="8:12" x14ac:dyDescent="0.25">
      <c r="H2482" s="151" t="s">
        <v>4603</v>
      </c>
      <c r="I2482" s="151" t="s">
        <v>6962</v>
      </c>
      <c r="J2482" s="151" t="s">
        <v>6962</v>
      </c>
      <c r="K2482" s="151">
        <f t="shared" si="68"/>
        <v>0</v>
      </c>
      <c r="L2482" s="151" t="s">
        <v>9021</v>
      </c>
    </row>
    <row r="2483" spans="8:12" x14ac:dyDescent="0.25">
      <c r="H2483" s="151" t="s">
        <v>4603</v>
      </c>
      <c r="I2483" s="151" t="s">
        <v>391</v>
      </c>
      <c r="J2483" s="151" t="s">
        <v>7717</v>
      </c>
      <c r="K2483" s="151">
        <f t="shared" si="68"/>
        <v>650000000000626</v>
      </c>
      <c r="L2483" s="151" t="s">
        <v>9021</v>
      </c>
    </row>
    <row r="2484" spans="8:12" x14ac:dyDescent="0.25">
      <c r="H2484" s="151" t="s">
        <v>4604</v>
      </c>
      <c r="I2484" s="151" t="s">
        <v>6962</v>
      </c>
      <c r="J2484" s="151" t="s">
        <v>6962</v>
      </c>
      <c r="K2484" s="151">
        <f t="shared" si="68"/>
        <v>0</v>
      </c>
      <c r="L2484" s="151" t="s">
        <v>9021</v>
      </c>
    </row>
    <row r="2485" spans="8:12" x14ac:dyDescent="0.25">
      <c r="H2485" s="151" t="s">
        <v>4604</v>
      </c>
      <c r="I2485" s="151" t="s">
        <v>391</v>
      </c>
      <c r="J2485" s="151" t="s">
        <v>7718</v>
      </c>
      <c r="K2485" s="151">
        <f t="shared" si="68"/>
        <v>650000000001701</v>
      </c>
      <c r="L2485" s="151" t="s">
        <v>9021</v>
      </c>
    </row>
    <row r="2486" spans="8:12" x14ac:dyDescent="0.25">
      <c r="H2486" s="151" t="s">
        <v>4605</v>
      </c>
      <c r="I2486" s="151" t="s">
        <v>6962</v>
      </c>
      <c r="J2486" s="151" t="s">
        <v>6962</v>
      </c>
      <c r="K2486" s="151">
        <f t="shared" si="68"/>
        <v>0</v>
      </c>
      <c r="L2486" s="151" t="s">
        <v>9021</v>
      </c>
    </row>
    <row r="2487" spans="8:12" x14ac:dyDescent="0.25">
      <c r="H2487" s="151" t="s">
        <v>4605</v>
      </c>
      <c r="I2487" s="151" t="s">
        <v>391</v>
      </c>
      <c r="J2487" s="151" t="s">
        <v>7719</v>
      </c>
      <c r="K2487" s="151">
        <f t="shared" si="68"/>
        <v>650000000001702</v>
      </c>
      <c r="L2487" s="151" t="s">
        <v>9021</v>
      </c>
    </row>
    <row r="2488" spans="8:12" x14ac:dyDescent="0.25">
      <c r="H2488" s="151" t="s">
        <v>4606</v>
      </c>
      <c r="I2488" s="151" t="s">
        <v>6962</v>
      </c>
      <c r="J2488" s="151" t="s">
        <v>6962</v>
      </c>
      <c r="K2488" s="151">
        <f t="shared" si="68"/>
        <v>0</v>
      </c>
      <c r="L2488" s="151" t="s">
        <v>9021</v>
      </c>
    </row>
    <row r="2489" spans="8:12" x14ac:dyDescent="0.25">
      <c r="H2489" s="151" t="s">
        <v>4606</v>
      </c>
      <c r="I2489" s="151" t="s">
        <v>391</v>
      </c>
      <c r="J2489" s="151" t="s">
        <v>7720</v>
      </c>
      <c r="K2489" s="151">
        <f t="shared" si="68"/>
        <v>650000000000627</v>
      </c>
      <c r="L2489" s="151" t="s">
        <v>9021</v>
      </c>
    </row>
    <row r="2490" spans="8:12" x14ac:dyDescent="0.25">
      <c r="H2490" s="151" t="s">
        <v>4607</v>
      </c>
      <c r="I2490" s="151" t="s">
        <v>6962</v>
      </c>
      <c r="J2490" s="151" t="s">
        <v>6962</v>
      </c>
      <c r="K2490" s="151">
        <f t="shared" si="68"/>
        <v>0</v>
      </c>
      <c r="L2490" s="151" t="s">
        <v>9021</v>
      </c>
    </row>
    <row r="2491" spans="8:12" x14ac:dyDescent="0.25">
      <c r="H2491" s="151" t="s">
        <v>4607</v>
      </c>
      <c r="I2491" s="151" t="s">
        <v>391</v>
      </c>
      <c r="J2491" s="151" t="s">
        <v>7721</v>
      </c>
      <c r="K2491" s="151">
        <f t="shared" si="68"/>
        <v>650000000001703</v>
      </c>
      <c r="L2491" s="151" t="s">
        <v>9021</v>
      </c>
    </row>
    <row r="2492" spans="8:12" x14ac:dyDescent="0.25">
      <c r="H2492" s="151" t="s">
        <v>4608</v>
      </c>
      <c r="I2492" s="151" t="s">
        <v>6962</v>
      </c>
      <c r="J2492" s="151" t="s">
        <v>6962</v>
      </c>
      <c r="K2492" s="151">
        <f t="shared" si="68"/>
        <v>0</v>
      </c>
      <c r="L2492" s="151" t="s">
        <v>9021</v>
      </c>
    </row>
    <row r="2493" spans="8:12" x14ac:dyDescent="0.25">
      <c r="H2493" s="151" t="s">
        <v>4608</v>
      </c>
      <c r="I2493" s="151" t="s">
        <v>391</v>
      </c>
      <c r="J2493" s="151" t="s">
        <v>7722</v>
      </c>
      <c r="K2493" s="151">
        <f t="shared" si="68"/>
        <v>650000000000628</v>
      </c>
      <c r="L2493" s="151" t="s">
        <v>9021</v>
      </c>
    </row>
    <row r="2494" spans="8:12" x14ac:dyDescent="0.25">
      <c r="H2494" s="151" t="s">
        <v>4609</v>
      </c>
      <c r="I2494" s="151" t="s">
        <v>6962</v>
      </c>
      <c r="J2494" s="151" t="s">
        <v>6962</v>
      </c>
      <c r="K2494" s="151">
        <f t="shared" si="68"/>
        <v>0</v>
      </c>
      <c r="L2494" s="151" t="s">
        <v>9021</v>
      </c>
    </row>
    <row r="2495" spans="8:12" x14ac:dyDescent="0.25">
      <c r="H2495" s="151" t="s">
        <v>4609</v>
      </c>
      <c r="I2495" s="151" t="s">
        <v>391</v>
      </c>
      <c r="J2495" s="151" t="s">
        <v>7723</v>
      </c>
      <c r="K2495" s="151">
        <f t="shared" si="68"/>
        <v>650000000000629</v>
      </c>
      <c r="L2495" s="151" t="s">
        <v>9021</v>
      </c>
    </row>
    <row r="2496" spans="8:12" x14ac:dyDescent="0.25">
      <c r="H2496" s="151" t="s">
        <v>4610</v>
      </c>
      <c r="I2496" s="151" t="s">
        <v>6962</v>
      </c>
      <c r="J2496" s="151" t="s">
        <v>6962</v>
      </c>
      <c r="K2496" s="151">
        <f t="shared" si="68"/>
        <v>0</v>
      </c>
      <c r="L2496" s="151" t="s">
        <v>9021</v>
      </c>
    </row>
    <row r="2497" spans="8:12" x14ac:dyDescent="0.25">
      <c r="H2497" s="151" t="s">
        <v>4610</v>
      </c>
      <c r="I2497" s="151" t="s">
        <v>391</v>
      </c>
      <c r="J2497" s="151" t="s">
        <v>7724</v>
      </c>
      <c r="K2497" s="151">
        <f t="shared" si="68"/>
        <v>650000000000630</v>
      </c>
      <c r="L2497" s="151" t="s">
        <v>9021</v>
      </c>
    </row>
    <row r="2498" spans="8:12" x14ac:dyDescent="0.25">
      <c r="H2498" s="151" t="s">
        <v>4611</v>
      </c>
      <c r="I2498" s="151" t="s">
        <v>6962</v>
      </c>
      <c r="J2498" s="151" t="s">
        <v>6962</v>
      </c>
      <c r="K2498" s="151">
        <f t="shared" si="68"/>
        <v>0</v>
      </c>
      <c r="L2498" s="151" t="s">
        <v>9021</v>
      </c>
    </row>
    <row r="2499" spans="8:12" x14ac:dyDescent="0.25">
      <c r="H2499" s="151" t="s">
        <v>4611</v>
      </c>
      <c r="I2499" s="151" t="s">
        <v>391</v>
      </c>
      <c r="J2499" s="151" t="s">
        <v>7725</v>
      </c>
      <c r="K2499" s="151">
        <f t="shared" ref="K2499:K2562" si="69">+IFERROR(J2499*1,0)</f>
        <v>650000000000631</v>
      </c>
      <c r="L2499" s="151" t="s">
        <v>9021</v>
      </c>
    </row>
    <row r="2500" spans="8:12" x14ac:dyDescent="0.25">
      <c r="H2500" s="151" t="s">
        <v>4612</v>
      </c>
      <c r="I2500" s="151" t="s">
        <v>6962</v>
      </c>
      <c r="J2500" s="151" t="s">
        <v>6962</v>
      </c>
      <c r="K2500" s="151">
        <f t="shared" si="69"/>
        <v>0</v>
      </c>
      <c r="L2500" s="151" t="s">
        <v>9021</v>
      </c>
    </row>
    <row r="2501" spans="8:12" x14ac:dyDescent="0.25">
      <c r="H2501" s="151" t="s">
        <v>4612</v>
      </c>
      <c r="I2501" s="151" t="s">
        <v>391</v>
      </c>
      <c r="J2501" s="151" t="s">
        <v>7726</v>
      </c>
      <c r="K2501" s="151">
        <f t="shared" si="69"/>
        <v>650000000000632</v>
      </c>
      <c r="L2501" s="151" t="s">
        <v>9021</v>
      </c>
    </row>
    <row r="2502" spans="8:12" x14ac:dyDescent="0.25">
      <c r="H2502" s="151" t="s">
        <v>4613</v>
      </c>
      <c r="I2502" s="151" t="s">
        <v>6962</v>
      </c>
      <c r="J2502" s="151" t="s">
        <v>6962</v>
      </c>
      <c r="K2502" s="151">
        <f t="shared" si="69"/>
        <v>0</v>
      </c>
      <c r="L2502" s="151" t="s">
        <v>9021</v>
      </c>
    </row>
    <row r="2503" spans="8:12" x14ac:dyDescent="0.25">
      <c r="H2503" s="151" t="s">
        <v>4613</v>
      </c>
      <c r="I2503" s="151" t="s">
        <v>391</v>
      </c>
      <c r="J2503" s="151" t="s">
        <v>7727</v>
      </c>
      <c r="K2503" s="151">
        <f t="shared" si="69"/>
        <v>650000000001704</v>
      </c>
      <c r="L2503" s="151" t="s">
        <v>9021</v>
      </c>
    </row>
    <row r="2504" spans="8:12" x14ac:dyDescent="0.25">
      <c r="H2504" s="151" t="s">
        <v>4614</v>
      </c>
      <c r="I2504" s="151" t="s">
        <v>6962</v>
      </c>
      <c r="J2504" s="151" t="s">
        <v>6962</v>
      </c>
      <c r="K2504" s="151">
        <f t="shared" si="69"/>
        <v>0</v>
      </c>
      <c r="L2504" s="151" t="s">
        <v>9021</v>
      </c>
    </row>
    <row r="2505" spans="8:12" x14ac:dyDescent="0.25">
      <c r="H2505" s="151" t="s">
        <v>4614</v>
      </c>
      <c r="I2505" s="151" t="s">
        <v>391</v>
      </c>
      <c r="J2505" s="151" t="s">
        <v>7728</v>
      </c>
      <c r="K2505" s="151">
        <f t="shared" si="69"/>
        <v>650000000001705</v>
      </c>
      <c r="L2505" s="151" t="s">
        <v>9021</v>
      </c>
    </row>
    <row r="2506" spans="8:12" x14ac:dyDescent="0.25">
      <c r="H2506" s="151" t="s">
        <v>4615</v>
      </c>
      <c r="I2506" s="151" t="s">
        <v>6962</v>
      </c>
      <c r="J2506" s="151" t="s">
        <v>6962</v>
      </c>
      <c r="K2506" s="151">
        <f t="shared" si="69"/>
        <v>0</v>
      </c>
      <c r="L2506" s="151" t="s">
        <v>9021</v>
      </c>
    </row>
    <row r="2507" spans="8:12" x14ac:dyDescent="0.25">
      <c r="H2507" s="151" t="s">
        <v>4615</v>
      </c>
      <c r="I2507" s="151" t="s">
        <v>391</v>
      </c>
      <c r="J2507" s="151" t="s">
        <v>7729</v>
      </c>
      <c r="K2507" s="151">
        <f t="shared" si="69"/>
        <v>650000000001706</v>
      </c>
      <c r="L2507" s="151" t="s">
        <v>9021</v>
      </c>
    </row>
    <row r="2508" spans="8:12" x14ac:dyDescent="0.25">
      <c r="H2508" s="151" t="s">
        <v>4616</v>
      </c>
      <c r="I2508" s="151" t="s">
        <v>6962</v>
      </c>
      <c r="J2508" s="151" t="s">
        <v>6962</v>
      </c>
      <c r="K2508" s="151">
        <f t="shared" si="69"/>
        <v>0</v>
      </c>
      <c r="L2508" s="151" t="s">
        <v>9021</v>
      </c>
    </row>
    <row r="2509" spans="8:12" x14ac:dyDescent="0.25">
      <c r="H2509" s="151" t="s">
        <v>4616</v>
      </c>
      <c r="I2509" s="151" t="s">
        <v>391</v>
      </c>
      <c r="J2509" s="151" t="s">
        <v>7730</v>
      </c>
      <c r="K2509" s="151">
        <f t="shared" si="69"/>
        <v>650000000001707</v>
      </c>
      <c r="L2509" s="151" t="s">
        <v>9021</v>
      </c>
    </row>
    <row r="2510" spans="8:12" x14ac:dyDescent="0.25">
      <c r="H2510" s="151" t="s">
        <v>4617</v>
      </c>
      <c r="I2510" s="151" t="s">
        <v>6962</v>
      </c>
      <c r="J2510" s="151" t="s">
        <v>6962</v>
      </c>
      <c r="K2510" s="151">
        <f t="shared" si="69"/>
        <v>0</v>
      </c>
      <c r="L2510" s="151" t="s">
        <v>9021</v>
      </c>
    </row>
    <row r="2511" spans="8:12" x14ac:dyDescent="0.25">
      <c r="H2511" s="151" t="s">
        <v>4617</v>
      </c>
      <c r="I2511" s="151" t="s">
        <v>391</v>
      </c>
      <c r="J2511" s="151" t="s">
        <v>7731</v>
      </c>
      <c r="K2511" s="151">
        <f t="shared" si="69"/>
        <v>650000000000633</v>
      </c>
      <c r="L2511" s="151" t="s">
        <v>9021</v>
      </c>
    </row>
    <row r="2512" spans="8:12" x14ac:dyDescent="0.25">
      <c r="H2512" s="151" t="s">
        <v>4618</v>
      </c>
      <c r="I2512" s="151" t="s">
        <v>6962</v>
      </c>
      <c r="J2512" s="151" t="s">
        <v>6962</v>
      </c>
      <c r="K2512" s="151">
        <f t="shared" si="69"/>
        <v>0</v>
      </c>
      <c r="L2512" s="151" t="s">
        <v>9021</v>
      </c>
    </row>
    <row r="2513" spans="8:12" x14ac:dyDescent="0.25">
      <c r="H2513" s="151" t="s">
        <v>4618</v>
      </c>
      <c r="I2513" s="151" t="s">
        <v>391</v>
      </c>
      <c r="J2513" s="151" t="s">
        <v>7732</v>
      </c>
      <c r="K2513" s="151">
        <f t="shared" si="69"/>
        <v>650000000001708</v>
      </c>
      <c r="L2513" s="151" t="s">
        <v>9021</v>
      </c>
    </row>
    <row r="2514" spans="8:12" x14ac:dyDescent="0.25">
      <c r="H2514" s="151" t="s">
        <v>4619</v>
      </c>
      <c r="I2514" s="151" t="s">
        <v>6962</v>
      </c>
      <c r="J2514" s="151" t="s">
        <v>6962</v>
      </c>
      <c r="K2514" s="151">
        <f t="shared" si="69"/>
        <v>0</v>
      </c>
      <c r="L2514" s="151" t="s">
        <v>9021</v>
      </c>
    </row>
    <row r="2515" spans="8:12" x14ac:dyDescent="0.25">
      <c r="H2515" s="151" t="s">
        <v>4619</v>
      </c>
      <c r="I2515" s="151" t="s">
        <v>391</v>
      </c>
      <c r="J2515" s="151" t="s">
        <v>7733</v>
      </c>
      <c r="K2515" s="151">
        <f t="shared" si="69"/>
        <v>650000000000634</v>
      </c>
      <c r="L2515" s="151" t="s">
        <v>9021</v>
      </c>
    </row>
    <row r="2516" spans="8:12" x14ac:dyDescent="0.25">
      <c r="H2516" s="151" t="s">
        <v>4620</v>
      </c>
      <c r="I2516" s="151" t="s">
        <v>6962</v>
      </c>
      <c r="J2516" s="151" t="s">
        <v>6962</v>
      </c>
      <c r="K2516" s="151">
        <f t="shared" si="69"/>
        <v>0</v>
      </c>
      <c r="L2516" s="151" t="s">
        <v>9021</v>
      </c>
    </row>
    <row r="2517" spans="8:12" x14ac:dyDescent="0.25">
      <c r="H2517" s="151" t="s">
        <v>4620</v>
      </c>
      <c r="I2517" s="151" t="s">
        <v>391</v>
      </c>
      <c r="J2517" s="151" t="s">
        <v>7734</v>
      </c>
      <c r="K2517" s="151">
        <f t="shared" si="69"/>
        <v>650000000000635</v>
      </c>
      <c r="L2517" s="151" t="s">
        <v>9021</v>
      </c>
    </row>
    <row r="2518" spans="8:12" x14ac:dyDescent="0.25">
      <c r="H2518" s="151" t="s">
        <v>4621</v>
      </c>
      <c r="I2518" s="151" t="s">
        <v>6962</v>
      </c>
      <c r="J2518" s="151" t="s">
        <v>6962</v>
      </c>
      <c r="K2518" s="151">
        <f t="shared" si="69"/>
        <v>0</v>
      </c>
      <c r="L2518" s="151" t="s">
        <v>9021</v>
      </c>
    </row>
    <row r="2519" spans="8:12" x14ac:dyDescent="0.25">
      <c r="H2519" s="151" t="s">
        <v>4621</v>
      </c>
      <c r="I2519" s="151" t="s">
        <v>391</v>
      </c>
      <c r="J2519" s="151" t="s">
        <v>7735</v>
      </c>
      <c r="K2519" s="151">
        <f t="shared" si="69"/>
        <v>650000000001709</v>
      </c>
      <c r="L2519" s="151" t="s">
        <v>9021</v>
      </c>
    </row>
    <row r="2520" spans="8:12" x14ac:dyDescent="0.25">
      <c r="H2520" s="151" t="s">
        <v>4622</v>
      </c>
      <c r="I2520" s="151" t="s">
        <v>6962</v>
      </c>
      <c r="J2520" s="151" t="s">
        <v>6962</v>
      </c>
      <c r="K2520" s="151">
        <f t="shared" si="69"/>
        <v>0</v>
      </c>
      <c r="L2520" s="151" t="s">
        <v>9021</v>
      </c>
    </row>
    <row r="2521" spans="8:12" x14ac:dyDescent="0.25">
      <c r="H2521" s="151" t="s">
        <v>4622</v>
      </c>
      <c r="I2521" s="151" t="s">
        <v>391</v>
      </c>
      <c r="J2521" s="151" t="s">
        <v>7736</v>
      </c>
      <c r="K2521" s="151">
        <f t="shared" si="69"/>
        <v>650000000000636</v>
      </c>
      <c r="L2521" s="151" t="s">
        <v>9021</v>
      </c>
    </row>
    <row r="2522" spans="8:12" x14ac:dyDescent="0.25">
      <c r="H2522" s="151" t="s">
        <v>4623</v>
      </c>
      <c r="I2522" s="151" t="s">
        <v>6962</v>
      </c>
      <c r="J2522" s="151" t="s">
        <v>6962</v>
      </c>
      <c r="K2522" s="151">
        <f t="shared" si="69"/>
        <v>0</v>
      </c>
      <c r="L2522" s="151" t="s">
        <v>9021</v>
      </c>
    </row>
    <row r="2523" spans="8:12" x14ac:dyDescent="0.25">
      <c r="H2523" s="151" t="s">
        <v>4623</v>
      </c>
      <c r="I2523" s="151" t="s">
        <v>391</v>
      </c>
      <c r="J2523" s="151" t="s">
        <v>7737</v>
      </c>
      <c r="K2523" s="151">
        <f t="shared" si="69"/>
        <v>650000000001710</v>
      </c>
      <c r="L2523" s="151" t="s">
        <v>9021</v>
      </c>
    </row>
    <row r="2524" spans="8:12" x14ac:dyDescent="0.25">
      <c r="H2524" s="151" t="s">
        <v>4624</v>
      </c>
      <c r="I2524" s="151" t="s">
        <v>6962</v>
      </c>
      <c r="J2524" s="151" t="s">
        <v>6962</v>
      </c>
      <c r="K2524" s="151">
        <f t="shared" si="69"/>
        <v>0</v>
      </c>
      <c r="L2524" s="151" t="s">
        <v>9021</v>
      </c>
    </row>
    <row r="2525" spans="8:12" x14ac:dyDescent="0.25">
      <c r="H2525" s="151" t="s">
        <v>4624</v>
      </c>
      <c r="I2525" s="151" t="s">
        <v>391</v>
      </c>
      <c r="J2525" s="151" t="s">
        <v>7738</v>
      </c>
      <c r="K2525" s="151">
        <f t="shared" si="69"/>
        <v>650000000000638</v>
      </c>
      <c r="L2525" s="151" t="s">
        <v>9021</v>
      </c>
    </row>
    <row r="2526" spans="8:12" x14ac:dyDescent="0.25">
      <c r="H2526" s="151" t="s">
        <v>4625</v>
      </c>
      <c r="I2526" s="151" t="s">
        <v>6962</v>
      </c>
      <c r="J2526" s="151" t="s">
        <v>6962</v>
      </c>
      <c r="K2526" s="151">
        <f t="shared" si="69"/>
        <v>0</v>
      </c>
      <c r="L2526" s="151" t="s">
        <v>9021</v>
      </c>
    </row>
    <row r="2527" spans="8:12" x14ac:dyDescent="0.25">
      <c r="H2527" s="151" t="s">
        <v>4625</v>
      </c>
      <c r="I2527" s="151" t="s">
        <v>391</v>
      </c>
      <c r="J2527" s="151" t="s">
        <v>7739</v>
      </c>
      <c r="K2527" s="151">
        <f t="shared" si="69"/>
        <v>650000000001711</v>
      </c>
      <c r="L2527" s="151" t="s">
        <v>9021</v>
      </c>
    </row>
    <row r="2528" spans="8:12" x14ac:dyDescent="0.25">
      <c r="H2528" s="151" t="s">
        <v>6867</v>
      </c>
      <c r="I2528" s="151" t="s">
        <v>6962</v>
      </c>
      <c r="J2528" s="151" t="s">
        <v>6962</v>
      </c>
      <c r="K2528" s="151">
        <f t="shared" si="69"/>
        <v>0</v>
      </c>
      <c r="L2528" s="151" t="s">
        <v>9021</v>
      </c>
    </row>
    <row r="2529" spans="8:12" x14ac:dyDescent="0.25">
      <c r="H2529" s="151" t="s">
        <v>4626</v>
      </c>
      <c r="I2529" s="151" t="s">
        <v>6962</v>
      </c>
      <c r="J2529" s="151" t="s">
        <v>6962</v>
      </c>
      <c r="K2529" s="151">
        <f t="shared" si="69"/>
        <v>0</v>
      </c>
      <c r="L2529" s="151" t="s">
        <v>9021</v>
      </c>
    </row>
    <row r="2530" spans="8:12" x14ac:dyDescent="0.25">
      <c r="H2530" s="151" t="s">
        <v>4626</v>
      </c>
      <c r="I2530" s="151" t="s">
        <v>391</v>
      </c>
      <c r="J2530" s="151" t="s">
        <v>7740</v>
      </c>
      <c r="K2530" s="151">
        <f t="shared" si="69"/>
        <v>650000000000639</v>
      </c>
      <c r="L2530" s="151" t="s">
        <v>9021</v>
      </c>
    </row>
    <row r="2531" spans="8:12" x14ac:dyDescent="0.25">
      <c r="H2531" s="151" t="s">
        <v>4627</v>
      </c>
      <c r="I2531" s="151" t="s">
        <v>6962</v>
      </c>
      <c r="J2531" s="151" t="s">
        <v>6962</v>
      </c>
      <c r="K2531" s="151">
        <f t="shared" si="69"/>
        <v>0</v>
      </c>
      <c r="L2531" s="151" t="s">
        <v>9021</v>
      </c>
    </row>
    <row r="2532" spans="8:12" x14ac:dyDescent="0.25">
      <c r="H2532" s="151" t="s">
        <v>4627</v>
      </c>
      <c r="I2532" s="151" t="s">
        <v>391</v>
      </c>
      <c r="J2532" s="151" t="s">
        <v>7741</v>
      </c>
      <c r="K2532" s="151">
        <f t="shared" si="69"/>
        <v>650000000000640</v>
      </c>
      <c r="L2532" s="151" t="s">
        <v>9021</v>
      </c>
    </row>
    <row r="2533" spans="8:12" x14ac:dyDescent="0.25">
      <c r="H2533" s="151" t="s">
        <v>4628</v>
      </c>
      <c r="I2533" s="151" t="s">
        <v>6962</v>
      </c>
      <c r="J2533" s="151" t="s">
        <v>6962</v>
      </c>
      <c r="K2533" s="151">
        <f t="shared" si="69"/>
        <v>0</v>
      </c>
      <c r="L2533" s="151" t="s">
        <v>9021</v>
      </c>
    </row>
    <row r="2534" spans="8:12" x14ac:dyDescent="0.25">
      <c r="H2534" s="151" t="s">
        <v>4628</v>
      </c>
      <c r="I2534" s="151" t="s">
        <v>391</v>
      </c>
      <c r="J2534" s="151" t="s">
        <v>7742</v>
      </c>
      <c r="K2534" s="151">
        <f t="shared" si="69"/>
        <v>650000000001712</v>
      </c>
      <c r="L2534" s="151" t="s">
        <v>9021</v>
      </c>
    </row>
    <row r="2535" spans="8:12" x14ac:dyDescent="0.25">
      <c r="H2535" s="151" t="s">
        <v>4629</v>
      </c>
      <c r="I2535" s="151" t="s">
        <v>6962</v>
      </c>
      <c r="J2535" s="151" t="s">
        <v>6962</v>
      </c>
      <c r="K2535" s="151">
        <f t="shared" si="69"/>
        <v>0</v>
      </c>
      <c r="L2535" s="151" t="s">
        <v>9021</v>
      </c>
    </row>
    <row r="2536" spans="8:12" x14ac:dyDescent="0.25">
      <c r="H2536" s="151" t="s">
        <v>4629</v>
      </c>
      <c r="I2536" s="151" t="s">
        <v>391</v>
      </c>
      <c r="J2536" s="151" t="s">
        <v>7743</v>
      </c>
      <c r="K2536" s="151">
        <f t="shared" si="69"/>
        <v>650000000000641</v>
      </c>
      <c r="L2536" s="151" t="s">
        <v>9021</v>
      </c>
    </row>
    <row r="2537" spans="8:12" x14ac:dyDescent="0.25">
      <c r="H2537" s="151" t="s">
        <v>4630</v>
      </c>
      <c r="I2537" s="151" t="s">
        <v>6962</v>
      </c>
      <c r="J2537" s="151" t="s">
        <v>6962</v>
      </c>
      <c r="K2537" s="151">
        <f t="shared" si="69"/>
        <v>0</v>
      </c>
      <c r="L2537" s="151" t="s">
        <v>9021</v>
      </c>
    </row>
    <row r="2538" spans="8:12" x14ac:dyDescent="0.25">
      <c r="H2538" s="151" t="s">
        <v>4630</v>
      </c>
      <c r="I2538" s="151" t="s">
        <v>391</v>
      </c>
      <c r="J2538" s="151" t="s">
        <v>7744</v>
      </c>
      <c r="K2538" s="151">
        <f t="shared" si="69"/>
        <v>650000000001713</v>
      </c>
      <c r="L2538" s="151" t="s">
        <v>9021</v>
      </c>
    </row>
    <row r="2539" spans="8:12" x14ac:dyDescent="0.25">
      <c r="H2539" s="151" t="s">
        <v>4631</v>
      </c>
      <c r="I2539" s="151" t="s">
        <v>6962</v>
      </c>
      <c r="J2539" s="151" t="s">
        <v>6962</v>
      </c>
      <c r="K2539" s="151">
        <f t="shared" si="69"/>
        <v>0</v>
      </c>
      <c r="L2539" s="151" t="s">
        <v>9021</v>
      </c>
    </row>
    <row r="2540" spans="8:12" x14ac:dyDescent="0.25">
      <c r="H2540" s="151" t="s">
        <v>4631</v>
      </c>
      <c r="I2540" s="151" t="s">
        <v>391</v>
      </c>
      <c r="J2540" s="151" t="s">
        <v>7745</v>
      </c>
      <c r="K2540" s="151">
        <f t="shared" si="69"/>
        <v>650000000001714</v>
      </c>
      <c r="L2540" s="151" t="s">
        <v>9021</v>
      </c>
    </row>
    <row r="2541" spans="8:12" x14ac:dyDescent="0.25">
      <c r="H2541" s="151" t="s">
        <v>4632</v>
      </c>
      <c r="I2541" s="151" t="s">
        <v>6962</v>
      </c>
      <c r="J2541" s="151" t="s">
        <v>6962</v>
      </c>
      <c r="K2541" s="151">
        <f t="shared" si="69"/>
        <v>0</v>
      </c>
      <c r="L2541" s="151" t="s">
        <v>9021</v>
      </c>
    </row>
    <row r="2542" spans="8:12" x14ac:dyDescent="0.25">
      <c r="H2542" s="151" t="s">
        <v>4632</v>
      </c>
      <c r="I2542" s="151" t="s">
        <v>391</v>
      </c>
      <c r="J2542" s="151" t="s">
        <v>7746</v>
      </c>
      <c r="K2542" s="151">
        <f t="shared" si="69"/>
        <v>650000000001715</v>
      </c>
      <c r="L2542" s="151" t="s">
        <v>9021</v>
      </c>
    </row>
    <row r="2543" spans="8:12" x14ac:dyDescent="0.25">
      <c r="H2543" s="151" t="s">
        <v>4633</v>
      </c>
      <c r="I2543" s="151" t="s">
        <v>6962</v>
      </c>
      <c r="J2543" s="151" t="s">
        <v>6962</v>
      </c>
      <c r="K2543" s="151">
        <f t="shared" si="69"/>
        <v>0</v>
      </c>
      <c r="L2543" s="151" t="s">
        <v>9021</v>
      </c>
    </row>
    <row r="2544" spans="8:12" x14ac:dyDescent="0.25">
      <c r="H2544" s="151" t="s">
        <v>4633</v>
      </c>
      <c r="I2544" s="151" t="s">
        <v>391</v>
      </c>
      <c r="J2544" s="151" t="s">
        <v>7747</v>
      </c>
      <c r="K2544" s="151">
        <f t="shared" si="69"/>
        <v>650000000001716</v>
      </c>
      <c r="L2544" s="151" t="s">
        <v>9021</v>
      </c>
    </row>
    <row r="2545" spans="8:12" x14ac:dyDescent="0.25">
      <c r="H2545" s="151" t="s">
        <v>4634</v>
      </c>
      <c r="I2545" s="151" t="s">
        <v>6962</v>
      </c>
      <c r="J2545" s="151" t="s">
        <v>6962</v>
      </c>
      <c r="K2545" s="151">
        <f t="shared" si="69"/>
        <v>0</v>
      </c>
      <c r="L2545" s="151" t="s">
        <v>9021</v>
      </c>
    </row>
    <row r="2546" spans="8:12" x14ac:dyDescent="0.25">
      <c r="H2546" s="151" t="s">
        <v>4634</v>
      </c>
      <c r="I2546" s="151" t="s">
        <v>391</v>
      </c>
      <c r="J2546" s="151" t="s">
        <v>7748</v>
      </c>
      <c r="K2546" s="151">
        <f t="shared" si="69"/>
        <v>650000000000642</v>
      </c>
      <c r="L2546" s="151" t="s">
        <v>9021</v>
      </c>
    </row>
    <row r="2547" spans="8:12" x14ac:dyDescent="0.25">
      <c r="H2547" s="151" t="s">
        <v>4635</v>
      </c>
      <c r="I2547" s="151" t="s">
        <v>6962</v>
      </c>
      <c r="J2547" s="151" t="s">
        <v>6962</v>
      </c>
      <c r="K2547" s="151">
        <f t="shared" si="69"/>
        <v>0</v>
      </c>
      <c r="L2547" s="151" t="s">
        <v>9021</v>
      </c>
    </row>
    <row r="2548" spans="8:12" x14ac:dyDescent="0.25">
      <c r="H2548" s="151" t="s">
        <v>4635</v>
      </c>
      <c r="I2548" s="151" t="s">
        <v>391</v>
      </c>
      <c r="J2548" s="151" t="s">
        <v>7749</v>
      </c>
      <c r="K2548" s="151">
        <f t="shared" si="69"/>
        <v>650000000001717</v>
      </c>
      <c r="L2548" s="151" t="s">
        <v>9021</v>
      </c>
    </row>
    <row r="2549" spans="8:12" x14ac:dyDescent="0.25">
      <c r="H2549" s="151" t="s">
        <v>4636</v>
      </c>
      <c r="I2549" s="151" t="s">
        <v>6962</v>
      </c>
      <c r="J2549" s="151" t="s">
        <v>6962</v>
      </c>
      <c r="K2549" s="151">
        <f t="shared" si="69"/>
        <v>0</v>
      </c>
      <c r="L2549" s="151" t="s">
        <v>9021</v>
      </c>
    </row>
    <row r="2550" spans="8:12" x14ac:dyDescent="0.25">
      <c r="H2550" s="151" t="s">
        <v>4636</v>
      </c>
      <c r="I2550" s="151" t="s">
        <v>391</v>
      </c>
      <c r="J2550" s="151" t="s">
        <v>7750</v>
      </c>
      <c r="K2550" s="151">
        <f t="shared" si="69"/>
        <v>650000000001718</v>
      </c>
      <c r="L2550" s="151" t="s">
        <v>9021</v>
      </c>
    </row>
    <row r="2551" spans="8:12" x14ac:dyDescent="0.25">
      <c r="H2551" s="151" t="s">
        <v>4637</v>
      </c>
      <c r="I2551" s="151" t="s">
        <v>6962</v>
      </c>
      <c r="J2551" s="151" t="s">
        <v>6962</v>
      </c>
      <c r="K2551" s="151">
        <f t="shared" si="69"/>
        <v>0</v>
      </c>
      <c r="L2551" s="151" t="s">
        <v>9021</v>
      </c>
    </row>
    <row r="2552" spans="8:12" x14ac:dyDescent="0.25">
      <c r="H2552" s="151" t="s">
        <v>4637</v>
      </c>
      <c r="I2552" s="151" t="s">
        <v>391</v>
      </c>
      <c r="J2552" s="151" t="s">
        <v>7751</v>
      </c>
      <c r="K2552" s="151">
        <f t="shared" si="69"/>
        <v>650000000000643</v>
      </c>
      <c r="L2552" s="151" t="s">
        <v>9021</v>
      </c>
    </row>
    <row r="2553" spans="8:12" x14ac:dyDescent="0.25">
      <c r="H2553" s="151" t="s">
        <v>4638</v>
      </c>
      <c r="I2553" s="151" t="s">
        <v>6962</v>
      </c>
      <c r="J2553" s="151" t="s">
        <v>6962</v>
      </c>
      <c r="K2553" s="151">
        <f t="shared" si="69"/>
        <v>0</v>
      </c>
      <c r="L2553" s="151" t="s">
        <v>9021</v>
      </c>
    </row>
    <row r="2554" spans="8:12" x14ac:dyDescent="0.25">
      <c r="H2554" s="151" t="s">
        <v>4638</v>
      </c>
      <c r="I2554" s="151" t="s">
        <v>391</v>
      </c>
      <c r="J2554" s="151" t="s">
        <v>7752</v>
      </c>
      <c r="K2554" s="151">
        <f t="shared" si="69"/>
        <v>650000000000644</v>
      </c>
      <c r="L2554" s="151" t="s">
        <v>9021</v>
      </c>
    </row>
    <row r="2555" spans="8:12" x14ac:dyDescent="0.25">
      <c r="H2555" s="151" t="s">
        <v>6868</v>
      </c>
      <c r="I2555" s="151" t="s">
        <v>6962</v>
      </c>
      <c r="J2555" s="151" t="s">
        <v>6962</v>
      </c>
      <c r="K2555" s="151">
        <f t="shared" si="69"/>
        <v>0</v>
      </c>
      <c r="L2555" s="151" t="s">
        <v>9021</v>
      </c>
    </row>
    <row r="2556" spans="8:12" x14ac:dyDescent="0.25">
      <c r="H2556" s="151" t="s">
        <v>4639</v>
      </c>
      <c r="I2556" s="151" t="s">
        <v>6962</v>
      </c>
      <c r="J2556" s="151" t="s">
        <v>6962</v>
      </c>
      <c r="K2556" s="151">
        <f t="shared" si="69"/>
        <v>0</v>
      </c>
      <c r="L2556" s="151" t="s">
        <v>9021</v>
      </c>
    </row>
    <row r="2557" spans="8:12" x14ac:dyDescent="0.25">
      <c r="H2557" s="151" t="s">
        <v>4639</v>
      </c>
      <c r="I2557" s="151" t="s">
        <v>391</v>
      </c>
      <c r="J2557" s="151" t="s">
        <v>7753</v>
      </c>
      <c r="K2557" s="151">
        <f t="shared" si="69"/>
        <v>650000000000645</v>
      </c>
      <c r="L2557" s="151" t="s">
        <v>9021</v>
      </c>
    </row>
    <row r="2558" spans="8:12" x14ac:dyDescent="0.25">
      <c r="H2558" s="151" t="s">
        <v>4640</v>
      </c>
      <c r="I2558" s="151" t="s">
        <v>6962</v>
      </c>
      <c r="J2558" s="151" t="s">
        <v>6962</v>
      </c>
      <c r="K2558" s="151">
        <f t="shared" si="69"/>
        <v>0</v>
      </c>
      <c r="L2558" s="151" t="s">
        <v>9021</v>
      </c>
    </row>
    <row r="2559" spans="8:12" x14ac:dyDescent="0.25">
      <c r="H2559" s="151" t="s">
        <v>4640</v>
      </c>
      <c r="I2559" s="151" t="s">
        <v>391</v>
      </c>
      <c r="J2559" s="151" t="s">
        <v>7754</v>
      </c>
      <c r="K2559" s="151">
        <f t="shared" si="69"/>
        <v>650000000001719</v>
      </c>
      <c r="L2559" s="151" t="s">
        <v>9021</v>
      </c>
    </row>
    <row r="2560" spans="8:12" x14ac:dyDescent="0.25">
      <c r="H2560" s="151" t="s">
        <v>4641</v>
      </c>
      <c r="I2560" s="151" t="s">
        <v>6962</v>
      </c>
      <c r="J2560" s="151" t="s">
        <v>6962</v>
      </c>
      <c r="K2560" s="151">
        <f t="shared" si="69"/>
        <v>0</v>
      </c>
      <c r="L2560" s="151" t="s">
        <v>9021</v>
      </c>
    </row>
    <row r="2561" spans="8:12" x14ac:dyDescent="0.25">
      <c r="H2561" s="151" t="s">
        <v>4641</v>
      </c>
      <c r="I2561" s="151" t="s">
        <v>391</v>
      </c>
      <c r="J2561" s="151" t="s">
        <v>7755</v>
      </c>
      <c r="K2561" s="151">
        <f t="shared" si="69"/>
        <v>650000000001720</v>
      </c>
      <c r="L2561" s="151" t="s">
        <v>9021</v>
      </c>
    </row>
    <row r="2562" spans="8:12" x14ac:dyDescent="0.25">
      <c r="H2562" s="151" t="s">
        <v>4642</v>
      </c>
      <c r="I2562" s="151" t="s">
        <v>6962</v>
      </c>
      <c r="J2562" s="151" t="s">
        <v>6962</v>
      </c>
      <c r="K2562" s="151">
        <f t="shared" si="69"/>
        <v>0</v>
      </c>
      <c r="L2562" s="151" t="s">
        <v>9021</v>
      </c>
    </row>
    <row r="2563" spans="8:12" x14ac:dyDescent="0.25">
      <c r="H2563" s="151" t="s">
        <v>4642</v>
      </c>
      <c r="I2563" s="151" t="s">
        <v>391</v>
      </c>
      <c r="J2563" s="151" t="s">
        <v>7756</v>
      </c>
      <c r="K2563" s="151">
        <f t="shared" ref="K2563:K2626" si="70">+IFERROR(J2563*1,0)</f>
        <v>650000000000646</v>
      </c>
      <c r="L2563" s="151" t="s">
        <v>9021</v>
      </c>
    </row>
    <row r="2564" spans="8:12" x14ac:dyDescent="0.25">
      <c r="H2564" s="151" t="s">
        <v>4643</v>
      </c>
      <c r="I2564" s="151" t="s">
        <v>6962</v>
      </c>
      <c r="J2564" s="151" t="s">
        <v>6962</v>
      </c>
      <c r="K2564" s="151">
        <f t="shared" si="70"/>
        <v>0</v>
      </c>
      <c r="L2564" s="151" t="s">
        <v>9021</v>
      </c>
    </row>
    <row r="2565" spans="8:12" x14ac:dyDescent="0.25">
      <c r="H2565" s="151" t="s">
        <v>4643</v>
      </c>
      <c r="I2565" s="151" t="s">
        <v>391</v>
      </c>
      <c r="J2565" s="151" t="s">
        <v>7757</v>
      </c>
      <c r="K2565" s="151">
        <f t="shared" si="70"/>
        <v>650000000001721</v>
      </c>
      <c r="L2565" s="151" t="s">
        <v>9021</v>
      </c>
    </row>
    <row r="2566" spans="8:12" x14ac:dyDescent="0.25">
      <c r="H2566" s="151" t="s">
        <v>4644</v>
      </c>
      <c r="I2566" s="151" t="s">
        <v>6962</v>
      </c>
      <c r="J2566" s="151" t="s">
        <v>6962</v>
      </c>
      <c r="K2566" s="151">
        <f t="shared" si="70"/>
        <v>0</v>
      </c>
      <c r="L2566" s="151" t="s">
        <v>9021</v>
      </c>
    </row>
    <row r="2567" spans="8:12" x14ac:dyDescent="0.25">
      <c r="H2567" s="151" t="s">
        <v>4644</v>
      </c>
      <c r="I2567" s="151" t="s">
        <v>391</v>
      </c>
      <c r="J2567" s="151" t="s">
        <v>7758</v>
      </c>
      <c r="K2567" s="151">
        <f t="shared" si="70"/>
        <v>650000000001722</v>
      </c>
      <c r="L2567" s="151" t="s">
        <v>9021</v>
      </c>
    </row>
    <row r="2568" spans="8:12" x14ac:dyDescent="0.25">
      <c r="H2568" s="151" t="s">
        <v>4645</v>
      </c>
      <c r="I2568" s="151" t="s">
        <v>6962</v>
      </c>
      <c r="J2568" s="151" t="s">
        <v>6962</v>
      </c>
      <c r="K2568" s="151">
        <f t="shared" si="70"/>
        <v>0</v>
      </c>
      <c r="L2568" s="151" t="s">
        <v>9021</v>
      </c>
    </row>
    <row r="2569" spans="8:12" x14ac:dyDescent="0.25">
      <c r="H2569" s="151" t="s">
        <v>4645</v>
      </c>
      <c r="I2569" s="151" t="s">
        <v>391</v>
      </c>
      <c r="J2569" s="151" t="s">
        <v>7759</v>
      </c>
      <c r="K2569" s="151">
        <f t="shared" si="70"/>
        <v>650000000000647</v>
      </c>
      <c r="L2569" s="151" t="s">
        <v>9021</v>
      </c>
    </row>
    <row r="2570" spans="8:12" x14ac:dyDescent="0.25">
      <c r="H2570" s="151" t="s">
        <v>4646</v>
      </c>
      <c r="I2570" s="151" t="s">
        <v>6962</v>
      </c>
      <c r="J2570" s="151" t="s">
        <v>6962</v>
      </c>
      <c r="K2570" s="151">
        <f t="shared" si="70"/>
        <v>0</v>
      </c>
      <c r="L2570" s="151" t="s">
        <v>9021</v>
      </c>
    </row>
    <row r="2571" spans="8:12" x14ac:dyDescent="0.25">
      <c r="H2571" s="151" t="s">
        <v>4646</v>
      </c>
      <c r="I2571" s="151" t="s">
        <v>391</v>
      </c>
      <c r="J2571" s="151" t="s">
        <v>7760</v>
      </c>
      <c r="K2571" s="151">
        <f t="shared" si="70"/>
        <v>650000000000648</v>
      </c>
      <c r="L2571" s="151" t="s">
        <v>9021</v>
      </c>
    </row>
    <row r="2572" spans="8:12" x14ac:dyDescent="0.25">
      <c r="H2572" s="151" t="s">
        <v>6869</v>
      </c>
      <c r="I2572" s="151" t="s">
        <v>6962</v>
      </c>
      <c r="J2572" s="151" t="s">
        <v>6962</v>
      </c>
      <c r="K2572" s="151">
        <f t="shared" si="70"/>
        <v>0</v>
      </c>
      <c r="L2572" s="151" t="s">
        <v>9021</v>
      </c>
    </row>
    <row r="2573" spans="8:12" x14ac:dyDescent="0.25">
      <c r="H2573" s="151" t="s">
        <v>4647</v>
      </c>
      <c r="I2573" s="151" t="s">
        <v>6962</v>
      </c>
      <c r="J2573" s="151" t="s">
        <v>6962</v>
      </c>
      <c r="K2573" s="151">
        <f t="shared" si="70"/>
        <v>0</v>
      </c>
      <c r="L2573" s="151" t="s">
        <v>9021</v>
      </c>
    </row>
    <row r="2574" spans="8:12" x14ac:dyDescent="0.25">
      <c r="H2574" s="151" t="s">
        <v>4647</v>
      </c>
      <c r="I2574" s="151" t="s">
        <v>391</v>
      </c>
      <c r="J2574" s="151" t="s">
        <v>7761</v>
      </c>
      <c r="K2574" s="151">
        <f t="shared" si="70"/>
        <v>650000000000649</v>
      </c>
      <c r="L2574" s="151" t="s">
        <v>9021</v>
      </c>
    </row>
    <row r="2575" spans="8:12" x14ac:dyDescent="0.25">
      <c r="H2575" s="151" t="s">
        <v>4648</v>
      </c>
      <c r="I2575" s="151" t="s">
        <v>6962</v>
      </c>
      <c r="J2575" s="151" t="s">
        <v>6962</v>
      </c>
      <c r="K2575" s="151">
        <f t="shared" si="70"/>
        <v>0</v>
      </c>
      <c r="L2575" s="151" t="s">
        <v>9021</v>
      </c>
    </row>
    <row r="2576" spans="8:12" x14ac:dyDescent="0.25">
      <c r="H2576" s="151" t="s">
        <v>4648</v>
      </c>
      <c r="I2576" s="151" t="s">
        <v>391</v>
      </c>
      <c r="J2576" s="151" t="s">
        <v>7762</v>
      </c>
      <c r="K2576" s="151">
        <f t="shared" si="70"/>
        <v>650000000000650</v>
      </c>
      <c r="L2576" s="151" t="s">
        <v>9021</v>
      </c>
    </row>
    <row r="2577" spans="8:12" x14ac:dyDescent="0.25">
      <c r="H2577" s="151" t="s">
        <v>4649</v>
      </c>
      <c r="I2577" s="151" t="s">
        <v>6962</v>
      </c>
      <c r="J2577" s="151" t="s">
        <v>6962</v>
      </c>
      <c r="K2577" s="151">
        <f t="shared" si="70"/>
        <v>0</v>
      </c>
      <c r="L2577" s="151" t="s">
        <v>9021</v>
      </c>
    </row>
    <row r="2578" spans="8:12" x14ac:dyDescent="0.25">
      <c r="H2578" s="151" t="s">
        <v>4649</v>
      </c>
      <c r="I2578" s="151" t="s">
        <v>391</v>
      </c>
      <c r="J2578" s="151" t="s">
        <v>7763</v>
      </c>
      <c r="K2578" s="151">
        <f t="shared" si="70"/>
        <v>650000000000651</v>
      </c>
      <c r="L2578" s="151" t="s">
        <v>9021</v>
      </c>
    </row>
    <row r="2579" spans="8:12" x14ac:dyDescent="0.25">
      <c r="H2579" s="151" t="s">
        <v>4650</v>
      </c>
      <c r="I2579" s="151" t="s">
        <v>6962</v>
      </c>
      <c r="J2579" s="151" t="s">
        <v>6962</v>
      </c>
      <c r="K2579" s="151">
        <f t="shared" si="70"/>
        <v>0</v>
      </c>
      <c r="L2579" s="151" t="s">
        <v>9021</v>
      </c>
    </row>
    <row r="2580" spans="8:12" x14ac:dyDescent="0.25">
      <c r="H2580" s="151" t="s">
        <v>4650</v>
      </c>
      <c r="I2580" s="151" t="s">
        <v>391</v>
      </c>
      <c r="J2580" s="151" t="s">
        <v>7764</v>
      </c>
      <c r="K2580" s="151">
        <f t="shared" si="70"/>
        <v>650000000000652</v>
      </c>
      <c r="L2580" s="151" t="s">
        <v>9021</v>
      </c>
    </row>
    <row r="2581" spans="8:12" x14ac:dyDescent="0.25">
      <c r="H2581" s="151" t="s">
        <v>4651</v>
      </c>
      <c r="I2581" s="151" t="s">
        <v>6962</v>
      </c>
      <c r="J2581" s="151" t="s">
        <v>6962</v>
      </c>
      <c r="K2581" s="151">
        <f t="shared" si="70"/>
        <v>0</v>
      </c>
      <c r="L2581" s="151" t="s">
        <v>9021</v>
      </c>
    </row>
    <row r="2582" spans="8:12" x14ac:dyDescent="0.25">
      <c r="H2582" s="151" t="s">
        <v>4651</v>
      </c>
      <c r="I2582" s="151" t="s">
        <v>391</v>
      </c>
      <c r="J2582" s="151" t="s">
        <v>7765</v>
      </c>
      <c r="K2582" s="151">
        <f t="shared" si="70"/>
        <v>650000000000653</v>
      </c>
      <c r="L2582" s="151" t="s">
        <v>9021</v>
      </c>
    </row>
    <row r="2583" spans="8:12" x14ac:dyDescent="0.25">
      <c r="H2583" s="151" t="s">
        <v>4652</v>
      </c>
      <c r="I2583" s="151" t="s">
        <v>6962</v>
      </c>
      <c r="J2583" s="151" t="s">
        <v>6962</v>
      </c>
      <c r="K2583" s="151">
        <f t="shared" si="70"/>
        <v>0</v>
      </c>
      <c r="L2583" s="151" t="s">
        <v>9021</v>
      </c>
    </row>
    <row r="2584" spans="8:12" x14ac:dyDescent="0.25">
      <c r="H2584" s="151" t="s">
        <v>4652</v>
      </c>
      <c r="I2584" s="151" t="s">
        <v>391</v>
      </c>
      <c r="J2584" s="151" t="s">
        <v>7766</v>
      </c>
      <c r="K2584" s="151">
        <f t="shared" si="70"/>
        <v>650000000000654</v>
      </c>
      <c r="L2584" s="151" t="s">
        <v>9021</v>
      </c>
    </row>
    <row r="2585" spans="8:12" x14ac:dyDescent="0.25">
      <c r="H2585" s="151" t="s">
        <v>4653</v>
      </c>
      <c r="I2585" s="151" t="s">
        <v>6962</v>
      </c>
      <c r="J2585" s="151" t="s">
        <v>6962</v>
      </c>
      <c r="K2585" s="151">
        <f t="shared" si="70"/>
        <v>0</v>
      </c>
      <c r="L2585" s="151" t="s">
        <v>9021</v>
      </c>
    </row>
    <row r="2586" spans="8:12" x14ac:dyDescent="0.25">
      <c r="H2586" s="151" t="s">
        <v>4653</v>
      </c>
      <c r="I2586" s="151" t="s">
        <v>391</v>
      </c>
      <c r="J2586" s="151" t="s">
        <v>7767</v>
      </c>
      <c r="K2586" s="151">
        <f t="shared" si="70"/>
        <v>650000000001723</v>
      </c>
      <c r="L2586" s="151" t="s">
        <v>9021</v>
      </c>
    </row>
    <row r="2587" spans="8:12" x14ac:dyDescent="0.25">
      <c r="H2587" s="151" t="s">
        <v>4654</v>
      </c>
      <c r="I2587" s="151" t="s">
        <v>6962</v>
      </c>
      <c r="J2587" s="151" t="s">
        <v>6962</v>
      </c>
      <c r="K2587" s="151">
        <f t="shared" si="70"/>
        <v>0</v>
      </c>
      <c r="L2587" s="151" t="s">
        <v>9021</v>
      </c>
    </row>
    <row r="2588" spans="8:12" x14ac:dyDescent="0.25">
      <c r="H2588" s="151" t="s">
        <v>4654</v>
      </c>
      <c r="I2588" s="151" t="s">
        <v>391</v>
      </c>
      <c r="J2588" s="151" t="s">
        <v>7768</v>
      </c>
      <c r="K2588" s="151">
        <f t="shared" si="70"/>
        <v>650000000001724</v>
      </c>
      <c r="L2588" s="151" t="s">
        <v>9021</v>
      </c>
    </row>
    <row r="2589" spans="8:12" x14ac:dyDescent="0.25">
      <c r="H2589" s="151" t="s">
        <v>4655</v>
      </c>
      <c r="I2589" s="151" t="s">
        <v>6962</v>
      </c>
      <c r="J2589" s="151" t="s">
        <v>6962</v>
      </c>
      <c r="K2589" s="151">
        <f t="shared" si="70"/>
        <v>0</v>
      </c>
      <c r="L2589" s="151" t="s">
        <v>9021</v>
      </c>
    </row>
    <row r="2590" spans="8:12" x14ac:dyDescent="0.25">
      <c r="H2590" s="151" t="s">
        <v>4655</v>
      </c>
      <c r="I2590" s="151" t="s">
        <v>391</v>
      </c>
      <c r="J2590" s="151" t="s">
        <v>7769</v>
      </c>
      <c r="K2590" s="151">
        <f t="shared" si="70"/>
        <v>650000000000655</v>
      </c>
      <c r="L2590" s="151" t="s">
        <v>9021</v>
      </c>
    </row>
    <row r="2591" spans="8:12" x14ac:dyDescent="0.25">
      <c r="H2591" s="151" t="s">
        <v>4656</v>
      </c>
      <c r="I2591" s="151" t="s">
        <v>6962</v>
      </c>
      <c r="J2591" s="151" t="s">
        <v>6962</v>
      </c>
      <c r="K2591" s="151">
        <f t="shared" si="70"/>
        <v>0</v>
      </c>
      <c r="L2591" s="151" t="s">
        <v>9021</v>
      </c>
    </row>
    <row r="2592" spans="8:12" x14ac:dyDescent="0.25">
      <c r="H2592" s="151" t="s">
        <v>4656</v>
      </c>
      <c r="I2592" s="151" t="s">
        <v>391</v>
      </c>
      <c r="J2592" s="151" t="s">
        <v>7770</v>
      </c>
      <c r="K2592" s="151">
        <f t="shared" si="70"/>
        <v>650000000001725</v>
      </c>
      <c r="L2592" s="151" t="s">
        <v>9021</v>
      </c>
    </row>
    <row r="2593" spans="8:12" x14ac:dyDescent="0.25">
      <c r="H2593" s="151" t="s">
        <v>4657</v>
      </c>
      <c r="I2593" s="151" t="s">
        <v>6962</v>
      </c>
      <c r="J2593" s="151" t="s">
        <v>6962</v>
      </c>
      <c r="K2593" s="151">
        <f t="shared" si="70"/>
        <v>0</v>
      </c>
      <c r="L2593" s="151" t="s">
        <v>9021</v>
      </c>
    </row>
    <row r="2594" spans="8:12" x14ac:dyDescent="0.25">
      <c r="H2594" s="151" t="s">
        <v>4657</v>
      </c>
      <c r="I2594" s="151" t="s">
        <v>391</v>
      </c>
      <c r="J2594" s="151" t="s">
        <v>7771</v>
      </c>
      <c r="K2594" s="151">
        <f t="shared" si="70"/>
        <v>650000000001726</v>
      </c>
      <c r="L2594" s="151" t="s">
        <v>9021</v>
      </c>
    </row>
    <row r="2595" spans="8:12" x14ac:dyDescent="0.25">
      <c r="H2595" s="151" t="s">
        <v>4658</v>
      </c>
      <c r="I2595" s="151" t="s">
        <v>6962</v>
      </c>
      <c r="J2595" s="151" t="s">
        <v>6962</v>
      </c>
      <c r="K2595" s="151">
        <f t="shared" si="70"/>
        <v>0</v>
      </c>
      <c r="L2595" s="151" t="s">
        <v>9021</v>
      </c>
    </row>
    <row r="2596" spans="8:12" x14ac:dyDescent="0.25">
      <c r="H2596" s="151" t="s">
        <v>4658</v>
      </c>
      <c r="I2596" s="151" t="s">
        <v>391</v>
      </c>
      <c r="J2596" s="151" t="s">
        <v>7772</v>
      </c>
      <c r="K2596" s="151">
        <f t="shared" si="70"/>
        <v>650000000001727</v>
      </c>
      <c r="L2596" s="151" t="s">
        <v>9021</v>
      </c>
    </row>
    <row r="2597" spans="8:12" x14ac:dyDescent="0.25">
      <c r="H2597" s="151" t="s">
        <v>4659</v>
      </c>
      <c r="I2597" s="151" t="s">
        <v>6962</v>
      </c>
      <c r="J2597" s="151" t="s">
        <v>6962</v>
      </c>
      <c r="K2597" s="151">
        <f t="shared" si="70"/>
        <v>0</v>
      </c>
      <c r="L2597" s="151" t="s">
        <v>9022</v>
      </c>
    </row>
    <row r="2598" spans="8:12" x14ac:dyDescent="0.25">
      <c r="H2598" s="151" t="s">
        <v>4659</v>
      </c>
      <c r="I2598" s="151" t="s">
        <v>391</v>
      </c>
      <c r="J2598" s="151" t="s">
        <v>7773</v>
      </c>
      <c r="K2598" s="151">
        <f t="shared" si="70"/>
        <v>650000000000656</v>
      </c>
      <c r="L2598" s="151" t="s">
        <v>9022</v>
      </c>
    </row>
    <row r="2599" spans="8:12" x14ac:dyDescent="0.25">
      <c r="H2599" s="151" t="s">
        <v>4660</v>
      </c>
      <c r="I2599" s="151" t="s">
        <v>6962</v>
      </c>
      <c r="J2599" s="151" t="s">
        <v>6962</v>
      </c>
      <c r="K2599" s="151">
        <f t="shared" si="70"/>
        <v>0</v>
      </c>
      <c r="L2599" s="151" t="s">
        <v>9021</v>
      </c>
    </row>
    <row r="2600" spans="8:12" x14ac:dyDescent="0.25">
      <c r="H2600" s="151" t="s">
        <v>4660</v>
      </c>
      <c r="I2600" s="151" t="s">
        <v>391</v>
      </c>
      <c r="J2600" s="151" t="s">
        <v>7774</v>
      </c>
      <c r="K2600" s="151">
        <f t="shared" si="70"/>
        <v>650000000001728</v>
      </c>
      <c r="L2600" s="151" t="s">
        <v>9021</v>
      </c>
    </row>
    <row r="2601" spans="8:12" x14ac:dyDescent="0.25">
      <c r="H2601" s="151" t="s">
        <v>4661</v>
      </c>
      <c r="I2601" s="151" t="s">
        <v>6962</v>
      </c>
      <c r="J2601" s="151" t="s">
        <v>6962</v>
      </c>
      <c r="K2601" s="151">
        <f t="shared" si="70"/>
        <v>0</v>
      </c>
      <c r="L2601" s="151" t="s">
        <v>9021</v>
      </c>
    </row>
    <row r="2602" spans="8:12" x14ac:dyDescent="0.25">
      <c r="H2602" s="151" t="s">
        <v>4661</v>
      </c>
      <c r="I2602" s="151" t="s">
        <v>391</v>
      </c>
      <c r="J2602" s="151" t="s">
        <v>7775</v>
      </c>
      <c r="K2602" s="151">
        <f t="shared" si="70"/>
        <v>650000000001729</v>
      </c>
      <c r="L2602" s="151" t="s">
        <v>9021</v>
      </c>
    </row>
    <row r="2603" spans="8:12" x14ac:dyDescent="0.25">
      <c r="H2603" s="151" t="s">
        <v>4662</v>
      </c>
      <c r="I2603" s="151" t="s">
        <v>6962</v>
      </c>
      <c r="J2603" s="151" t="s">
        <v>6962</v>
      </c>
      <c r="K2603" s="151">
        <f t="shared" si="70"/>
        <v>0</v>
      </c>
      <c r="L2603" s="151" t="s">
        <v>9021</v>
      </c>
    </row>
    <row r="2604" spans="8:12" x14ac:dyDescent="0.25">
      <c r="H2604" s="151" t="s">
        <v>4662</v>
      </c>
      <c r="I2604" s="151" t="s">
        <v>391</v>
      </c>
      <c r="J2604" s="151" t="s">
        <v>7776</v>
      </c>
      <c r="K2604" s="151">
        <f t="shared" si="70"/>
        <v>650000000000657</v>
      </c>
      <c r="L2604" s="151" t="s">
        <v>9021</v>
      </c>
    </row>
    <row r="2605" spans="8:12" x14ac:dyDescent="0.25">
      <c r="H2605" s="151" t="s">
        <v>4663</v>
      </c>
      <c r="I2605" s="151" t="s">
        <v>6962</v>
      </c>
      <c r="J2605" s="151" t="s">
        <v>6962</v>
      </c>
      <c r="K2605" s="151">
        <f t="shared" si="70"/>
        <v>0</v>
      </c>
      <c r="L2605" s="151" t="s">
        <v>9021</v>
      </c>
    </row>
    <row r="2606" spans="8:12" x14ac:dyDescent="0.25">
      <c r="H2606" s="151" t="s">
        <v>4663</v>
      </c>
      <c r="I2606" s="151" t="s">
        <v>391</v>
      </c>
      <c r="J2606" s="151" t="s">
        <v>7777</v>
      </c>
      <c r="K2606" s="151">
        <f t="shared" si="70"/>
        <v>650000000001730</v>
      </c>
      <c r="L2606" s="151" t="s">
        <v>9021</v>
      </c>
    </row>
    <row r="2607" spans="8:12" x14ac:dyDescent="0.25">
      <c r="H2607" s="151" t="s">
        <v>4664</v>
      </c>
      <c r="I2607" s="151" t="s">
        <v>6962</v>
      </c>
      <c r="J2607" s="151" t="s">
        <v>6962</v>
      </c>
      <c r="K2607" s="151">
        <f t="shared" si="70"/>
        <v>0</v>
      </c>
      <c r="L2607" s="151" t="s">
        <v>9021</v>
      </c>
    </row>
    <row r="2608" spans="8:12" x14ac:dyDescent="0.25">
      <c r="H2608" s="151" t="s">
        <v>4664</v>
      </c>
      <c r="I2608" s="151" t="s">
        <v>391</v>
      </c>
      <c r="J2608" s="151" t="s">
        <v>7778</v>
      </c>
      <c r="K2608" s="151">
        <f t="shared" si="70"/>
        <v>650000000001731</v>
      </c>
      <c r="L2608" s="151" t="s">
        <v>9021</v>
      </c>
    </row>
    <row r="2609" spans="8:12" x14ac:dyDescent="0.25">
      <c r="H2609" s="151" t="s">
        <v>4665</v>
      </c>
      <c r="I2609" s="151" t="s">
        <v>6962</v>
      </c>
      <c r="J2609" s="151" t="s">
        <v>6962</v>
      </c>
      <c r="K2609" s="151">
        <f t="shared" si="70"/>
        <v>0</v>
      </c>
      <c r="L2609" s="151" t="s">
        <v>9021</v>
      </c>
    </row>
    <row r="2610" spans="8:12" x14ac:dyDescent="0.25">
      <c r="H2610" s="151" t="s">
        <v>4665</v>
      </c>
      <c r="I2610" s="151" t="s">
        <v>391</v>
      </c>
      <c r="J2610" s="151" t="s">
        <v>7779</v>
      </c>
      <c r="K2610" s="151">
        <f t="shared" si="70"/>
        <v>650000000001732</v>
      </c>
      <c r="L2610" s="151" t="s">
        <v>9021</v>
      </c>
    </row>
    <row r="2611" spans="8:12" x14ac:dyDescent="0.25">
      <c r="H2611" s="151" t="s">
        <v>4666</v>
      </c>
      <c r="I2611" s="151" t="s">
        <v>6962</v>
      </c>
      <c r="J2611" s="151" t="s">
        <v>6962</v>
      </c>
      <c r="K2611" s="151">
        <f t="shared" si="70"/>
        <v>0</v>
      </c>
      <c r="L2611" s="151" t="s">
        <v>9021</v>
      </c>
    </row>
    <row r="2612" spans="8:12" x14ac:dyDescent="0.25">
      <c r="H2612" s="151" t="s">
        <v>4666</v>
      </c>
      <c r="I2612" s="151" t="s">
        <v>391</v>
      </c>
      <c r="J2612" s="151" t="s">
        <v>7780</v>
      </c>
      <c r="K2612" s="151">
        <f t="shared" si="70"/>
        <v>650000000000658</v>
      </c>
      <c r="L2612" s="151" t="s">
        <v>9021</v>
      </c>
    </row>
    <row r="2613" spans="8:12" x14ac:dyDescent="0.25">
      <c r="H2613" s="151" t="s">
        <v>4667</v>
      </c>
      <c r="I2613" s="151" t="s">
        <v>6962</v>
      </c>
      <c r="J2613" s="151" t="s">
        <v>6962</v>
      </c>
      <c r="K2613" s="151">
        <f t="shared" si="70"/>
        <v>0</v>
      </c>
      <c r="L2613" s="151" t="s">
        <v>9021</v>
      </c>
    </row>
    <row r="2614" spans="8:12" x14ac:dyDescent="0.25">
      <c r="H2614" s="151" t="s">
        <v>4667</v>
      </c>
      <c r="I2614" s="151" t="s">
        <v>391</v>
      </c>
      <c r="J2614" s="151" t="s">
        <v>7781</v>
      </c>
      <c r="K2614" s="151">
        <f t="shared" si="70"/>
        <v>650000000000659</v>
      </c>
      <c r="L2614" s="151" t="s">
        <v>9021</v>
      </c>
    </row>
    <row r="2615" spans="8:12" x14ac:dyDescent="0.25">
      <c r="H2615" s="151" t="s">
        <v>4668</v>
      </c>
      <c r="I2615" s="151" t="s">
        <v>6962</v>
      </c>
      <c r="J2615" s="151" t="s">
        <v>6962</v>
      </c>
      <c r="K2615" s="151">
        <f t="shared" si="70"/>
        <v>0</v>
      </c>
      <c r="L2615" s="151" t="s">
        <v>9021</v>
      </c>
    </row>
    <row r="2616" spans="8:12" x14ac:dyDescent="0.25">
      <c r="H2616" s="151" t="s">
        <v>4668</v>
      </c>
      <c r="I2616" s="151" t="s">
        <v>391</v>
      </c>
      <c r="J2616" s="151" t="s">
        <v>7782</v>
      </c>
      <c r="K2616" s="151">
        <f t="shared" si="70"/>
        <v>650000000000660</v>
      </c>
      <c r="L2616" s="151" t="s">
        <v>9021</v>
      </c>
    </row>
    <row r="2617" spans="8:12" x14ac:dyDescent="0.25">
      <c r="H2617" s="151" t="s">
        <v>4669</v>
      </c>
      <c r="I2617" s="151" t="s">
        <v>6962</v>
      </c>
      <c r="J2617" s="151" t="s">
        <v>6962</v>
      </c>
      <c r="K2617" s="151">
        <f t="shared" si="70"/>
        <v>0</v>
      </c>
      <c r="L2617" s="151" t="s">
        <v>9021</v>
      </c>
    </row>
    <row r="2618" spans="8:12" x14ac:dyDescent="0.25">
      <c r="H2618" s="151" t="s">
        <v>4669</v>
      </c>
      <c r="I2618" s="151" t="s">
        <v>391</v>
      </c>
      <c r="J2618" s="151" t="s">
        <v>7783</v>
      </c>
      <c r="K2618" s="151">
        <f t="shared" si="70"/>
        <v>650000000001733</v>
      </c>
      <c r="L2618" s="151" t="s">
        <v>9021</v>
      </c>
    </row>
    <row r="2619" spans="8:12" x14ac:dyDescent="0.25">
      <c r="H2619" s="151" t="s">
        <v>4670</v>
      </c>
      <c r="I2619" s="151" t="s">
        <v>6962</v>
      </c>
      <c r="J2619" s="151" t="s">
        <v>6962</v>
      </c>
      <c r="K2619" s="151">
        <f t="shared" si="70"/>
        <v>0</v>
      </c>
      <c r="L2619" s="151" t="s">
        <v>9021</v>
      </c>
    </row>
    <row r="2620" spans="8:12" x14ac:dyDescent="0.25">
      <c r="H2620" s="151" t="s">
        <v>4670</v>
      </c>
      <c r="I2620" s="151" t="s">
        <v>391</v>
      </c>
      <c r="J2620" s="151" t="s">
        <v>7784</v>
      </c>
      <c r="K2620" s="151">
        <f t="shared" si="70"/>
        <v>650000000001734</v>
      </c>
      <c r="L2620" s="151" t="s">
        <v>9021</v>
      </c>
    </row>
    <row r="2621" spans="8:12" x14ac:dyDescent="0.25">
      <c r="H2621" s="151" t="s">
        <v>4671</v>
      </c>
      <c r="I2621" s="151" t="s">
        <v>6962</v>
      </c>
      <c r="J2621" s="151" t="s">
        <v>6962</v>
      </c>
      <c r="K2621" s="151">
        <f t="shared" si="70"/>
        <v>0</v>
      </c>
      <c r="L2621" s="151" t="s">
        <v>9021</v>
      </c>
    </row>
    <row r="2622" spans="8:12" x14ac:dyDescent="0.25">
      <c r="H2622" s="151" t="s">
        <v>4671</v>
      </c>
      <c r="I2622" s="151" t="s">
        <v>391</v>
      </c>
      <c r="J2622" s="151" t="s">
        <v>7785</v>
      </c>
      <c r="K2622" s="151">
        <f t="shared" si="70"/>
        <v>650000000000661</v>
      </c>
      <c r="L2622" s="151" t="s">
        <v>9021</v>
      </c>
    </row>
    <row r="2623" spans="8:12" x14ac:dyDescent="0.25">
      <c r="H2623" s="151" t="s">
        <v>4672</v>
      </c>
      <c r="I2623" s="151" t="s">
        <v>6962</v>
      </c>
      <c r="J2623" s="151" t="s">
        <v>6962</v>
      </c>
      <c r="K2623" s="151">
        <f t="shared" si="70"/>
        <v>0</v>
      </c>
      <c r="L2623" s="151" t="s">
        <v>9021</v>
      </c>
    </row>
    <row r="2624" spans="8:12" x14ac:dyDescent="0.25">
      <c r="H2624" s="151" t="s">
        <v>4672</v>
      </c>
      <c r="I2624" s="151" t="s">
        <v>391</v>
      </c>
      <c r="J2624" s="151" t="s">
        <v>7786</v>
      </c>
      <c r="K2624" s="151">
        <f t="shared" si="70"/>
        <v>650000000001735</v>
      </c>
      <c r="L2624" s="151" t="s">
        <v>9021</v>
      </c>
    </row>
    <row r="2625" spans="8:12" x14ac:dyDescent="0.25">
      <c r="H2625" s="151" t="s">
        <v>4673</v>
      </c>
      <c r="I2625" s="151" t="s">
        <v>6962</v>
      </c>
      <c r="J2625" s="151" t="s">
        <v>6962</v>
      </c>
      <c r="K2625" s="151">
        <f t="shared" si="70"/>
        <v>0</v>
      </c>
      <c r="L2625" s="151" t="s">
        <v>9021</v>
      </c>
    </row>
    <row r="2626" spans="8:12" x14ac:dyDescent="0.25">
      <c r="H2626" s="151" t="s">
        <v>4673</v>
      </c>
      <c r="I2626" s="151" t="s">
        <v>391</v>
      </c>
      <c r="J2626" s="151" t="s">
        <v>7787</v>
      </c>
      <c r="K2626" s="151">
        <f t="shared" si="70"/>
        <v>650000000000662</v>
      </c>
      <c r="L2626" s="151" t="s">
        <v>9021</v>
      </c>
    </row>
    <row r="2627" spans="8:12" x14ac:dyDescent="0.25">
      <c r="H2627" s="151" t="s">
        <v>4674</v>
      </c>
      <c r="I2627" s="151" t="s">
        <v>6962</v>
      </c>
      <c r="J2627" s="151" t="s">
        <v>6962</v>
      </c>
      <c r="K2627" s="151">
        <f t="shared" ref="K2627:K2690" si="71">+IFERROR(J2627*1,0)</f>
        <v>0</v>
      </c>
      <c r="L2627" s="151" t="s">
        <v>9021</v>
      </c>
    </row>
    <row r="2628" spans="8:12" x14ac:dyDescent="0.25">
      <c r="H2628" s="151" t="s">
        <v>4674</v>
      </c>
      <c r="I2628" s="151" t="s">
        <v>391</v>
      </c>
      <c r="J2628" s="151" t="s">
        <v>7788</v>
      </c>
      <c r="K2628" s="151">
        <f t="shared" si="71"/>
        <v>650000000000663</v>
      </c>
      <c r="L2628" s="151" t="s">
        <v>9021</v>
      </c>
    </row>
    <row r="2629" spans="8:12" x14ac:dyDescent="0.25">
      <c r="H2629" s="151" t="s">
        <v>4675</v>
      </c>
      <c r="I2629" s="151" t="s">
        <v>6962</v>
      </c>
      <c r="J2629" s="151" t="s">
        <v>6962</v>
      </c>
      <c r="K2629" s="151">
        <f t="shared" si="71"/>
        <v>0</v>
      </c>
      <c r="L2629" s="151" t="s">
        <v>9021</v>
      </c>
    </row>
    <row r="2630" spans="8:12" x14ac:dyDescent="0.25">
      <c r="H2630" s="151" t="s">
        <v>4675</v>
      </c>
      <c r="I2630" s="151" t="s">
        <v>391</v>
      </c>
      <c r="J2630" s="151" t="s">
        <v>7789</v>
      </c>
      <c r="K2630" s="151">
        <f t="shared" si="71"/>
        <v>650000000000664</v>
      </c>
      <c r="L2630" s="151" t="s">
        <v>9021</v>
      </c>
    </row>
    <row r="2631" spans="8:12" x14ac:dyDescent="0.25">
      <c r="H2631" s="151" t="s">
        <v>4676</v>
      </c>
      <c r="I2631" s="151" t="s">
        <v>6962</v>
      </c>
      <c r="J2631" s="151" t="s">
        <v>6962</v>
      </c>
      <c r="K2631" s="151">
        <f t="shared" si="71"/>
        <v>0</v>
      </c>
      <c r="L2631" s="151" t="s">
        <v>9021</v>
      </c>
    </row>
    <row r="2632" spans="8:12" x14ac:dyDescent="0.25">
      <c r="H2632" s="151" t="s">
        <v>4676</v>
      </c>
      <c r="I2632" s="151" t="s">
        <v>391</v>
      </c>
      <c r="J2632" s="151" t="s">
        <v>7790</v>
      </c>
      <c r="K2632" s="151">
        <f t="shared" si="71"/>
        <v>650000000000665</v>
      </c>
      <c r="L2632" s="151" t="s">
        <v>9021</v>
      </c>
    </row>
    <row r="2633" spans="8:12" x14ac:dyDescent="0.25">
      <c r="H2633" s="151" t="s">
        <v>4677</v>
      </c>
      <c r="I2633" s="151" t="s">
        <v>6962</v>
      </c>
      <c r="J2633" s="151" t="s">
        <v>6962</v>
      </c>
      <c r="K2633" s="151">
        <f t="shared" si="71"/>
        <v>0</v>
      </c>
      <c r="L2633" s="151" t="s">
        <v>9021</v>
      </c>
    </row>
    <row r="2634" spans="8:12" x14ac:dyDescent="0.25">
      <c r="H2634" s="151" t="s">
        <v>4677</v>
      </c>
      <c r="I2634" s="151" t="s">
        <v>391</v>
      </c>
      <c r="J2634" s="151" t="s">
        <v>7791</v>
      </c>
      <c r="K2634" s="151">
        <f t="shared" si="71"/>
        <v>650000000001736</v>
      </c>
      <c r="L2634" s="151" t="s">
        <v>9021</v>
      </c>
    </row>
    <row r="2635" spans="8:12" x14ac:dyDescent="0.25">
      <c r="H2635" s="151" t="s">
        <v>4678</v>
      </c>
      <c r="I2635" s="151" t="s">
        <v>6962</v>
      </c>
      <c r="J2635" s="151" t="s">
        <v>6962</v>
      </c>
      <c r="K2635" s="151">
        <f t="shared" si="71"/>
        <v>0</v>
      </c>
      <c r="L2635" s="151" t="s">
        <v>9021</v>
      </c>
    </row>
    <row r="2636" spans="8:12" x14ac:dyDescent="0.25">
      <c r="H2636" s="151" t="s">
        <v>4678</v>
      </c>
      <c r="I2636" s="151" t="s">
        <v>391</v>
      </c>
      <c r="J2636" s="151" t="s">
        <v>7792</v>
      </c>
      <c r="K2636" s="151">
        <f t="shared" si="71"/>
        <v>650000000000666</v>
      </c>
      <c r="L2636" s="151" t="s">
        <v>9021</v>
      </c>
    </row>
    <row r="2637" spans="8:12" x14ac:dyDescent="0.25">
      <c r="H2637" s="151" t="s">
        <v>4679</v>
      </c>
      <c r="I2637" s="151" t="s">
        <v>6962</v>
      </c>
      <c r="J2637" s="151" t="s">
        <v>6962</v>
      </c>
      <c r="K2637" s="151">
        <f t="shared" si="71"/>
        <v>0</v>
      </c>
      <c r="L2637" s="151" t="s">
        <v>9021</v>
      </c>
    </row>
    <row r="2638" spans="8:12" x14ac:dyDescent="0.25">
      <c r="H2638" s="151" t="s">
        <v>4679</v>
      </c>
      <c r="I2638" s="151" t="s">
        <v>391</v>
      </c>
      <c r="J2638" s="151" t="s">
        <v>7793</v>
      </c>
      <c r="K2638" s="151">
        <f t="shared" si="71"/>
        <v>650000000000667</v>
      </c>
      <c r="L2638" s="151" t="s">
        <v>9021</v>
      </c>
    </row>
    <row r="2639" spans="8:12" x14ac:dyDescent="0.25">
      <c r="H2639" s="151" t="s">
        <v>4680</v>
      </c>
      <c r="I2639" s="151" t="s">
        <v>6962</v>
      </c>
      <c r="J2639" s="151" t="s">
        <v>6962</v>
      </c>
      <c r="K2639" s="151">
        <f t="shared" si="71"/>
        <v>0</v>
      </c>
      <c r="L2639" s="151" t="s">
        <v>9021</v>
      </c>
    </row>
    <row r="2640" spans="8:12" x14ac:dyDescent="0.25">
      <c r="H2640" s="151" t="s">
        <v>4680</v>
      </c>
      <c r="I2640" s="151" t="s">
        <v>391</v>
      </c>
      <c r="J2640" s="151" t="s">
        <v>7794</v>
      </c>
      <c r="K2640" s="151">
        <f t="shared" si="71"/>
        <v>650000000001737</v>
      </c>
      <c r="L2640" s="151" t="s">
        <v>9021</v>
      </c>
    </row>
    <row r="2641" spans="8:12" x14ac:dyDescent="0.25">
      <c r="H2641" s="151" t="s">
        <v>4681</v>
      </c>
      <c r="I2641" s="151" t="s">
        <v>6962</v>
      </c>
      <c r="J2641" s="151" t="s">
        <v>6962</v>
      </c>
      <c r="K2641" s="151">
        <f t="shared" si="71"/>
        <v>0</v>
      </c>
      <c r="L2641" s="151" t="s">
        <v>9021</v>
      </c>
    </row>
    <row r="2642" spans="8:12" x14ac:dyDescent="0.25">
      <c r="H2642" s="151" t="s">
        <v>4681</v>
      </c>
      <c r="I2642" s="151" t="s">
        <v>391</v>
      </c>
      <c r="J2642" s="151" t="s">
        <v>7795</v>
      </c>
      <c r="K2642" s="151">
        <f t="shared" si="71"/>
        <v>650000000000668</v>
      </c>
      <c r="L2642" s="151" t="s">
        <v>9021</v>
      </c>
    </row>
    <row r="2643" spans="8:12" x14ac:dyDescent="0.25">
      <c r="H2643" s="151" t="s">
        <v>4682</v>
      </c>
      <c r="I2643" s="151" t="s">
        <v>6962</v>
      </c>
      <c r="J2643" s="151" t="s">
        <v>6962</v>
      </c>
      <c r="K2643" s="151">
        <f t="shared" si="71"/>
        <v>0</v>
      </c>
      <c r="L2643" s="151" t="s">
        <v>9021</v>
      </c>
    </row>
    <row r="2644" spans="8:12" x14ac:dyDescent="0.25">
      <c r="H2644" s="151" t="s">
        <v>4682</v>
      </c>
      <c r="I2644" s="151" t="s">
        <v>391</v>
      </c>
      <c r="J2644" s="151" t="s">
        <v>7796</v>
      </c>
      <c r="K2644" s="151">
        <f t="shared" si="71"/>
        <v>650000000001738</v>
      </c>
      <c r="L2644" s="151" t="s">
        <v>9021</v>
      </c>
    </row>
    <row r="2645" spans="8:12" x14ac:dyDescent="0.25">
      <c r="H2645" s="151" t="s">
        <v>6870</v>
      </c>
      <c r="I2645" s="151" t="s">
        <v>6962</v>
      </c>
      <c r="J2645" s="151" t="s">
        <v>6962</v>
      </c>
      <c r="K2645" s="151">
        <f t="shared" si="71"/>
        <v>0</v>
      </c>
      <c r="L2645" s="151" t="s">
        <v>9021</v>
      </c>
    </row>
    <row r="2646" spans="8:12" x14ac:dyDescent="0.25">
      <c r="H2646" s="151" t="s">
        <v>4683</v>
      </c>
      <c r="I2646" s="151" t="s">
        <v>6962</v>
      </c>
      <c r="J2646" s="151" t="s">
        <v>6962</v>
      </c>
      <c r="K2646" s="151">
        <f t="shared" si="71"/>
        <v>0</v>
      </c>
      <c r="L2646" s="151" t="s">
        <v>9021</v>
      </c>
    </row>
    <row r="2647" spans="8:12" x14ac:dyDescent="0.25">
      <c r="H2647" s="151" t="s">
        <v>4683</v>
      </c>
      <c r="I2647" s="151" t="s">
        <v>391</v>
      </c>
      <c r="J2647" s="151" t="s">
        <v>7797</v>
      </c>
      <c r="K2647" s="151">
        <f t="shared" si="71"/>
        <v>650000000001739</v>
      </c>
      <c r="L2647" s="151" t="s">
        <v>9021</v>
      </c>
    </row>
    <row r="2648" spans="8:12" x14ac:dyDescent="0.25">
      <c r="H2648" s="151" t="s">
        <v>4684</v>
      </c>
      <c r="I2648" s="151" t="s">
        <v>6962</v>
      </c>
      <c r="J2648" s="151" t="s">
        <v>6962</v>
      </c>
      <c r="K2648" s="151">
        <f t="shared" si="71"/>
        <v>0</v>
      </c>
      <c r="L2648" s="151" t="s">
        <v>9021</v>
      </c>
    </row>
    <row r="2649" spans="8:12" x14ac:dyDescent="0.25">
      <c r="H2649" s="151" t="s">
        <v>4684</v>
      </c>
      <c r="I2649" s="151" t="s">
        <v>391</v>
      </c>
      <c r="J2649" s="151" t="s">
        <v>7798</v>
      </c>
      <c r="K2649" s="151">
        <f t="shared" si="71"/>
        <v>650000000001740</v>
      </c>
      <c r="L2649" s="151" t="s">
        <v>9021</v>
      </c>
    </row>
    <row r="2650" spans="8:12" x14ac:dyDescent="0.25">
      <c r="H2650" s="151" t="s">
        <v>4685</v>
      </c>
      <c r="I2650" s="151" t="s">
        <v>6962</v>
      </c>
      <c r="J2650" s="151" t="s">
        <v>6962</v>
      </c>
      <c r="K2650" s="151">
        <f t="shared" si="71"/>
        <v>0</v>
      </c>
      <c r="L2650" s="151" t="s">
        <v>9021</v>
      </c>
    </row>
    <row r="2651" spans="8:12" x14ac:dyDescent="0.25">
      <c r="H2651" s="151" t="s">
        <v>4685</v>
      </c>
      <c r="I2651" s="151" t="s">
        <v>391</v>
      </c>
      <c r="J2651" s="151" t="s">
        <v>7799</v>
      </c>
      <c r="K2651" s="151">
        <f t="shared" si="71"/>
        <v>650000000000669</v>
      </c>
      <c r="L2651" s="151" t="s">
        <v>9021</v>
      </c>
    </row>
    <row r="2652" spans="8:12" x14ac:dyDescent="0.25">
      <c r="H2652" s="151" t="s">
        <v>4686</v>
      </c>
      <c r="I2652" s="151" t="s">
        <v>6962</v>
      </c>
      <c r="J2652" s="151" t="s">
        <v>6962</v>
      </c>
      <c r="K2652" s="151">
        <f t="shared" si="71"/>
        <v>0</v>
      </c>
      <c r="L2652" s="151" t="s">
        <v>9021</v>
      </c>
    </row>
    <row r="2653" spans="8:12" x14ac:dyDescent="0.25">
      <c r="H2653" s="151" t="s">
        <v>4686</v>
      </c>
      <c r="I2653" s="151" t="s">
        <v>391</v>
      </c>
      <c r="J2653" s="151" t="s">
        <v>7800</v>
      </c>
      <c r="K2653" s="151">
        <f t="shared" si="71"/>
        <v>650000000001741</v>
      </c>
      <c r="L2653" s="151" t="s">
        <v>9021</v>
      </c>
    </row>
    <row r="2654" spans="8:12" x14ac:dyDescent="0.25">
      <c r="H2654" s="151" t="s">
        <v>4687</v>
      </c>
      <c r="I2654" s="151" t="s">
        <v>6962</v>
      </c>
      <c r="J2654" s="151" t="s">
        <v>6962</v>
      </c>
      <c r="K2654" s="151">
        <f t="shared" si="71"/>
        <v>0</v>
      </c>
      <c r="L2654" s="151" t="s">
        <v>9021</v>
      </c>
    </row>
    <row r="2655" spans="8:12" x14ac:dyDescent="0.25">
      <c r="H2655" s="151" t="s">
        <v>4687</v>
      </c>
      <c r="I2655" s="151" t="s">
        <v>391</v>
      </c>
      <c r="J2655" s="151" t="s">
        <v>7801</v>
      </c>
      <c r="K2655" s="151">
        <f t="shared" si="71"/>
        <v>650000000000670</v>
      </c>
      <c r="L2655" s="151" t="s">
        <v>9021</v>
      </c>
    </row>
    <row r="2656" spans="8:12" x14ac:dyDescent="0.25">
      <c r="H2656" s="151" t="s">
        <v>4688</v>
      </c>
      <c r="I2656" s="151" t="s">
        <v>6962</v>
      </c>
      <c r="J2656" s="151" t="s">
        <v>6962</v>
      </c>
      <c r="K2656" s="151">
        <f t="shared" si="71"/>
        <v>0</v>
      </c>
      <c r="L2656" s="151" t="s">
        <v>9021</v>
      </c>
    </row>
    <row r="2657" spans="8:12" x14ac:dyDescent="0.25">
      <c r="H2657" s="151" t="s">
        <v>4688</v>
      </c>
      <c r="I2657" s="151" t="s">
        <v>391</v>
      </c>
      <c r="J2657" s="151" t="s">
        <v>7802</v>
      </c>
      <c r="K2657" s="151">
        <f t="shared" si="71"/>
        <v>650000000001742</v>
      </c>
      <c r="L2657" s="151" t="s">
        <v>9021</v>
      </c>
    </row>
    <row r="2658" spans="8:12" x14ac:dyDescent="0.25">
      <c r="H2658" s="151" t="s">
        <v>4689</v>
      </c>
      <c r="I2658" s="151" t="s">
        <v>6962</v>
      </c>
      <c r="J2658" s="151" t="s">
        <v>6962</v>
      </c>
      <c r="K2658" s="151">
        <f t="shared" si="71"/>
        <v>0</v>
      </c>
      <c r="L2658" s="151" t="s">
        <v>9021</v>
      </c>
    </row>
    <row r="2659" spans="8:12" x14ac:dyDescent="0.25">
      <c r="H2659" s="151" t="s">
        <v>4689</v>
      </c>
      <c r="I2659" s="151" t="s">
        <v>391</v>
      </c>
      <c r="J2659" s="151" t="s">
        <v>7803</v>
      </c>
      <c r="K2659" s="151">
        <f t="shared" si="71"/>
        <v>650000000001743</v>
      </c>
      <c r="L2659" s="151" t="s">
        <v>9021</v>
      </c>
    </row>
    <row r="2660" spans="8:12" x14ac:dyDescent="0.25">
      <c r="H2660" s="151" t="s">
        <v>4690</v>
      </c>
      <c r="I2660" s="151" t="s">
        <v>6962</v>
      </c>
      <c r="J2660" s="151" t="s">
        <v>6962</v>
      </c>
      <c r="K2660" s="151">
        <f t="shared" si="71"/>
        <v>0</v>
      </c>
      <c r="L2660" s="151" t="s">
        <v>9021</v>
      </c>
    </row>
    <row r="2661" spans="8:12" x14ac:dyDescent="0.25">
      <c r="H2661" s="151" t="s">
        <v>4690</v>
      </c>
      <c r="I2661" s="151" t="s">
        <v>391</v>
      </c>
      <c r="J2661" s="151" t="s">
        <v>7804</v>
      </c>
      <c r="K2661" s="151">
        <f t="shared" si="71"/>
        <v>650000000001744</v>
      </c>
      <c r="L2661" s="151" t="s">
        <v>9021</v>
      </c>
    </row>
    <row r="2662" spans="8:12" x14ac:dyDescent="0.25">
      <c r="H2662" s="151" t="s">
        <v>4691</v>
      </c>
      <c r="I2662" s="151" t="s">
        <v>6962</v>
      </c>
      <c r="J2662" s="151" t="s">
        <v>6962</v>
      </c>
      <c r="K2662" s="151">
        <f t="shared" si="71"/>
        <v>0</v>
      </c>
      <c r="L2662" s="151" t="s">
        <v>9021</v>
      </c>
    </row>
    <row r="2663" spans="8:12" x14ac:dyDescent="0.25">
      <c r="H2663" s="151" t="s">
        <v>4691</v>
      </c>
      <c r="I2663" s="151" t="s">
        <v>391</v>
      </c>
      <c r="J2663" s="151" t="s">
        <v>7805</v>
      </c>
      <c r="K2663" s="151">
        <f t="shared" si="71"/>
        <v>650000000000671</v>
      </c>
      <c r="L2663" s="151" t="s">
        <v>9021</v>
      </c>
    </row>
    <row r="2664" spans="8:12" x14ac:dyDescent="0.25">
      <c r="H2664" s="151" t="s">
        <v>4692</v>
      </c>
      <c r="I2664" s="151" t="s">
        <v>6962</v>
      </c>
      <c r="J2664" s="151" t="s">
        <v>6962</v>
      </c>
      <c r="K2664" s="151">
        <f t="shared" si="71"/>
        <v>0</v>
      </c>
      <c r="L2664" s="151" t="s">
        <v>9021</v>
      </c>
    </row>
    <row r="2665" spans="8:12" x14ac:dyDescent="0.25">
      <c r="H2665" s="151" t="s">
        <v>4692</v>
      </c>
      <c r="I2665" s="151" t="s">
        <v>391</v>
      </c>
      <c r="J2665" s="151" t="s">
        <v>7806</v>
      </c>
      <c r="K2665" s="151">
        <f t="shared" si="71"/>
        <v>650000000000672</v>
      </c>
      <c r="L2665" s="151" t="s">
        <v>9021</v>
      </c>
    </row>
    <row r="2666" spans="8:12" x14ac:dyDescent="0.25">
      <c r="H2666" s="151" t="s">
        <v>4693</v>
      </c>
      <c r="I2666" s="151" t="s">
        <v>6962</v>
      </c>
      <c r="J2666" s="151" t="s">
        <v>6962</v>
      </c>
      <c r="K2666" s="151">
        <f t="shared" si="71"/>
        <v>0</v>
      </c>
      <c r="L2666" s="151" t="s">
        <v>9021</v>
      </c>
    </row>
    <row r="2667" spans="8:12" x14ac:dyDescent="0.25">
      <c r="H2667" s="151" t="s">
        <v>4693</v>
      </c>
      <c r="I2667" s="151" t="s">
        <v>391</v>
      </c>
      <c r="J2667" s="151" t="s">
        <v>7807</v>
      </c>
      <c r="K2667" s="151">
        <f t="shared" si="71"/>
        <v>650000000000673</v>
      </c>
      <c r="L2667" s="151" t="s">
        <v>9021</v>
      </c>
    </row>
    <row r="2668" spans="8:12" x14ac:dyDescent="0.25">
      <c r="H2668" s="151" t="s">
        <v>4694</v>
      </c>
      <c r="I2668" s="151" t="s">
        <v>6962</v>
      </c>
      <c r="J2668" s="151" t="s">
        <v>6962</v>
      </c>
      <c r="K2668" s="151">
        <f t="shared" si="71"/>
        <v>0</v>
      </c>
      <c r="L2668" s="151" t="s">
        <v>9021</v>
      </c>
    </row>
    <row r="2669" spans="8:12" x14ac:dyDescent="0.25">
      <c r="H2669" s="151" t="s">
        <v>4694</v>
      </c>
      <c r="I2669" s="151" t="s">
        <v>391</v>
      </c>
      <c r="J2669" s="151" t="s">
        <v>7808</v>
      </c>
      <c r="K2669" s="151">
        <f t="shared" si="71"/>
        <v>650000000001745</v>
      </c>
      <c r="L2669" s="151" t="s">
        <v>9021</v>
      </c>
    </row>
    <row r="2670" spans="8:12" x14ac:dyDescent="0.25">
      <c r="H2670" s="151" t="s">
        <v>4695</v>
      </c>
      <c r="I2670" s="151" t="s">
        <v>6962</v>
      </c>
      <c r="J2670" s="151" t="s">
        <v>6962</v>
      </c>
      <c r="K2670" s="151">
        <f t="shared" si="71"/>
        <v>0</v>
      </c>
      <c r="L2670" s="151" t="s">
        <v>9021</v>
      </c>
    </row>
    <row r="2671" spans="8:12" x14ac:dyDescent="0.25">
      <c r="H2671" s="151" t="s">
        <v>4695</v>
      </c>
      <c r="I2671" s="151" t="s">
        <v>391</v>
      </c>
      <c r="J2671" s="151" t="s">
        <v>7809</v>
      </c>
      <c r="K2671" s="151">
        <f t="shared" si="71"/>
        <v>650000000000674</v>
      </c>
      <c r="L2671" s="151" t="s">
        <v>9021</v>
      </c>
    </row>
    <row r="2672" spans="8:12" x14ac:dyDescent="0.25">
      <c r="H2672" s="151" t="s">
        <v>4696</v>
      </c>
      <c r="I2672" s="151" t="s">
        <v>6962</v>
      </c>
      <c r="J2672" s="151" t="s">
        <v>6962</v>
      </c>
      <c r="K2672" s="151">
        <f t="shared" si="71"/>
        <v>0</v>
      </c>
      <c r="L2672" s="151" t="s">
        <v>9021</v>
      </c>
    </row>
    <row r="2673" spans="8:12" x14ac:dyDescent="0.25">
      <c r="H2673" s="151" t="s">
        <v>4696</v>
      </c>
      <c r="I2673" s="151" t="s">
        <v>391</v>
      </c>
      <c r="J2673" s="151" t="s">
        <v>7810</v>
      </c>
      <c r="K2673" s="151">
        <f t="shared" si="71"/>
        <v>650000000001746</v>
      </c>
      <c r="L2673" s="151" t="s">
        <v>9021</v>
      </c>
    </row>
    <row r="2674" spans="8:12" x14ac:dyDescent="0.25">
      <c r="H2674" s="151" t="s">
        <v>4697</v>
      </c>
      <c r="I2674" s="151" t="s">
        <v>6962</v>
      </c>
      <c r="J2674" s="151" t="s">
        <v>6962</v>
      </c>
      <c r="K2674" s="151">
        <f t="shared" si="71"/>
        <v>0</v>
      </c>
      <c r="L2674" s="151" t="s">
        <v>9021</v>
      </c>
    </row>
    <row r="2675" spans="8:12" x14ac:dyDescent="0.25">
      <c r="H2675" s="151" t="s">
        <v>4697</v>
      </c>
      <c r="I2675" s="151" t="s">
        <v>391</v>
      </c>
      <c r="J2675" s="151" t="s">
        <v>7811</v>
      </c>
      <c r="K2675" s="151">
        <f t="shared" si="71"/>
        <v>650000000001747</v>
      </c>
      <c r="L2675" s="151" t="s">
        <v>9021</v>
      </c>
    </row>
    <row r="2676" spans="8:12" x14ac:dyDescent="0.25">
      <c r="H2676" s="151" t="s">
        <v>4698</v>
      </c>
      <c r="I2676" s="151" t="s">
        <v>6962</v>
      </c>
      <c r="J2676" s="151" t="s">
        <v>6962</v>
      </c>
      <c r="K2676" s="151">
        <f t="shared" si="71"/>
        <v>0</v>
      </c>
      <c r="L2676" s="151" t="s">
        <v>9021</v>
      </c>
    </row>
    <row r="2677" spans="8:12" x14ac:dyDescent="0.25">
      <c r="H2677" s="151" t="s">
        <v>4698</v>
      </c>
      <c r="I2677" s="151" t="s">
        <v>391</v>
      </c>
      <c r="J2677" s="151" t="s">
        <v>7812</v>
      </c>
      <c r="K2677" s="151">
        <f t="shared" si="71"/>
        <v>650000000000675</v>
      </c>
      <c r="L2677" s="151" t="s">
        <v>9021</v>
      </c>
    </row>
    <row r="2678" spans="8:12" x14ac:dyDescent="0.25">
      <c r="H2678" s="151" t="s">
        <v>4699</v>
      </c>
      <c r="I2678" s="151" t="s">
        <v>6962</v>
      </c>
      <c r="J2678" s="151" t="s">
        <v>6962</v>
      </c>
      <c r="K2678" s="151">
        <f t="shared" si="71"/>
        <v>0</v>
      </c>
      <c r="L2678" s="151" t="s">
        <v>9021</v>
      </c>
    </row>
    <row r="2679" spans="8:12" x14ac:dyDescent="0.25">
      <c r="H2679" s="151" t="s">
        <v>4699</v>
      </c>
      <c r="I2679" s="151" t="s">
        <v>391</v>
      </c>
      <c r="J2679" s="151" t="s">
        <v>7813</v>
      </c>
      <c r="K2679" s="151">
        <f t="shared" si="71"/>
        <v>650000000000676</v>
      </c>
      <c r="L2679" s="151" t="s">
        <v>9021</v>
      </c>
    </row>
    <row r="2680" spans="8:12" x14ac:dyDescent="0.25">
      <c r="H2680" s="151" t="s">
        <v>4700</v>
      </c>
      <c r="I2680" s="151" t="s">
        <v>6962</v>
      </c>
      <c r="J2680" s="151" t="s">
        <v>6962</v>
      </c>
      <c r="K2680" s="151">
        <f t="shared" si="71"/>
        <v>0</v>
      </c>
      <c r="L2680" s="151" t="s">
        <v>9021</v>
      </c>
    </row>
    <row r="2681" spans="8:12" x14ac:dyDescent="0.25">
      <c r="H2681" s="151" t="s">
        <v>4700</v>
      </c>
      <c r="I2681" s="151" t="s">
        <v>391</v>
      </c>
      <c r="J2681" s="151" t="s">
        <v>7814</v>
      </c>
      <c r="K2681" s="151">
        <f t="shared" si="71"/>
        <v>650000000000677</v>
      </c>
      <c r="L2681" s="151" t="s">
        <v>9021</v>
      </c>
    </row>
    <row r="2682" spans="8:12" x14ac:dyDescent="0.25">
      <c r="H2682" s="151" t="s">
        <v>4701</v>
      </c>
      <c r="I2682" s="151" t="s">
        <v>6962</v>
      </c>
      <c r="J2682" s="151" t="s">
        <v>6962</v>
      </c>
      <c r="K2682" s="151">
        <f t="shared" si="71"/>
        <v>0</v>
      </c>
      <c r="L2682" s="151" t="s">
        <v>9021</v>
      </c>
    </row>
    <row r="2683" spans="8:12" x14ac:dyDescent="0.25">
      <c r="H2683" s="151" t="s">
        <v>4701</v>
      </c>
      <c r="I2683" s="151" t="s">
        <v>391</v>
      </c>
      <c r="J2683" s="151" t="s">
        <v>7815</v>
      </c>
      <c r="K2683" s="151">
        <f t="shared" si="71"/>
        <v>650000000000678</v>
      </c>
      <c r="L2683" s="151" t="s">
        <v>9021</v>
      </c>
    </row>
    <row r="2684" spans="8:12" x14ac:dyDescent="0.25">
      <c r="H2684" s="151" t="s">
        <v>4702</v>
      </c>
      <c r="I2684" s="151" t="s">
        <v>6962</v>
      </c>
      <c r="J2684" s="151" t="s">
        <v>6962</v>
      </c>
      <c r="K2684" s="151">
        <f t="shared" si="71"/>
        <v>0</v>
      </c>
      <c r="L2684" s="151" t="s">
        <v>9021</v>
      </c>
    </row>
    <row r="2685" spans="8:12" x14ac:dyDescent="0.25">
      <c r="H2685" s="151" t="s">
        <v>4702</v>
      </c>
      <c r="I2685" s="151" t="s">
        <v>391</v>
      </c>
      <c r="J2685" s="151" t="s">
        <v>7816</v>
      </c>
      <c r="K2685" s="151">
        <f t="shared" si="71"/>
        <v>650000000000679</v>
      </c>
      <c r="L2685" s="151" t="s">
        <v>9021</v>
      </c>
    </row>
    <row r="2686" spans="8:12" x14ac:dyDescent="0.25">
      <c r="H2686" s="151" t="s">
        <v>4703</v>
      </c>
      <c r="I2686" s="151" t="s">
        <v>6962</v>
      </c>
      <c r="J2686" s="151" t="s">
        <v>6962</v>
      </c>
      <c r="K2686" s="151">
        <f t="shared" si="71"/>
        <v>0</v>
      </c>
      <c r="L2686" s="151" t="s">
        <v>9021</v>
      </c>
    </row>
    <row r="2687" spans="8:12" x14ac:dyDescent="0.25">
      <c r="H2687" s="151" t="s">
        <v>4703</v>
      </c>
      <c r="I2687" s="151" t="s">
        <v>391</v>
      </c>
      <c r="J2687" s="151" t="s">
        <v>7817</v>
      </c>
      <c r="K2687" s="151">
        <f t="shared" si="71"/>
        <v>650000000000680</v>
      </c>
      <c r="L2687" s="151" t="s">
        <v>9021</v>
      </c>
    </row>
    <row r="2688" spans="8:12" x14ac:dyDescent="0.25">
      <c r="H2688" s="151" t="s">
        <v>4704</v>
      </c>
      <c r="I2688" s="151" t="s">
        <v>6962</v>
      </c>
      <c r="J2688" s="151" t="s">
        <v>6962</v>
      </c>
      <c r="K2688" s="151">
        <f t="shared" si="71"/>
        <v>0</v>
      </c>
      <c r="L2688" s="151" t="s">
        <v>9021</v>
      </c>
    </row>
    <row r="2689" spans="8:12" x14ac:dyDescent="0.25">
      <c r="H2689" s="151" t="s">
        <v>4704</v>
      </c>
      <c r="I2689" s="151" t="s">
        <v>391</v>
      </c>
      <c r="J2689" s="151" t="s">
        <v>7818</v>
      </c>
      <c r="K2689" s="151">
        <f t="shared" si="71"/>
        <v>650000000000681</v>
      </c>
      <c r="L2689" s="151" t="s">
        <v>9021</v>
      </c>
    </row>
    <row r="2690" spans="8:12" x14ac:dyDescent="0.25">
      <c r="H2690" s="151" t="s">
        <v>4705</v>
      </c>
      <c r="I2690" s="151" t="s">
        <v>6962</v>
      </c>
      <c r="J2690" s="151" t="s">
        <v>6962</v>
      </c>
      <c r="K2690" s="151">
        <f t="shared" si="71"/>
        <v>0</v>
      </c>
      <c r="L2690" s="151" t="s">
        <v>9021</v>
      </c>
    </row>
    <row r="2691" spans="8:12" x14ac:dyDescent="0.25">
      <c r="H2691" s="151" t="s">
        <v>4705</v>
      </c>
      <c r="I2691" s="151" t="s">
        <v>391</v>
      </c>
      <c r="J2691" s="151" t="s">
        <v>7819</v>
      </c>
      <c r="K2691" s="151">
        <f t="shared" ref="K2691:K2754" si="72">+IFERROR(J2691*1,0)</f>
        <v>650000000000682</v>
      </c>
      <c r="L2691" s="151" t="s">
        <v>9021</v>
      </c>
    </row>
    <row r="2692" spans="8:12" x14ac:dyDescent="0.25">
      <c r="H2692" s="151" t="s">
        <v>4706</v>
      </c>
      <c r="I2692" s="151" t="s">
        <v>6962</v>
      </c>
      <c r="J2692" s="151" t="s">
        <v>6962</v>
      </c>
      <c r="K2692" s="151">
        <f t="shared" si="72"/>
        <v>0</v>
      </c>
      <c r="L2692" s="151" t="s">
        <v>9021</v>
      </c>
    </row>
    <row r="2693" spans="8:12" x14ac:dyDescent="0.25">
      <c r="H2693" s="151" t="s">
        <v>4706</v>
      </c>
      <c r="I2693" s="151" t="s">
        <v>391</v>
      </c>
      <c r="J2693" s="151" t="s">
        <v>7820</v>
      </c>
      <c r="K2693" s="151">
        <f t="shared" si="72"/>
        <v>650000000000683</v>
      </c>
      <c r="L2693" s="151" t="s">
        <v>9021</v>
      </c>
    </row>
    <row r="2694" spans="8:12" x14ac:dyDescent="0.25">
      <c r="H2694" s="151" t="s">
        <v>6871</v>
      </c>
      <c r="I2694" s="151" t="s">
        <v>6962</v>
      </c>
      <c r="J2694" s="151" t="s">
        <v>6962</v>
      </c>
      <c r="K2694" s="151">
        <f t="shared" si="72"/>
        <v>0</v>
      </c>
      <c r="L2694" s="151" t="s">
        <v>9021</v>
      </c>
    </row>
    <row r="2695" spans="8:12" x14ac:dyDescent="0.25">
      <c r="H2695" s="151" t="s">
        <v>4707</v>
      </c>
      <c r="I2695" s="151" t="s">
        <v>6962</v>
      </c>
      <c r="J2695" s="151" t="s">
        <v>6962</v>
      </c>
      <c r="K2695" s="151">
        <f t="shared" si="72"/>
        <v>0</v>
      </c>
      <c r="L2695" s="151" t="s">
        <v>9021</v>
      </c>
    </row>
    <row r="2696" spans="8:12" x14ac:dyDescent="0.25">
      <c r="H2696" s="151" t="s">
        <v>4707</v>
      </c>
      <c r="I2696" s="151" t="s">
        <v>391</v>
      </c>
      <c r="J2696" s="151" t="s">
        <v>7821</v>
      </c>
      <c r="K2696" s="151">
        <f t="shared" si="72"/>
        <v>650000000001748</v>
      </c>
      <c r="L2696" s="151" t="s">
        <v>9021</v>
      </c>
    </row>
    <row r="2697" spans="8:12" x14ac:dyDescent="0.25">
      <c r="H2697" s="151" t="s">
        <v>4708</v>
      </c>
      <c r="I2697" s="151" t="s">
        <v>6962</v>
      </c>
      <c r="J2697" s="151" t="s">
        <v>6962</v>
      </c>
      <c r="K2697" s="151">
        <f t="shared" si="72"/>
        <v>0</v>
      </c>
      <c r="L2697" s="151" t="s">
        <v>9021</v>
      </c>
    </row>
    <row r="2698" spans="8:12" x14ac:dyDescent="0.25">
      <c r="H2698" s="151" t="s">
        <v>4708</v>
      </c>
      <c r="I2698" s="151" t="s">
        <v>391</v>
      </c>
      <c r="J2698" s="151" t="s">
        <v>7822</v>
      </c>
      <c r="K2698" s="151">
        <f t="shared" si="72"/>
        <v>650000000000684</v>
      </c>
      <c r="L2698" s="151" t="s">
        <v>9021</v>
      </c>
    </row>
    <row r="2699" spans="8:12" x14ac:dyDescent="0.25">
      <c r="H2699" s="151" t="s">
        <v>4709</v>
      </c>
      <c r="I2699" s="151" t="s">
        <v>6962</v>
      </c>
      <c r="J2699" s="151" t="s">
        <v>6962</v>
      </c>
      <c r="K2699" s="151">
        <f t="shared" si="72"/>
        <v>0</v>
      </c>
      <c r="L2699" s="151" t="s">
        <v>9021</v>
      </c>
    </row>
    <row r="2700" spans="8:12" x14ac:dyDescent="0.25">
      <c r="H2700" s="151" t="s">
        <v>4709</v>
      </c>
      <c r="I2700" s="151" t="s">
        <v>391</v>
      </c>
      <c r="J2700" s="151" t="s">
        <v>7823</v>
      </c>
      <c r="K2700" s="151">
        <f t="shared" si="72"/>
        <v>650000000001749</v>
      </c>
      <c r="L2700" s="151" t="s">
        <v>9021</v>
      </c>
    </row>
    <row r="2701" spans="8:12" x14ac:dyDescent="0.25">
      <c r="H2701" s="151" t="s">
        <v>4710</v>
      </c>
      <c r="I2701" s="151" t="s">
        <v>6962</v>
      </c>
      <c r="J2701" s="151" t="s">
        <v>6962</v>
      </c>
      <c r="K2701" s="151">
        <f t="shared" si="72"/>
        <v>0</v>
      </c>
      <c r="L2701" s="151" t="s">
        <v>9021</v>
      </c>
    </row>
    <row r="2702" spans="8:12" x14ac:dyDescent="0.25">
      <c r="H2702" s="151" t="s">
        <v>4710</v>
      </c>
      <c r="I2702" s="151" t="s">
        <v>391</v>
      </c>
      <c r="J2702" s="151" t="s">
        <v>7824</v>
      </c>
      <c r="K2702" s="151">
        <f t="shared" si="72"/>
        <v>650000000000685</v>
      </c>
      <c r="L2702" s="151" t="s">
        <v>9021</v>
      </c>
    </row>
    <row r="2703" spans="8:12" x14ac:dyDescent="0.25">
      <c r="H2703" s="151" t="s">
        <v>4711</v>
      </c>
      <c r="I2703" s="151" t="s">
        <v>6962</v>
      </c>
      <c r="J2703" s="151" t="s">
        <v>6962</v>
      </c>
      <c r="K2703" s="151">
        <f t="shared" si="72"/>
        <v>0</v>
      </c>
      <c r="L2703" s="151" t="s">
        <v>9021</v>
      </c>
    </row>
    <row r="2704" spans="8:12" x14ac:dyDescent="0.25">
      <c r="H2704" s="151" t="s">
        <v>4711</v>
      </c>
      <c r="I2704" s="151" t="s">
        <v>391</v>
      </c>
      <c r="J2704" s="151" t="s">
        <v>7825</v>
      </c>
      <c r="K2704" s="151">
        <f t="shared" si="72"/>
        <v>650000000000686</v>
      </c>
      <c r="L2704" s="151" t="s">
        <v>9021</v>
      </c>
    </row>
    <row r="2705" spans="8:12" x14ac:dyDescent="0.25">
      <c r="H2705" s="151" t="s">
        <v>4712</v>
      </c>
      <c r="I2705" s="151" t="s">
        <v>6962</v>
      </c>
      <c r="J2705" s="151" t="s">
        <v>6962</v>
      </c>
      <c r="K2705" s="151">
        <f t="shared" si="72"/>
        <v>0</v>
      </c>
      <c r="L2705" s="151" t="s">
        <v>9021</v>
      </c>
    </row>
    <row r="2706" spans="8:12" x14ac:dyDescent="0.25">
      <c r="H2706" s="151" t="s">
        <v>4712</v>
      </c>
      <c r="I2706" s="151" t="s">
        <v>391</v>
      </c>
      <c r="J2706" s="151" t="s">
        <v>7826</v>
      </c>
      <c r="K2706" s="151">
        <f t="shared" si="72"/>
        <v>650000000001750</v>
      </c>
      <c r="L2706" s="151" t="s">
        <v>9021</v>
      </c>
    </row>
    <row r="2707" spans="8:12" x14ac:dyDescent="0.25">
      <c r="H2707" s="151" t="s">
        <v>4713</v>
      </c>
      <c r="I2707" s="151" t="s">
        <v>6962</v>
      </c>
      <c r="J2707" s="151" t="s">
        <v>6962</v>
      </c>
      <c r="K2707" s="151">
        <f t="shared" si="72"/>
        <v>0</v>
      </c>
      <c r="L2707" s="151" t="s">
        <v>9021</v>
      </c>
    </row>
    <row r="2708" spans="8:12" x14ac:dyDescent="0.25">
      <c r="H2708" s="151" t="s">
        <v>4713</v>
      </c>
      <c r="I2708" s="151" t="s">
        <v>391</v>
      </c>
      <c r="J2708" s="151" t="s">
        <v>7827</v>
      </c>
      <c r="K2708" s="151">
        <f t="shared" si="72"/>
        <v>650000000001751</v>
      </c>
      <c r="L2708" s="151" t="s">
        <v>9021</v>
      </c>
    </row>
    <row r="2709" spans="8:12" x14ac:dyDescent="0.25">
      <c r="H2709" s="151" t="s">
        <v>4714</v>
      </c>
      <c r="I2709" s="151" t="s">
        <v>6962</v>
      </c>
      <c r="J2709" s="151" t="s">
        <v>6962</v>
      </c>
      <c r="K2709" s="151">
        <f t="shared" si="72"/>
        <v>0</v>
      </c>
      <c r="L2709" s="151" t="s">
        <v>9021</v>
      </c>
    </row>
    <row r="2710" spans="8:12" x14ac:dyDescent="0.25">
      <c r="H2710" s="151" t="s">
        <v>4714</v>
      </c>
      <c r="I2710" s="151" t="s">
        <v>391</v>
      </c>
      <c r="J2710" s="151" t="s">
        <v>7828</v>
      </c>
      <c r="K2710" s="151">
        <f t="shared" si="72"/>
        <v>650000000001752</v>
      </c>
      <c r="L2710" s="151" t="s">
        <v>9021</v>
      </c>
    </row>
    <row r="2711" spans="8:12" x14ac:dyDescent="0.25">
      <c r="H2711" s="151" t="s">
        <v>4715</v>
      </c>
      <c r="I2711" s="151" t="s">
        <v>6962</v>
      </c>
      <c r="J2711" s="151" t="s">
        <v>6962</v>
      </c>
      <c r="K2711" s="151">
        <f t="shared" si="72"/>
        <v>0</v>
      </c>
      <c r="L2711" s="151" t="s">
        <v>9021</v>
      </c>
    </row>
    <row r="2712" spans="8:12" x14ac:dyDescent="0.25">
      <c r="H2712" s="151" t="s">
        <v>4715</v>
      </c>
      <c r="I2712" s="151" t="s">
        <v>391</v>
      </c>
      <c r="J2712" s="151" t="s">
        <v>7829</v>
      </c>
      <c r="K2712" s="151">
        <f t="shared" si="72"/>
        <v>650000000000687</v>
      </c>
      <c r="L2712" s="151" t="s">
        <v>9021</v>
      </c>
    </row>
    <row r="2713" spans="8:12" x14ac:dyDescent="0.25">
      <c r="H2713" s="151" t="s">
        <v>4716</v>
      </c>
      <c r="I2713" s="151" t="s">
        <v>6962</v>
      </c>
      <c r="J2713" s="151" t="s">
        <v>6962</v>
      </c>
      <c r="K2713" s="151">
        <f t="shared" si="72"/>
        <v>0</v>
      </c>
      <c r="L2713" s="151" t="s">
        <v>9021</v>
      </c>
    </row>
    <row r="2714" spans="8:12" x14ac:dyDescent="0.25">
      <c r="H2714" s="151" t="s">
        <v>4716</v>
      </c>
      <c r="I2714" s="151" t="s">
        <v>391</v>
      </c>
      <c r="J2714" s="151" t="s">
        <v>7830</v>
      </c>
      <c r="K2714" s="151">
        <f t="shared" si="72"/>
        <v>650000000001753</v>
      </c>
      <c r="L2714" s="151" t="s">
        <v>9021</v>
      </c>
    </row>
    <row r="2715" spans="8:12" x14ac:dyDescent="0.25">
      <c r="H2715" s="151" t="s">
        <v>4717</v>
      </c>
      <c r="I2715" s="151" t="s">
        <v>6962</v>
      </c>
      <c r="J2715" s="151" t="s">
        <v>6962</v>
      </c>
      <c r="K2715" s="151">
        <f t="shared" si="72"/>
        <v>0</v>
      </c>
      <c r="L2715" s="151" t="s">
        <v>9021</v>
      </c>
    </row>
    <row r="2716" spans="8:12" x14ac:dyDescent="0.25">
      <c r="H2716" s="151" t="s">
        <v>4717</v>
      </c>
      <c r="I2716" s="151" t="s">
        <v>391</v>
      </c>
      <c r="J2716" s="151" t="s">
        <v>7831</v>
      </c>
      <c r="K2716" s="151">
        <f t="shared" si="72"/>
        <v>650000000001754</v>
      </c>
      <c r="L2716" s="151" t="s">
        <v>9021</v>
      </c>
    </row>
    <row r="2717" spans="8:12" x14ac:dyDescent="0.25">
      <c r="H2717" s="151" t="s">
        <v>4718</v>
      </c>
      <c r="I2717" s="151" t="s">
        <v>6962</v>
      </c>
      <c r="J2717" s="151" t="s">
        <v>6962</v>
      </c>
      <c r="K2717" s="151">
        <f t="shared" si="72"/>
        <v>0</v>
      </c>
      <c r="L2717" s="151" t="s">
        <v>9021</v>
      </c>
    </row>
    <row r="2718" spans="8:12" x14ac:dyDescent="0.25">
      <c r="H2718" s="151" t="s">
        <v>4718</v>
      </c>
      <c r="I2718" s="151" t="s">
        <v>391</v>
      </c>
      <c r="J2718" s="151" t="s">
        <v>7832</v>
      </c>
      <c r="K2718" s="151">
        <f t="shared" si="72"/>
        <v>650000000001755</v>
      </c>
      <c r="L2718" s="151" t="s">
        <v>9021</v>
      </c>
    </row>
    <row r="2719" spans="8:12" x14ac:dyDescent="0.25">
      <c r="H2719" s="151" t="s">
        <v>4719</v>
      </c>
      <c r="I2719" s="151" t="s">
        <v>6962</v>
      </c>
      <c r="J2719" s="151" t="s">
        <v>6962</v>
      </c>
      <c r="K2719" s="151">
        <f t="shared" si="72"/>
        <v>0</v>
      </c>
      <c r="L2719" s="151" t="s">
        <v>9021</v>
      </c>
    </row>
    <row r="2720" spans="8:12" x14ac:dyDescent="0.25">
      <c r="H2720" s="151" t="s">
        <v>4719</v>
      </c>
      <c r="I2720" s="151" t="s">
        <v>391</v>
      </c>
      <c r="J2720" s="151" t="s">
        <v>7833</v>
      </c>
      <c r="K2720" s="151">
        <f t="shared" si="72"/>
        <v>650000000000688</v>
      </c>
      <c r="L2720" s="151" t="s">
        <v>9021</v>
      </c>
    </row>
    <row r="2721" spans="8:12" x14ac:dyDescent="0.25">
      <c r="H2721" s="151" t="s">
        <v>6872</v>
      </c>
      <c r="I2721" s="151" t="s">
        <v>6962</v>
      </c>
      <c r="J2721" s="151" t="s">
        <v>6962</v>
      </c>
      <c r="K2721" s="151">
        <f t="shared" si="72"/>
        <v>0</v>
      </c>
      <c r="L2721" s="151" t="s">
        <v>9021</v>
      </c>
    </row>
    <row r="2722" spans="8:12" x14ac:dyDescent="0.25">
      <c r="H2722" s="151" t="s">
        <v>4720</v>
      </c>
      <c r="I2722" s="151" t="s">
        <v>6962</v>
      </c>
      <c r="J2722" s="151" t="s">
        <v>6962</v>
      </c>
      <c r="K2722" s="151">
        <f t="shared" si="72"/>
        <v>0</v>
      </c>
      <c r="L2722" s="151" t="s">
        <v>9021</v>
      </c>
    </row>
    <row r="2723" spans="8:12" x14ac:dyDescent="0.25">
      <c r="H2723" s="151" t="s">
        <v>4720</v>
      </c>
      <c r="I2723" s="151" t="s">
        <v>391</v>
      </c>
      <c r="J2723" s="151" t="s">
        <v>7834</v>
      </c>
      <c r="K2723" s="151">
        <f t="shared" si="72"/>
        <v>650000000000689</v>
      </c>
      <c r="L2723" s="151" t="s">
        <v>9021</v>
      </c>
    </row>
    <row r="2724" spans="8:12" x14ac:dyDescent="0.25">
      <c r="H2724" s="151" t="s">
        <v>4721</v>
      </c>
      <c r="I2724" s="151" t="s">
        <v>6962</v>
      </c>
      <c r="J2724" s="151" t="s">
        <v>6962</v>
      </c>
      <c r="K2724" s="151">
        <f t="shared" si="72"/>
        <v>0</v>
      </c>
      <c r="L2724" s="151" t="s">
        <v>9021</v>
      </c>
    </row>
    <row r="2725" spans="8:12" x14ac:dyDescent="0.25">
      <c r="H2725" s="151" t="s">
        <v>4721</v>
      </c>
      <c r="I2725" s="151" t="s">
        <v>391</v>
      </c>
      <c r="J2725" s="151" t="s">
        <v>7835</v>
      </c>
      <c r="K2725" s="151">
        <f t="shared" si="72"/>
        <v>650000000000690</v>
      </c>
      <c r="L2725" s="151" t="s">
        <v>9021</v>
      </c>
    </row>
    <row r="2726" spans="8:12" x14ac:dyDescent="0.25">
      <c r="H2726" s="151" t="s">
        <v>4722</v>
      </c>
      <c r="I2726" s="151" t="s">
        <v>6962</v>
      </c>
      <c r="J2726" s="151" t="s">
        <v>6962</v>
      </c>
      <c r="K2726" s="151">
        <f t="shared" si="72"/>
        <v>0</v>
      </c>
      <c r="L2726" s="151" t="s">
        <v>9021</v>
      </c>
    </row>
    <row r="2727" spans="8:12" x14ac:dyDescent="0.25">
      <c r="H2727" s="151" t="s">
        <v>4722</v>
      </c>
      <c r="I2727" s="151" t="s">
        <v>391</v>
      </c>
      <c r="J2727" s="151" t="s">
        <v>7836</v>
      </c>
      <c r="K2727" s="151">
        <f t="shared" si="72"/>
        <v>650000000000691</v>
      </c>
      <c r="L2727" s="151" t="s">
        <v>9021</v>
      </c>
    </row>
    <row r="2728" spans="8:12" x14ac:dyDescent="0.25">
      <c r="H2728" s="151" t="s">
        <v>4723</v>
      </c>
      <c r="I2728" s="151" t="s">
        <v>6962</v>
      </c>
      <c r="J2728" s="151" t="s">
        <v>6962</v>
      </c>
      <c r="K2728" s="151">
        <f t="shared" si="72"/>
        <v>0</v>
      </c>
      <c r="L2728" s="151" t="s">
        <v>9021</v>
      </c>
    </row>
    <row r="2729" spans="8:12" x14ac:dyDescent="0.25">
      <c r="H2729" s="151" t="s">
        <v>4723</v>
      </c>
      <c r="I2729" s="151" t="s">
        <v>391</v>
      </c>
      <c r="J2729" s="151" t="s">
        <v>7837</v>
      </c>
      <c r="K2729" s="151">
        <f t="shared" si="72"/>
        <v>650000000000692</v>
      </c>
      <c r="L2729" s="151" t="s">
        <v>9021</v>
      </c>
    </row>
    <row r="2730" spans="8:12" x14ac:dyDescent="0.25">
      <c r="H2730" s="151" t="s">
        <v>4724</v>
      </c>
      <c r="I2730" s="151" t="s">
        <v>6962</v>
      </c>
      <c r="J2730" s="151" t="s">
        <v>6962</v>
      </c>
      <c r="K2730" s="151">
        <f t="shared" si="72"/>
        <v>0</v>
      </c>
      <c r="L2730" s="151" t="s">
        <v>9021</v>
      </c>
    </row>
    <row r="2731" spans="8:12" x14ac:dyDescent="0.25">
      <c r="H2731" s="151" t="s">
        <v>4724</v>
      </c>
      <c r="I2731" s="151" t="s">
        <v>391</v>
      </c>
      <c r="J2731" s="151" t="s">
        <v>7838</v>
      </c>
      <c r="K2731" s="151">
        <f t="shared" si="72"/>
        <v>650000000000693</v>
      </c>
      <c r="L2731" s="151" t="s">
        <v>9021</v>
      </c>
    </row>
    <row r="2732" spans="8:12" x14ac:dyDescent="0.25">
      <c r="H2732" s="151" t="s">
        <v>4725</v>
      </c>
      <c r="I2732" s="151" t="s">
        <v>6962</v>
      </c>
      <c r="J2732" s="151" t="s">
        <v>6962</v>
      </c>
      <c r="K2732" s="151">
        <f t="shared" si="72"/>
        <v>0</v>
      </c>
      <c r="L2732" s="151" t="s">
        <v>9021</v>
      </c>
    </row>
    <row r="2733" spans="8:12" x14ac:dyDescent="0.25">
      <c r="H2733" s="151" t="s">
        <v>4725</v>
      </c>
      <c r="I2733" s="151" t="s">
        <v>391</v>
      </c>
      <c r="J2733" s="151" t="s">
        <v>7839</v>
      </c>
      <c r="K2733" s="151">
        <f t="shared" si="72"/>
        <v>650000000000694</v>
      </c>
      <c r="L2733" s="151" t="s">
        <v>9021</v>
      </c>
    </row>
    <row r="2734" spans="8:12" x14ac:dyDescent="0.25">
      <c r="H2734" s="151" t="s">
        <v>4726</v>
      </c>
      <c r="I2734" s="151" t="s">
        <v>6962</v>
      </c>
      <c r="J2734" s="151" t="s">
        <v>6962</v>
      </c>
      <c r="K2734" s="151">
        <f t="shared" si="72"/>
        <v>0</v>
      </c>
      <c r="L2734" s="151" t="s">
        <v>9021</v>
      </c>
    </row>
    <row r="2735" spans="8:12" x14ac:dyDescent="0.25">
      <c r="H2735" s="151" t="s">
        <v>4726</v>
      </c>
      <c r="I2735" s="151" t="s">
        <v>391</v>
      </c>
      <c r="J2735" s="151" t="s">
        <v>7840</v>
      </c>
      <c r="K2735" s="151">
        <f t="shared" si="72"/>
        <v>650000000000695</v>
      </c>
      <c r="L2735" s="151" t="s">
        <v>9021</v>
      </c>
    </row>
    <row r="2736" spans="8:12" x14ac:dyDescent="0.25">
      <c r="H2736" s="151" t="s">
        <v>4727</v>
      </c>
      <c r="I2736" s="151" t="s">
        <v>6962</v>
      </c>
      <c r="J2736" s="151" t="s">
        <v>6962</v>
      </c>
      <c r="K2736" s="151">
        <f t="shared" si="72"/>
        <v>0</v>
      </c>
      <c r="L2736" s="151" t="s">
        <v>9021</v>
      </c>
    </row>
    <row r="2737" spans="8:12" x14ac:dyDescent="0.25">
      <c r="H2737" s="151" t="s">
        <v>4727</v>
      </c>
      <c r="I2737" s="151" t="s">
        <v>391</v>
      </c>
      <c r="J2737" s="151" t="s">
        <v>7841</v>
      </c>
      <c r="K2737" s="151">
        <f t="shared" si="72"/>
        <v>650000000000696</v>
      </c>
      <c r="L2737" s="151" t="s">
        <v>9021</v>
      </c>
    </row>
    <row r="2738" spans="8:12" x14ac:dyDescent="0.25">
      <c r="H2738" s="151" t="s">
        <v>4728</v>
      </c>
      <c r="I2738" s="151" t="s">
        <v>6962</v>
      </c>
      <c r="J2738" s="151" t="s">
        <v>6962</v>
      </c>
      <c r="K2738" s="151">
        <f t="shared" si="72"/>
        <v>0</v>
      </c>
      <c r="L2738" s="151" t="s">
        <v>9021</v>
      </c>
    </row>
    <row r="2739" spans="8:12" x14ac:dyDescent="0.25">
      <c r="H2739" s="151" t="s">
        <v>4728</v>
      </c>
      <c r="I2739" s="151" t="s">
        <v>391</v>
      </c>
      <c r="J2739" s="151" t="s">
        <v>7842</v>
      </c>
      <c r="K2739" s="151">
        <f t="shared" si="72"/>
        <v>650000000000697</v>
      </c>
      <c r="L2739" s="151" t="s">
        <v>9021</v>
      </c>
    </row>
    <row r="2740" spans="8:12" x14ac:dyDescent="0.25">
      <c r="H2740" s="151" t="s">
        <v>4729</v>
      </c>
      <c r="I2740" s="151" t="s">
        <v>6962</v>
      </c>
      <c r="J2740" s="151" t="s">
        <v>6962</v>
      </c>
      <c r="K2740" s="151">
        <f t="shared" si="72"/>
        <v>0</v>
      </c>
      <c r="L2740" s="151" t="s">
        <v>9021</v>
      </c>
    </row>
    <row r="2741" spans="8:12" x14ac:dyDescent="0.25">
      <c r="H2741" s="151" t="s">
        <v>4729</v>
      </c>
      <c r="I2741" s="151" t="s">
        <v>391</v>
      </c>
      <c r="J2741" s="151" t="s">
        <v>7843</v>
      </c>
      <c r="K2741" s="151">
        <f t="shared" si="72"/>
        <v>650000000000698</v>
      </c>
      <c r="L2741" s="151" t="s">
        <v>9021</v>
      </c>
    </row>
    <row r="2742" spans="8:12" x14ac:dyDescent="0.25">
      <c r="H2742" s="151" t="s">
        <v>4730</v>
      </c>
      <c r="I2742" s="151" t="s">
        <v>6962</v>
      </c>
      <c r="J2742" s="151" t="s">
        <v>6962</v>
      </c>
      <c r="K2742" s="151">
        <f t="shared" si="72"/>
        <v>0</v>
      </c>
      <c r="L2742" s="151" t="s">
        <v>9021</v>
      </c>
    </row>
    <row r="2743" spans="8:12" x14ac:dyDescent="0.25">
      <c r="H2743" s="151" t="s">
        <v>4730</v>
      </c>
      <c r="I2743" s="151" t="s">
        <v>391</v>
      </c>
      <c r="J2743" s="151" t="s">
        <v>7844</v>
      </c>
      <c r="K2743" s="151">
        <f t="shared" si="72"/>
        <v>650000000001756</v>
      </c>
      <c r="L2743" s="151" t="s">
        <v>9021</v>
      </c>
    </row>
    <row r="2744" spans="8:12" x14ac:dyDescent="0.25">
      <c r="H2744" s="151" t="s">
        <v>4731</v>
      </c>
      <c r="I2744" s="151" t="s">
        <v>6962</v>
      </c>
      <c r="J2744" s="151" t="s">
        <v>6962</v>
      </c>
      <c r="K2744" s="151">
        <f t="shared" si="72"/>
        <v>0</v>
      </c>
      <c r="L2744" s="151" t="s">
        <v>9021</v>
      </c>
    </row>
    <row r="2745" spans="8:12" x14ac:dyDescent="0.25">
      <c r="H2745" s="151" t="s">
        <v>4731</v>
      </c>
      <c r="I2745" s="151" t="s">
        <v>391</v>
      </c>
      <c r="J2745" s="151" t="s">
        <v>7845</v>
      </c>
      <c r="K2745" s="151">
        <f t="shared" si="72"/>
        <v>650000000000699</v>
      </c>
      <c r="L2745" s="151" t="s">
        <v>9021</v>
      </c>
    </row>
    <row r="2746" spans="8:12" x14ac:dyDescent="0.25">
      <c r="H2746" s="151" t="s">
        <v>4732</v>
      </c>
      <c r="I2746" s="151" t="s">
        <v>6962</v>
      </c>
      <c r="J2746" s="151" t="s">
        <v>6962</v>
      </c>
      <c r="K2746" s="151">
        <f t="shared" si="72"/>
        <v>0</v>
      </c>
      <c r="L2746" s="151" t="s">
        <v>9021</v>
      </c>
    </row>
    <row r="2747" spans="8:12" x14ac:dyDescent="0.25">
      <c r="H2747" s="151" t="s">
        <v>4732</v>
      </c>
      <c r="I2747" s="151" t="s">
        <v>391</v>
      </c>
      <c r="J2747" s="151" t="s">
        <v>7846</v>
      </c>
      <c r="K2747" s="151">
        <f t="shared" si="72"/>
        <v>650000000001757</v>
      </c>
      <c r="L2747" s="151" t="s">
        <v>9021</v>
      </c>
    </row>
    <row r="2748" spans="8:12" x14ac:dyDescent="0.25">
      <c r="H2748" s="151" t="s">
        <v>4733</v>
      </c>
      <c r="I2748" s="151" t="s">
        <v>6962</v>
      </c>
      <c r="J2748" s="151" t="s">
        <v>6962</v>
      </c>
      <c r="K2748" s="151">
        <f t="shared" si="72"/>
        <v>0</v>
      </c>
      <c r="L2748" s="151" t="s">
        <v>9021</v>
      </c>
    </row>
    <row r="2749" spans="8:12" x14ac:dyDescent="0.25">
      <c r="H2749" s="151" t="s">
        <v>4733</v>
      </c>
      <c r="I2749" s="151" t="s">
        <v>391</v>
      </c>
      <c r="J2749" s="151" t="s">
        <v>7847</v>
      </c>
      <c r="K2749" s="151">
        <f t="shared" si="72"/>
        <v>650000000000700</v>
      </c>
      <c r="L2749" s="151" t="s">
        <v>9021</v>
      </c>
    </row>
    <row r="2750" spans="8:12" x14ac:dyDescent="0.25">
      <c r="H2750" s="151" t="s">
        <v>4734</v>
      </c>
      <c r="I2750" s="151" t="s">
        <v>6962</v>
      </c>
      <c r="J2750" s="151" t="s">
        <v>6962</v>
      </c>
      <c r="K2750" s="151">
        <f t="shared" si="72"/>
        <v>0</v>
      </c>
      <c r="L2750" s="151" t="s">
        <v>9021</v>
      </c>
    </row>
    <row r="2751" spans="8:12" x14ac:dyDescent="0.25">
      <c r="H2751" s="151" t="s">
        <v>4734</v>
      </c>
      <c r="I2751" s="151" t="s">
        <v>391</v>
      </c>
      <c r="J2751" s="151" t="s">
        <v>7848</v>
      </c>
      <c r="K2751" s="151">
        <f t="shared" si="72"/>
        <v>650000000001758</v>
      </c>
      <c r="L2751" s="151" t="s">
        <v>9021</v>
      </c>
    </row>
    <row r="2752" spans="8:12" x14ac:dyDescent="0.25">
      <c r="H2752" s="151" t="s">
        <v>4735</v>
      </c>
      <c r="I2752" s="151" t="s">
        <v>6962</v>
      </c>
      <c r="J2752" s="151" t="s">
        <v>6962</v>
      </c>
      <c r="K2752" s="151">
        <f t="shared" si="72"/>
        <v>0</v>
      </c>
      <c r="L2752" s="151" t="s">
        <v>9021</v>
      </c>
    </row>
    <row r="2753" spans="8:12" x14ac:dyDescent="0.25">
      <c r="H2753" s="151" t="s">
        <v>4735</v>
      </c>
      <c r="I2753" s="151" t="s">
        <v>391</v>
      </c>
      <c r="J2753" s="151" t="s">
        <v>7849</v>
      </c>
      <c r="K2753" s="151">
        <f t="shared" si="72"/>
        <v>650000000001759</v>
      </c>
      <c r="L2753" s="151" t="s">
        <v>9021</v>
      </c>
    </row>
    <row r="2754" spans="8:12" x14ac:dyDescent="0.25">
      <c r="H2754" s="151" t="s">
        <v>4736</v>
      </c>
      <c r="I2754" s="151" t="s">
        <v>6962</v>
      </c>
      <c r="J2754" s="151" t="s">
        <v>6962</v>
      </c>
      <c r="K2754" s="151">
        <f t="shared" si="72"/>
        <v>0</v>
      </c>
      <c r="L2754" s="151" t="s">
        <v>9021</v>
      </c>
    </row>
    <row r="2755" spans="8:12" x14ac:dyDescent="0.25">
      <c r="H2755" s="151" t="s">
        <v>4736</v>
      </c>
      <c r="I2755" s="151" t="s">
        <v>391</v>
      </c>
      <c r="J2755" s="151" t="s">
        <v>7850</v>
      </c>
      <c r="K2755" s="151">
        <f t="shared" ref="K2755:K2818" si="73">+IFERROR(J2755*1,0)</f>
        <v>650000000000701</v>
      </c>
      <c r="L2755" s="151" t="s">
        <v>9021</v>
      </c>
    </row>
    <row r="2756" spans="8:12" x14ac:dyDescent="0.25">
      <c r="H2756" s="151" t="s">
        <v>4737</v>
      </c>
      <c r="I2756" s="151" t="s">
        <v>6962</v>
      </c>
      <c r="J2756" s="151" t="s">
        <v>6962</v>
      </c>
      <c r="K2756" s="151">
        <f t="shared" si="73"/>
        <v>0</v>
      </c>
      <c r="L2756" s="151" t="s">
        <v>9021</v>
      </c>
    </row>
    <row r="2757" spans="8:12" x14ac:dyDescent="0.25">
      <c r="H2757" s="151" t="s">
        <v>4737</v>
      </c>
      <c r="I2757" s="151" t="s">
        <v>391</v>
      </c>
      <c r="J2757" s="151" t="s">
        <v>7851</v>
      </c>
      <c r="K2757" s="151">
        <f t="shared" si="73"/>
        <v>650000000000702</v>
      </c>
      <c r="L2757" s="151" t="s">
        <v>9021</v>
      </c>
    </row>
    <row r="2758" spans="8:12" x14ac:dyDescent="0.25">
      <c r="H2758" s="151" t="s">
        <v>6873</v>
      </c>
      <c r="I2758" s="151" t="s">
        <v>6962</v>
      </c>
      <c r="J2758" s="151" t="s">
        <v>6962</v>
      </c>
      <c r="K2758" s="151">
        <f t="shared" si="73"/>
        <v>0</v>
      </c>
      <c r="L2758" s="151" t="s">
        <v>9021</v>
      </c>
    </row>
    <row r="2759" spans="8:12" x14ac:dyDescent="0.25">
      <c r="H2759" s="151" t="s">
        <v>4738</v>
      </c>
      <c r="I2759" s="151" t="s">
        <v>6962</v>
      </c>
      <c r="J2759" s="151" t="s">
        <v>6962</v>
      </c>
      <c r="K2759" s="151">
        <f t="shared" si="73"/>
        <v>0</v>
      </c>
      <c r="L2759" s="151" t="s">
        <v>9021</v>
      </c>
    </row>
    <row r="2760" spans="8:12" x14ac:dyDescent="0.25">
      <c r="H2760" s="151" t="s">
        <v>4738</v>
      </c>
      <c r="I2760" s="151" t="s">
        <v>391</v>
      </c>
      <c r="J2760" s="151" t="s">
        <v>7852</v>
      </c>
      <c r="K2760" s="151">
        <f t="shared" si="73"/>
        <v>650000000000703</v>
      </c>
      <c r="L2760" s="151" t="s">
        <v>9021</v>
      </c>
    </row>
    <row r="2761" spans="8:12" x14ac:dyDescent="0.25">
      <c r="H2761" s="151" t="s">
        <v>4739</v>
      </c>
      <c r="I2761" s="151" t="s">
        <v>6962</v>
      </c>
      <c r="J2761" s="151" t="s">
        <v>6962</v>
      </c>
      <c r="K2761" s="151">
        <f t="shared" si="73"/>
        <v>0</v>
      </c>
      <c r="L2761" s="151" t="s">
        <v>9021</v>
      </c>
    </row>
    <row r="2762" spans="8:12" x14ac:dyDescent="0.25">
      <c r="H2762" s="151" t="s">
        <v>4739</v>
      </c>
      <c r="I2762" s="151" t="s">
        <v>391</v>
      </c>
      <c r="J2762" s="151" t="s">
        <v>7853</v>
      </c>
      <c r="K2762" s="151">
        <f t="shared" si="73"/>
        <v>650000000001760</v>
      </c>
      <c r="L2762" s="151" t="s">
        <v>9021</v>
      </c>
    </row>
    <row r="2763" spans="8:12" x14ac:dyDescent="0.25">
      <c r="H2763" s="151" t="s">
        <v>6874</v>
      </c>
      <c r="I2763" s="151" t="s">
        <v>6962</v>
      </c>
      <c r="J2763" s="151" t="s">
        <v>6962</v>
      </c>
      <c r="K2763" s="151">
        <f t="shared" si="73"/>
        <v>0</v>
      </c>
      <c r="L2763" s="151" t="s">
        <v>9021</v>
      </c>
    </row>
    <row r="2764" spans="8:12" x14ac:dyDescent="0.25">
      <c r="H2764" s="151" t="s">
        <v>4740</v>
      </c>
      <c r="I2764" s="151" t="s">
        <v>6962</v>
      </c>
      <c r="J2764" s="151" t="s">
        <v>6962</v>
      </c>
      <c r="K2764" s="151">
        <f t="shared" si="73"/>
        <v>0</v>
      </c>
      <c r="L2764" s="151" t="s">
        <v>9021</v>
      </c>
    </row>
    <row r="2765" spans="8:12" x14ac:dyDescent="0.25">
      <c r="H2765" s="151" t="s">
        <v>4740</v>
      </c>
      <c r="I2765" s="151" t="s">
        <v>391</v>
      </c>
      <c r="J2765" s="151" t="s">
        <v>7854</v>
      </c>
      <c r="K2765" s="151">
        <f t="shared" si="73"/>
        <v>650000000000704</v>
      </c>
      <c r="L2765" s="151" t="s">
        <v>9021</v>
      </c>
    </row>
    <row r="2766" spans="8:12" x14ac:dyDescent="0.25">
      <c r="H2766" s="151" t="s">
        <v>4741</v>
      </c>
      <c r="I2766" s="151" t="s">
        <v>6962</v>
      </c>
      <c r="J2766" s="151" t="s">
        <v>6962</v>
      </c>
      <c r="K2766" s="151">
        <f t="shared" si="73"/>
        <v>0</v>
      </c>
      <c r="L2766" s="151" t="s">
        <v>9021</v>
      </c>
    </row>
    <row r="2767" spans="8:12" x14ac:dyDescent="0.25">
      <c r="H2767" s="151" t="s">
        <v>4741</v>
      </c>
      <c r="I2767" s="151" t="s">
        <v>391</v>
      </c>
      <c r="J2767" s="151" t="s">
        <v>7855</v>
      </c>
      <c r="K2767" s="151">
        <f t="shared" si="73"/>
        <v>650000000000705</v>
      </c>
      <c r="L2767" s="151" t="s">
        <v>9021</v>
      </c>
    </row>
    <row r="2768" spans="8:12" x14ac:dyDescent="0.25">
      <c r="H2768" s="151" t="s">
        <v>4742</v>
      </c>
      <c r="I2768" s="151" t="s">
        <v>6962</v>
      </c>
      <c r="J2768" s="151" t="s">
        <v>6962</v>
      </c>
      <c r="K2768" s="151">
        <f t="shared" si="73"/>
        <v>0</v>
      </c>
      <c r="L2768" s="151" t="s">
        <v>9021</v>
      </c>
    </row>
    <row r="2769" spans="8:12" x14ac:dyDescent="0.25">
      <c r="H2769" s="151" t="s">
        <v>4742</v>
      </c>
      <c r="I2769" s="151" t="s">
        <v>391</v>
      </c>
      <c r="J2769" s="151" t="s">
        <v>7856</v>
      </c>
      <c r="K2769" s="151">
        <f t="shared" si="73"/>
        <v>650000000001761</v>
      </c>
      <c r="L2769" s="151" t="s">
        <v>9021</v>
      </c>
    </row>
    <row r="2770" spans="8:12" x14ac:dyDescent="0.25">
      <c r="H2770" s="151" t="s">
        <v>4743</v>
      </c>
      <c r="I2770" s="151" t="s">
        <v>6962</v>
      </c>
      <c r="J2770" s="151" t="s">
        <v>6962</v>
      </c>
      <c r="K2770" s="151">
        <f t="shared" si="73"/>
        <v>0</v>
      </c>
      <c r="L2770" s="151" t="s">
        <v>9021</v>
      </c>
    </row>
    <row r="2771" spans="8:12" x14ac:dyDescent="0.25">
      <c r="H2771" s="151" t="s">
        <v>4743</v>
      </c>
      <c r="I2771" s="151" t="s">
        <v>391</v>
      </c>
      <c r="J2771" s="151" t="s">
        <v>7857</v>
      </c>
      <c r="K2771" s="151">
        <f t="shared" si="73"/>
        <v>650000000000706</v>
      </c>
      <c r="L2771" s="151" t="s">
        <v>9021</v>
      </c>
    </row>
    <row r="2772" spans="8:12" x14ac:dyDescent="0.25">
      <c r="H2772" s="151" t="s">
        <v>4744</v>
      </c>
      <c r="I2772" s="151" t="s">
        <v>6962</v>
      </c>
      <c r="J2772" s="151" t="s">
        <v>6962</v>
      </c>
      <c r="K2772" s="151">
        <f t="shared" si="73"/>
        <v>0</v>
      </c>
      <c r="L2772" s="151" t="s">
        <v>9021</v>
      </c>
    </row>
    <row r="2773" spans="8:12" x14ac:dyDescent="0.25">
      <c r="H2773" s="151" t="s">
        <v>4744</v>
      </c>
      <c r="I2773" s="151" t="s">
        <v>391</v>
      </c>
      <c r="J2773" s="151" t="s">
        <v>7858</v>
      </c>
      <c r="K2773" s="151">
        <f t="shared" si="73"/>
        <v>650000000000707</v>
      </c>
      <c r="L2773" s="151" t="s">
        <v>9021</v>
      </c>
    </row>
    <row r="2774" spans="8:12" x14ac:dyDescent="0.25">
      <c r="H2774" s="151" t="s">
        <v>4745</v>
      </c>
      <c r="I2774" s="151" t="s">
        <v>6962</v>
      </c>
      <c r="J2774" s="151" t="s">
        <v>6962</v>
      </c>
      <c r="K2774" s="151">
        <f t="shared" si="73"/>
        <v>0</v>
      </c>
      <c r="L2774" s="151" t="s">
        <v>9021</v>
      </c>
    </row>
    <row r="2775" spans="8:12" x14ac:dyDescent="0.25">
      <c r="H2775" s="151" t="s">
        <v>4745</v>
      </c>
      <c r="I2775" s="151" t="s">
        <v>391</v>
      </c>
      <c r="J2775" s="151" t="s">
        <v>7859</v>
      </c>
      <c r="K2775" s="151">
        <f t="shared" si="73"/>
        <v>650000000000708</v>
      </c>
      <c r="L2775" s="151" t="s">
        <v>9021</v>
      </c>
    </row>
    <row r="2776" spans="8:12" x14ac:dyDescent="0.25">
      <c r="H2776" s="151" t="s">
        <v>4746</v>
      </c>
      <c r="I2776" s="151" t="s">
        <v>6962</v>
      </c>
      <c r="J2776" s="151" t="s">
        <v>6962</v>
      </c>
      <c r="K2776" s="151">
        <f t="shared" si="73"/>
        <v>0</v>
      </c>
      <c r="L2776" s="151" t="s">
        <v>9026</v>
      </c>
    </row>
    <row r="2777" spans="8:12" x14ac:dyDescent="0.25">
      <c r="H2777" s="151" t="s">
        <v>4746</v>
      </c>
      <c r="I2777" s="151" t="s">
        <v>391</v>
      </c>
      <c r="J2777" s="151" t="s">
        <v>7860</v>
      </c>
      <c r="K2777" s="151">
        <f t="shared" si="73"/>
        <v>650000000001762</v>
      </c>
      <c r="L2777" s="151" t="s">
        <v>9026</v>
      </c>
    </row>
    <row r="2778" spans="8:12" x14ac:dyDescent="0.25">
      <c r="H2778" s="151" t="s">
        <v>4747</v>
      </c>
      <c r="I2778" s="151" t="s">
        <v>6962</v>
      </c>
      <c r="J2778" s="151" t="s">
        <v>6962</v>
      </c>
      <c r="K2778" s="151">
        <f t="shared" si="73"/>
        <v>0</v>
      </c>
      <c r="L2778" s="151" t="s">
        <v>9025</v>
      </c>
    </row>
    <row r="2779" spans="8:12" x14ac:dyDescent="0.25">
      <c r="H2779" s="151" t="s">
        <v>4747</v>
      </c>
      <c r="I2779" s="151" t="s">
        <v>391</v>
      </c>
      <c r="J2779" s="151" t="s">
        <v>7861</v>
      </c>
      <c r="K2779" s="151">
        <f t="shared" si="73"/>
        <v>650000000000709</v>
      </c>
      <c r="L2779" s="151" t="s">
        <v>9025</v>
      </c>
    </row>
    <row r="2780" spans="8:12" x14ac:dyDescent="0.25">
      <c r="H2780" s="151" t="s">
        <v>4748</v>
      </c>
      <c r="I2780" s="151" t="s">
        <v>6962</v>
      </c>
      <c r="J2780" s="151" t="s">
        <v>6962</v>
      </c>
      <c r="K2780" s="151">
        <f t="shared" si="73"/>
        <v>0</v>
      </c>
      <c r="L2780" s="151" t="s">
        <v>9021</v>
      </c>
    </row>
    <row r="2781" spans="8:12" x14ac:dyDescent="0.25">
      <c r="H2781" s="151" t="s">
        <v>4748</v>
      </c>
      <c r="I2781" s="151" t="s">
        <v>391</v>
      </c>
      <c r="J2781" s="151" t="s">
        <v>7862</v>
      </c>
      <c r="K2781" s="151">
        <f t="shared" si="73"/>
        <v>650000000000710</v>
      </c>
      <c r="L2781" s="151" t="s">
        <v>9021</v>
      </c>
    </row>
    <row r="2782" spans="8:12" x14ac:dyDescent="0.25">
      <c r="H2782" s="151" t="s">
        <v>4749</v>
      </c>
      <c r="I2782" s="151" t="s">
        <v>6962</v>
      </c>
      <c r="J2782" s="151" t="s">
        <v>6962</v>
      </c>
      <c r="K2782" s="151">
        <f t="shared" si="73"/>
        <v>0</v>
      </c>
      <c r="L2782" s="151" t="s">
        <v>9021</v>
      </c>
    </row>
    <row r="2783" spans="8:12" x14ac:dyDescent="0.25">
      <c r="H2783" s="151" t="s">
        <v>4749</v>
      </c>
      <c r="I2783" s="151" t="s">
        <v>391</v>
      </c>
      <c r="J2783" s="151" t="s">
        <v>7863</v>
      </c>
      <c r="K2783" s="151">
        <f t="shared" si="73"/>
        <v>650000000000711</v>
      </c>
      <c r="L2783" s="151" t="s">
        <v>9021</v>
      </c>
    </row>
    <row r="2784" spans="8:12" x14ac:dyDescent="0.25">
      <c r="H2784" s="151" t="s">
        <v>4750</v>
      </c>
      <c r="I2784" s="151" t="s">
        <v>6962</v>
      </c>
      <c r="J2784" s="151" t="s">
        <v>6962</v>
      </c>
      <c r="K2784" s="151">
        <f t="shared" si="73"/>
        <v>0</v>
      </c>
      <c r="L2784" s="151" t="s">
        <v>9021</v>
      </c>
    </row>
    <row r="2785" spans="8:12" x14ac:dyDescent="0.25">
      <c r="H2785" s="151" t="s">
        <v>4750</v>
      </c>
      <c r="I2785" s="151" t="s">
        <v>391</v>
      </c>
      <c r="J2785" s="151" t="s">
        <v>7864</v>
      </c>
      <c r="K2785" s="151">
        <f t="shared" si="73"/>
        <v>650000000001763</v>
      </c>
      <c r="L2785" s="151" t="s">
        <v>9021</v>
      </c>
    </row>
    <row r="2786" spans="8:12" x14ac:dyDescent="0.25">
      <c r="H2786" s="151" t="s">
        <v>4751</v>
      </c>
      <c r="I2786" s="151" t="s">
        <v>6962</v>
      </c>
      <c r="J2786" s="151" t="s">
        <v>6962</v>
      </c>
      <c r="K2786" s="151">
        <f t="shared" si="73"/>
        <v>0</v>
      </c>
      <c r="L2786" s="151" t="s">
        <v>9021</v>
      </c>
    </row>
    <row r="2787" spans="8:12" x14ac:dyDescent="0.25">
      <c r="H2787" s="151" t="s">
        <v>4751</v>
      </c>
      <c r="I2787" s="151" t="s">
        <v>391</v>
      </c>
      <c r="J2787" s="151" t="s">
        <v>7865</v>
      </c>
      <c r="K2787" s="151">
        <f t="shared" si="73"/>
        <v>650000000000712</v>
      </c>
      <c r="L2787" s="151" t="s">
        <v>9021</v>
      </c>
    </row>
    <row r="2788" spans="8:12" x14ac:dyDescent="0.25">
      <c r="H2788" s="151" t="s">
        <v>4752</v>
      </c>
      <c r="I2788" s="151" t="s">
        <v>6962</v>
      </c>
      <c r="J2788" s="151" t="s">
        <v>6962</v>
      </c>
      <c r="K2788" s="151">
        <f t="shared" si="73"/>
        <v>0</v>
      </c>
      <c r="L2788" s="151" t="s">
        <v>9021</v>
      </c>
    </row>
    <row r="2789" spans="8:12" x14ac:dyDescent="0.25">
      <c r="H2789" s="151" t="s">
        <v>4752</v>
      </c>
      <c r="I2789" s="151" t="s">
        <v>391</v>
      </c>
      <c r="J2789" s="151" t="s">
        <v>7866</v>
      </c>
      <c r="K2789" s="151">
        <f t="shared" si="73"/>
        <v>650000000000713</v>
      </c>
      <c r="L2789" s="151" t="s">
        <v>9021</v>
      </c>
    </row>
    <row r="2790" spans="8:12" x14ac:dyDescent="0.25">
      <c r="H2790" s="151" t="s">
        <v>4753</v>
      </c>
      <c r="I2790" s="151" t="s">
        <v>6962</v>
      </c>
      <c r="J2790" s="151" t="s">
        <v>6962</v>
      </c>
      <c r="K2790" s="151">
        <f t="shared" si="73"/>
        <v>0</v>
      </c>
      <c r="L2790" s="151" t="s">
        <v>9021</v>
      </c>
    </row>
    <row r="2791" spans="8:12" x14ac:dyDescent="0.25">
      <c r="H2791" s="151" t="s">
        <v>4753</v>
      </c>
      <c r="I2791" s="151" t="s">
        <v>391</v>
      </c>
      <c r="J2791" s="151" t="s">
        <v>7867</v>
      </c>
      <c r="K2791" s="151">
        <f t="shared" si="73"/>
        <v>650000000001764</v>
      </c>
      <c r="L2791" s="151" t="s">
        <v>9021</v>
      </c>
    </row>
    <row r="2792" spans="8:12" x14ac:dyDescent="0.25">
      <c r="H2792" s="151" t="s">
        <v>4754</v>
      </c>
      <c r="I2792" s="151" t="s">
        <v>6962</v>
      </c>
      <c r="J2792" s="151" t="s">
        <v>6962</v>
      </c>
      <c r="K2792" s="151">
        <f t="shared" si="73"/>
        <v>0</v>
      </c>
      <c r="L2792" s="151" t="s">
        <v>9021</v>
      </c>
    </row>
    <row r="2793" spans="8:12" x14ac:dyDescent="0.25">
      <c r="H2793" s="151" t="s">
        <v>4754</v>
      </c>
      <c r="I2793" s="151" t="s">
        <v>391</v>
      </c>
      <c r="J2793" s="151" t="s">
        <v>7868</v>
      </c>
      <c r="K2793" s="151">
        <f t="shared" si="73"/>
        <v>650000000001765</v>
      </c>
      <c r="L2793" s="151" t="s">
        <v>9021</v>
      </c>
    </row>
    <row r="2794" spans="8:12" x14ac:dyDescent="0.25">
      <c r="H2794" s="151" t="s">
        <v>4755</v>
      </c>
      <c r="I2794" s="151" t="s">
        <v>6962</v>
      </c>
      <c r="J2794" s="151" t="s">
        <v>6962</v>
      </c>
      <c r="K2794" s="151">
        <f t="shared" si="73"/>
        <v>0</v>
      </c>
      <c r="L2794" s="151" t="s">
        <v>9021</v>
      </c>
    </row>
    <row r="2795" spans="8:12" x14ac:dyDescent="0.25">
      <c r="H2795" s="151" t="s">
        <v>4755</v>
      </c>
      <c r="I2795" s="151" t="s">
        <v>391</v>
      </c>
      <c r="J2795" s="151" t="s">
        <v>7869</v>
      </c>
      <c r="K2795" s="151">
        <f t="shared" si="73"/>
        <v>650000000000714</v>
      </c>
      <c r="L2795" s="151" t="s">
        <v>9021</v>
      </c>
    </row>
    <row r="2796" spans="8:12" x14ac:dyDescent="0.25">
      <c r="H2796" s="151" t="s">
        <v>4756</v>
      </c>
      <c r="I2796" s="151" t="s">
        <v>6962</v>
      </c>
      <c r="J2796" s="151" t="s">
        <v>6962</v>
      </c>
      <c r="K2796" s="151">
        <f t="shared" si="73"/>
        <v>0</v>
      </c>
      <c r="L2796" s="151" t="s">
        <v>9021</v>
      </c>
    </row>
    <row r="2797" spans="8:12" x14ac:dyDescent="0.25">
      <c r="H2797" s="151" t="s">
        <v>4756</v>
      </c>
      <c r="I2797" s="151" t="s">
        <v>391</v>
      </c>
      <c r="J2797" s="151" t="s">
        <v>7870</v>
      </c>
      <c r="K2797" s="151">
        <f t="shared" si="73"/>
        <v>650000000000715</v>
      </c>
      <c r="L2797" s="151" t="s">
        <v>9021</v>
      </c>
    </row>
    <row r="2798" spans="8:12" x14ac:dyDescent="0.25">
      <c r="H2798" s="151" t="s">
        <v>4757</v>
      </c>
      <c r="I2798" s="151" t="s">
        <v>6962</v>
      </c>
      <c r="J2798" s="151" t="s">
        <v>6962</v>
      </c>
      <c r="K2798" s="151">
        <f t="shared" si="73"/>
        <v>0</v>
      </c>
      <c r="L2798" s="151" t="s">
        <v>9021</v>
      </c>
    </row>
    <row r="2799" spans="8:12" x14ac:dyDescent="0.25">
      <c r="H2799" s="151" t="s">
        <v>4757</v>
      </c>
      <c r="I2799" s="151" t="s">
        <v>391</v>
      </c>
      <c r="J2799" s="151" t="s">
        <v>7871</v>
      </c>
      <c r="K2799" s="151">
        <f t="shared" si="73"/>
        <v>650000000001766</v>
      </c>
      <c r="L2799" s="151" t="s">
        <v>9021</v>
      </c>
    </row>
    <row r="2800" spans="8:12" x14ac:dyDescent="0.25">
      <c r="H2800" s="151" t="s">
        <v>4758</v>
      </c>
      <c r="I2800" s="151" t="s">
        <v>6962</v>
      </c>
      <c r="J2800" s="151" t="s">
        <v>6962</v>
      </c>
      <c r="K2800" s="151">
        <f t="shared" si="73"/>
        <v>0</v>
      </c>
      <c r="L2800" s="151" t="s">
        <v>9021</v>
      </c>
    </row>
    <row r="2801" spans="8:12" x14ac:dyDescent="0.25">
      <c r="H2801" s="151" t="s">
        <v>4758</v>
      </c>
      <c r="I2801" s="151" t="s">
        <v>391</v>
      </c>
      <c r="J2801" s="151" t="s">
        <v>7872</v>
      </c>
      <c r="K2801" s="151">
        <f t="shared" si="73"/>
        <v>650000000000716</v>
      </c>
      <c r="L2801" s="151" t="s">
        <v>9021</v>
      </c>
    </row>
    <row r="2802" spans="8:12" x14ac:dyDescent="0.25">
      <c r="H2802" s="151" t="s">
        <v>4759</v>
      </c>
      <c r="I2802" s="151" t="s">
        <v>6962</v>
      </c>
      <c r="J2802" s="151" t="s">
        <v>6962</v>
      </c>
      <c r="K2802" s="151">
        <f t="shared" si="73"/>
        <v>0</v>
      </c>
      <c r="L2802" s="151" t="s">
        <v>9021</v>
      </c>
    </row>
    <row r="2803" spans="8:12" x14ac:dyDescent="0.25">
      <c r="H2803" s="151" t="s">
        <v>4759</v>
      </c>
      <c r="I2803" s="151" t="s">
        <v>391</v>
      </c>
      <c r="J2803" s="151" t="s">
        <v>7873</v>
      </c>
      <c r="K2803" s="151">
        <f t="shared" si="73"/>
        <v>650000000000717</v>
      </c>
      <c r="L2803" s="151" t="s">
        <v>9021</v>
      </c>
    </row>
    <row r="2804" spans="8:12" x14ac:dyDescent="0.25">
      <c r="H2804" s="151" t="s">
        <v>4760</v>
      </c>
      <c r="I2804" s="151" t="s">
        <v>6962</v>
      </c>
      <c r="J2804" s="151" t="s">
        <v>6962</v>
      </c>
      <c r="K2804" s="151">
        <f t="shared" si="73"/>
        <v>0</v>
      </c>
      <c r="L2804" s="151" t="s">
        <v>9021</v>
      </c>
    </row>
    <row r="2805" spans="8:12" x14ac:dyDescent="0.25">
      <c r="H2805" s="151" t="s">
        <v>4760</v>
      </c>
      <c r="I2805" s="151" t="s">
        <v>391</v>
      </c>
      <c r="J2805" s="151" t="s">
        <v>7874</v>
      </c>
      <c r="K2805" s="151">
        <f t="shared" si="73"/>
        <v>650000000001767</v>
      </c>
      <c r="L2805" s="151" t="s">
        <v>9021</v>
      </c>
    </row>
    <row r="2806" spans="8:12" x14ac:dyDescent="0.25">
      <c r="H2806" s="151" t="s">
        <v>4761</v>
      </c>
      <c r="I2806" s="151" t="s">
        <v>6962</v>
      </c>
      <c r="J2806" s="151" t="s">
        <v>6962</v>
      </c>
      <c r="K2806" s="151">
        <f t="shared" si="73"/>
        <v>0</v>
      </c>
      <c r="L2806" s="151" t="s">
        <v>9021</v>
      </c>
    </row>
    <row r="2807" spans="8:12" x14ac:dyDescent="0.25">
      <c r="H2807" s="151" t="s">
        <v>4761</v>
      </c>
      <c r="I2807" s="151" t="s">
        <v>391</v>
      </c>
      <c r="J2807" s="151" t="s">
        <v>7875</v>
      </c>
      <c r="K2807" s="151">
        <f t="shared" si="73"/>
        <v>650000000001768</v>
      </c>
      <c r="L2807" s="151" t="s">
        <v>9021</v>
      </c>
    </row>
    <row r="2808" spans="8:12" x14ac:dyDescent="0.25">
      <c r="H2808" s="151" t="s">
        <v>4762</v>
      </c>
      <c r="I2808" s="151" t="s">
        <v>6962</v>
      </c>
      <c r="J2808" s="151" t="s">
        <v>6962</v>
      </c>
      <c r="K2808" s="151">
        <f t="shared" si="73"/>
        <v>0</v>
      </c>
      <c r="L2808" s="151" t="s">
        <v>9021</v>
      </c>
    </row>
    <row r="2809" spans="8:12" x14ac:dyDescent="0.25">
      <c r="H2809" s="151" t="s">
        <v>4762</v>
      </c>
      <c r="I2809" s="151" t="s">
        <v>391</v>
      </c>
      <c r="J2809" s="151" t="s">
        <v>7876</v>
      </c>
      <c r="K2809" s="151">
        <f t="shared" si="73"/>
        <v>650000000000718</v>
      </c>
      <c r="L2809" s="151" t="s">
        <v>9021</v>
      </c>
    </row>
    <row r="2810" spans="8:12" x14ac:dyDescent="0.25">
      <c r="H2810" s="151" t="s">
        <v>4763</v>
      </c>
      <c r="I2810" s="151" t="s">
        <v>6962</v>
      </c>
      <c r="J2810" s="151" t="s">
        <v>6962</v>
      </c>
      <c r="K2810" s="151">
        <f t="shared" si="73"/>
        <v>0</v>
      </c>
      <c r="L2810" s="151" t="s">
        <v>9021</v>
      </c>
    </row>
    <row r="2811" spans="8:12" x14ac:dyDescent="0.25">
      <c r="H2811" s="151" t="s">
        <v>4763</v>
      </c>
      <c r="I2811" s="151" t="s">
        <v>391</v>
      </c>
      <c r="J2811" s="151" t="s">
        <v>7877</v>
      </c>
      <c r="K2811" s="151">
        <f t="shared" si="73"/>
        <v>650000000000719</v>
      </c>
      <c r="L2811" s="151" t="s">
        <v>9021</v>
      </c>
    </row>
    <row r="2812" spans="8:12" x14ac:dyDescent="0.25">
      <c r="H2812" s="151" t="s">
        <v>4764</v>
      </c>
      <c r="I2812" s="151" t="s">
        <v>6962</v>
      </c>
      <c r="J2812" s="151" t="s">
        <v>6962</v>
      </c>
      <c r="K2812" s="151">
        <f t="shared" si="73"/>
        <v>0</v>
      </c>
      <c r="L2812" s="151" t="s">
        <v>9021</v>
      </c>
    </row>
    <row r="2813" spans="8:12" x14ac:dyDescent="0.25">
      <c r="H2813" s="151" t="s">
        <v>4764</v>
      </c>
      <c r="I2813" s="151" t="s">
        <v>391</v>
      </c>
      <c r="J2813" s="151" t="s">
        <v>7878</v>
      </c>
      <c r="K2813" s="151">
        <f t="shared" si="73"/>
        <v>650000000000720</v>
      </c>
      <c r="L2813" s="151" t="s">
        <v>9021</v>
      </c>
    </row>
    <row r="2814" spans="8:12" x14ac:dyDescent="0.25">
      <c r="H2814" s="151" t="s">
        <v>4765</v>
      </c>
      <c r="I2814" s="151" t="s">
        <v>6962</v>
      </c>
      <c r="J2814" s="151" t="s">
        <v>6962</v>
      </c>
      <c r="K2814" s="151">
        <f t="shared" si="73"/>
        <v>0</v>
      </c>
      <c r="L2814" s="151" t="s">
        <v>9021</v>
      </c>
    </row>
    <row r="2815" spans="8:12" x14ac:dyDescent="0.25">
      <c r="H2815" s="151" t="s">
        <v>4765</v>
      </c>
      <c r="I2815" s="151" t="s">
        <v>391</v>
      </c>
      <c r="J2815" s="151" t="s">
        <v>7879</v>
      </c>
      <c r="K2815" s="151">
        <f t="shared" si="73"/>
        <v>650000000000721</v>
      </c>
      <c r="L2815" s="151" t="s">
        <v>9021</v>
      </c>
    </row>
    <row r="2816" spans="8:12" x14ac:dyDescent="0.25">
      <c r="H2816" s="151" t="s">
        <v>4766</v>
      </c>
      <c r="I2816" s="151" t="s">
        <v>6962</v>
      </c>
      <c r="J2816" s="151" t="s">
        <v>6962</v>
      </c>
      <c r="K2816" s="151">
        <f t="shared" si="73"/>
        <v>0</v>
      </c>
      <c r="L2816" s="151" t="s">
        <v>9021</v>
      </c>
    </row>
    <row r="2817" spans="8:12" x14ac:dyDescent="0.25">
      <c r="H2817" s="151" t="s">
        <v>4766</v>
      </c>
      <c r="I2817" s="151" t="s">
        <v>391</v>
      </c>
      <c r="J2817" s="151" t="s">
        <v>7880</v>
      </c>
      <c r="K2817" s="151">
        <f t="shared" si="73"/>
        <v>650000000000722</v>
      </c>
      <c r="L2817" s="151" t="s">
        <v>9021</v>
      </c>
    </row>
    <row r="2818" spans="8:12" x14ac:dyDescent="0.25">
      <c r="H2818" s="151" t="s">
        <v>4767</v>
      </c>
      <c r="I2818" s="151" t="s">
        <v>6962</v>
      </c>
      <c r="J2818" s="151" t="s">
        <v>6962</v>
      </c>
      <c r="K2818" s="151">
        <f t="shared" si="73"/>
        <v>0</v>
      </c>
      <c r="L2818" s="151" t="s">
        <v>9021</v>
      </c>
    </row>
    <row r="2819" spans="8:12" x14ac:dyDescent="0.25">
      <c r="H2819" s="151" t="s">
        <v>4767</v>
      </c>
      <c r="I2819" s="151" t="s">
        <v>391</v>
      </c>
      <c r="J2819" s="151" t="s">
        <v>7881</v>
      </c>
      <c r="K2819" s="151">
        <f t="shared" ref="K2819:K2882" si="74">+IFERROR(J2819*1,0)</f>
        <v>650000000001769</v>
      </c>
      <c r="L2819" s="151" t="s">
        <v>9021</v>
      </c>
    </row>
    <row r="2820" spans="8:12" x14ac:dyDescent="0.25">
      <c r="H2820" s="151" t="s">
        <v>4768</v>
      </c>
      <c r="I2820" s="151" t="s">
        <v>6962</v>
      </c>
      <c r="J2820" s="151" t="s">
        <v>6962</v>
      </c>
      <c r="K2820" s="151">
        <f t="shared" si="74"/>
        <v>0</v>
      </c>
      <c r="L2820" s="151" t="s">
        <v>9021</v>
      </c>
    </row>
    <row r="2821" spans="8:12" x14ac:dyDescent="0.25">
      <c r="H2821" s="151" t="s">
        <v>4768</v>
      </c>
      <c r="I2821" s="151" t="s">
        <v>391</v>
      </c>
      <c r="J2821" s="151" t="s">
        <v>7882</v>
      </c>
      <c r="K2821" s="151">
        <f t="shared" si="74"/>
        <v>650000000001770</v>
      </c>
      <c r="L2821" s="151" t="s">
        <v>9021</v>
      </c>
    </row>
    <row r="2822" spans="8:12" x14ac:dyDescent="0.25">
      <c r="H2822" s="151" t="s">
        <v>4769</v>
      </c>
      <c r="I2822" s="151" t="s">
        <v>6962</v>
      </c>
      <c r="J2822" s="151" t="s">
        <v>6962</v>
      </c>
      <c r="K2822" s="151">
        <f t="shared" si="74"/>
        <v>0</v>
      </c>
      <c r="L2822" s="151" t="s">
        <v>9021</v>
      </c>
    </row>
    <row r="2823" spans="8:12" x14ac:dyDescent="0.25">
      <c r="H2823" s="151" t="s">
        <v>4769</v>
      </c>
      <c r="I2823" s="151" t="s">
        <v>391</v>
      </c>
      <c r="J2823" s="151" t="s">
        <v>7883</v>
      </c>
      <c r="K2823" s="151">
        <f t="shared" si="74"/>
        <v>650000000000723</v>
      </c>
      <c r="L2823" s="151" t="s">
        <v>9021</v>
      </c>
    </row>
    <row r="2824" spans="8:12" x14ac:dyDescent="0.25">
      <c r="H2824" s="151" t="s">
        <v>4770</v>
      </c>
      <c r="I2824" s="151" t="s">
        <v>6962</v>
      </c>
      <c r="J2824" s="151" t="s">
        <v>6962</v>
      </c>
      <c r="K2824" s="151">
        <f t="shared" si="74"/>
        <v>0</v>
      </c>
      <c r="L2824" s="151" t="s">
        <v>9021</v>
      </c>
    </row>
    <row r="2825" spans="8:12" x14ac:dyDescent="0.25">
      <c r="H2825" s="151" t="s">
        <v>4770</v>
      </c>
      <c r="I2825" s="151" t="s">
        <v>391</v>
      </c>
      <c r="J2825" s="151" t="s">
        <v>7884</v>
      </c>
      <c r="K2825" s="151">
        <f t="shared" si="74"/>
        <v>650000000001771</v>
      </c>
      <c r="L2825" s="151" t="s">
        <v>9021</v>
      </c>
    </row>
    <row r="2826" spans="8:12" x14ac:dyDescent="0.25">
      <c r="H2826" s="151" t="s">
        <v>4771</v>
      </c>
      <c r="I2826" s="151" t="s">
        <v>6962</v>
      </c>
      <c r="J2826" s="151" t="s">
        <v>6962</v>
      </c>
      <c r="K2826" s="151">
        <f t="shared" si="74"/>
        <v>0</v>
      </c>
      <c r="L2826" s="151" t="s">
        <v>9021</v>
      </c>
    </row>
    <row r="2827" spans="8:12" x14ac:dyDescent="0.25">
      <c r="H2827" s="151" t="s">
        <v>4771</v>
      </c>
      <c r="I2827" s="151" t="s">
        <v>391</v>
      </c>
      <c r="J2827" s="151" t="s">
        <v>7885</v>
      </c>
      <c r="K2827" s="151">
        <f t="shared" si="74"/>
        <v>650000000001772</v>
      </c>
      <c r="L2827" s="151" t="s">
        <v>9021</v>
      </c>
    </row>
    <row r="2828" spans="8:12" x14ac:dyDescent="0.25">
      <c r="H2828" s="151" t="s">
        <v>4772</v>
      </c>
      <c r="I2828" s="151" t="s">
        <v>6962</v>
      </c>
      <c r="J2828" s="151" t="s">
        <v>6962</v>
      </c>
      <c r="K2828" s="151">
        <f t="shared" si="74"/>
        <v>0</v>
      </c>
      <c r="L2828" s="151" t="s">
        <v>9021</v>
      </c>
    </row>
    <row r="2829" spans="8:12" x14ac:dyDescent="0.25">
      <c r="H2829" s="151" t="s">
        <v>4772</v>
      </c>
      <c r="I2829" s="151" t="s">
        <v>391</v>
      </c>
      <c r="J2829" s="151" t="s">
        <v>7886</v>
      </c>
      <c r="K2829" s="151">
        <f t="shared" si="74"/>
        <v>650000000000724</v>
      </c>
      <c r="L2829" s="151" t="s">
        <v>9021</v>
      </c>
    </row>
    <row r="2830" spans="8:12" x14ac:dyDescent="0.25">
      <c r="H2830" s="151" t="s">
        <v>4773</v>
      </c>
      <c r="I2830" s="151" t="s">
        <v>6962</v>
      </c>
      <c r="J2830" s="151" t="s">
        <v>6962</v>
      </c>
      <c r="K2830" s="151">
        <f t="shared" si="74"/>
        <v>0</v>
      </c>
      <c r="L2830" s="151" t="s">
        <v>9021</v>
      </c>
    </row>
    <row r="2831" spans="8:12" x14ac:dyDescent="0.25">
      <c r="H2831" s="151" t="s">
        <v>4773</v>
      </c>
      <c r="I2831" s="151" t="s">
        <v>391</v>
      </c>
      <c r="J2831" s="151" t="s">
        <v>7887</v>
      </c>
      <c r="K2831" s="151">
        <f t="shared" si="74"/>
        <v>650000000000725</v>
      </c>
      <c r="L2831" s="151" t="s">
        <v>9021</v>
      </c>
    </row>
    <row r="2832" spans="8:12" x14ac:dyDescent="0.25">
      <c r="H2832" s="151" t="s">
        <v>4774</v>
      </c>
      <c r="I2832" s="151" t="s">
        <v>6962</v>
      </c>
      <c r="J2832" s="151" t="s">
        <v>6962</v>
      </c>
      <c r="K2832" s="151">
        <f t="shared" si="74"/>
        <v>0</v>
      </c>
      <c r="L2832" s="151" t="s">
        <v>9021</v>
      </c>
    </row>
    <row r="2833" spans="8:12" x14ac:dyDescent="0.25">
      <c r="H2833" s="151" t="s">
        <v>4774</v>
      </c>
      <c r="I2833" s="151" t="s">
        <v>391</v>
      </c>
      <c r="J2833" s="151" t="s">
        <v>7888</v>
      </c>
      <c r="K2833" s="151">
        <f t="shared" si="74"/>
        <v>650000000000726</v>
      </c>
      <c r="L2833" s="151" t="s">
        <v>9021</v>
      </c>
    </row>
    <row r="2834" spans="8:12" x14ac:dyDescent="0.25">
      <c r="H2834" s="151" t="s">
        <v>4775</v>
      </c>
      <c r="I2834" s="151" t="s">
        <v>6962</v>
      </c>
      <c r="J2834" s="151" t="s">
        <v>6962</v>
      </c>
      <c r="K2834" s="151">
        <f t="shared" si="74"/>
        <v>0</v>
      </c>
      <c r="L2834" s="151" t="s">
        <v>9021</v>
      </c>
    </row>
    <row r="2835" spans="8:12" x14ac:dyDescent="0.25">
      <c r="H2835" s="151" t="s">
        <v>4775</v>
      </c>
      <c r="I2835" s="151" t="s">
        <v>391</v>
      </c>
      <c r="J2835" s="151" t="s">
        <v>7889</v>
      </c>
      <c r="K2835" s="151">
        <f t="shared" si="74"/>
        <v>650000000000727</v>
      </c>
      <c r="L2835" s="151" t="s">
        <v>9021</v>
      </c>
    </row>
    <row r="2836" spans="8:12" x14ac:dyDescent="0.25">
      <c r="H2836" s="151" t="s">
        <v>4776</v>
      </c>
      <c r="I2836" s="151" t="s">
        <v>6962</v>
      </c>
      <c r="J2836" s="151" t="s">
        <v>6962</v>
      </c>
      <c r="K2836" s="151">
        <f t="shared" si="74"/>
        <v>0</v>
      </c>
      <c r="L2836" s="151" t="s">
        <v>9021</v>
      </c>
    </row>
    <row r="2837" spans="8:12" x14ac:dyDescent="0.25">
      <c r="H2837" s="151" t="s">
        <v>4776</v>
      </c>
      <c r="I2837" s="151" t="s">
        <v>391</v>
      </c>
      <c r="J2837" s="151" t="s">
        <v>7890</v>
      </c>
      <c r="K2837" s="151">
        <f t="shared" si="74"/>
        <v>650000000001773</v>
      </c>
      <c r="L2837" s="151" t="s">
        <v>9021</v>
      </c>
    </row>
    <row r="2838" spans="8:12" x14ac:dyDescent="0.25">
      <c r="H2838" s="151" t="s">
        <v>4777</v>
      </c>
      <c r="I2838" s="151" t="s">
        <v>6962</v>
      </c>
      <c r="J2838" s="151" t="s">
        <v>6962</v>
      </c>
      <c r="K2838" s="151">
        <f t="shared" si="74"/>
        <v>0</v>
      </c>
      <c r="L2838" s="151" t="s">
        <v>9021</v>
      </c>
    </row>
    <row r="2839" spans="8:12" x14ac:dyDescent="0.25">
      <c r="H2839" s="151" t="s">
        <v>4777</v>
      </c>
      <c r="I2839" s="151" t="s">
        <v>391</v>
      </c>
      <c r="J2839" s="151" t="s">
        <v>7891</v>
      </c>
      <c r="K2839" s="151">
        <f t="shared" si="74"/>
        <v>650000000000728</v>
      </c>
      <c r="L2839" s="151" t="s">
        <v>9021</v>
      </c>
    </row>
    <row r="2840" spans="8:12" x14ac:dyDescent="0.25">
      <c r="H2840" s="151" t="s">
        <v>4778</v>
      </c>
      <c r="I2840" s="151" t="s">
        <v>6962</v>
      </c>
      <c r="J2840" s="151" t="s">
        <v>6962</v>
      </c>
      <c r="K2840" s="151">
        <f t="shared" si="74"/>
        <v>0</v>
      </c>
      <c r="L2840" s="151" t="s">
        <v>9021</v>
      </c>
    </row>
    <row r="2841" spans="8:12" x14ac:dyDescent="0.25">
      <c r="H2841" s="151" t="s">
        <v>4778</v>
      </c>
      <c r="I2841" s="151" t="s">
        <v>391</v>
      </c>
      <c r="J2841" s="151" t="s">
        <v>7892</v>
      </c>
      <c r="K2841" s="151">
        <f t="shared" si="74"/>
        <v>650000000000729</v>
      </c>
      <c r="L2841" s="151" t="s">
        <v>9021</v>
      </c>
    </row>
    <row r="2842" spans="8:12" x14ac:dyDescent="0.25">
      <c r="H2842" s="151" t="s">
        <v>4779</v>
      </c>
      <c r="I2842" s="151" t="s">
        <v>6962</v>
      </c>
      <c r="J2842" s="151" t="s">
        <v>6962</v>
      </c>
      <c r="K2842" s="151">
        <f t="shared" si="74"/>
        <v>0</v>
      </c>
      <c r="L2842" s="151" t="s">
        <v>9021</v>
      </c>
    </row>
    <row r="2843" spans="8:12" x14ac:dyDescent="0.25">
      <c r="H2843" s="151" t="s">
        <v>4779</v>
      </c>
      <c r="I2843" s="151" t="s">
        <v>391</v>
      </c>
      <c r="J2843" s="151" t="s">
        <v>7893</v>
      </c>
      <c r="K2843" s="151">
        <f t="shared" si="74"/>
        <v>650000000001774</v>
      </c>
      <c r="L2843" s="151" t="s">
        <v>9021</v>
      </c>
    </row>
    <row r="2844" spans="8:12" x14ac:dyDescent="0.25">
      <c r="H2844" s="151" t="s">
        <v>6875</v>
      </c>
      <c r="I2844" s="151" t="s">
        <v>6962</v>
      </c>
      <c r="J2844" s="151" t="s">
        <v>6962</v>
      </c>
      <c r="K2844" s="151">
        <f t="shared" si="74"/>
        <v>0</v>
      </c>
      <c r="L2844" s="151" t="s">
        <v>9021</v>
      </c>
    </row>
    <row r="2845" spans="8:12" x14ac:dyDescent="0.25">
      <c r="H2845" s="151" t="s">
        <v>4780</v>
      </c>
      <c r="I2845" s="151" t="s">
        <v>6962</v>
      </c>
      <c r="J2845" s="151" t="s">
        <v>6962</v>
      </c>
      <c r="K2845" s="151">
        <f t="shared" si="74"/>
        <v>0</v>
      </c>
      <c r="L2845" s="151" t="s">
        <v>9021</v>
      </c>
    </row>
    <row r="2846" spans="8:12" x14ac:dyDescent="0.25">
      <c r="H2846" s="151" t="s">
        <v>4780</v>
      </c>
      <c r="I2846" s="151" t="s">
        <v>391</v>
      </c>
      <c r="J2846" s="151" t="s">
        <v>7894</v>
      </c>
      <c r="K2846" s="151">
        <f t="shared" si="74"/>
        <v>650000000001775</v>
      </c>
      <c r="L2846" s="151" t="s">
        <v>9021</v>
      </c>
    </row>
    <row r="2847" spans="8:12" x14ac:dyDescent="0.25">
      <c r="H2847" s="151" t="s">
        <v>4781</v>
      </c>
      <c r="I2847" s="151" t="s">
        <v>6962</v>
      </c>
      <c r="J2847" s="151" t="s">
        <v>6962</v>
      </c>
      <c r="K2847" s="151">
        <f t="shared" si="74"/>
        <v>0</v>
      </c>
      <c r="L2847" s="151" t="s">
        <v>9021</v>
      </c>
    </row>
    <row r="2848" spans="8:12" x14ac:dyDescent="0.25">
      <c r="H2848" s="151" t="s">
        <v>4781</v>
      </c>
      <c r="I2848" s="151" t="s">
        <v>391</v>
      </c>
      <c r="J2848" s="151" t="s">
        <v>7895</v>
      </c>
      <c r="K2848" s="151">
        <f t="shared" si="74"/>
        <v>650000000001776</v>
      </c>
      <c r="L2848" s="151" t="s">
        <v>9021</v>
      </c>
    </row>
    <row r="2849" spans="8:12" x14ac:dyDescent="0.25">
      <c r="H2849" s="151" t="s">
        <v>4782</v>
      </c>
      <c r="I2849" s="151" t="s">
        <v>6962</v>
      </c>
      <c r="J2849" s="151" t="s">
        <v>6962</v>
      </c>
      <c r="K2849" s="151">
        <f t="shared" si="74"/>
        <v>0</v>
      </c>
      <c r="L2849" s="151" t="s">
        <v>9021</v>
      </c>
    </row>
    <row r="2850" spans="8:12" x14ac:dyDescent="0.25">
      <c r="H2850" s="151" t="s">
        <v>4782</v>
      </c>
      <c r="I2850" s="151" t="s">
        <v>391</v>
      </c>
      <c r="J2850" s="151" t="s">
        <v>7896</v>
      </c>
      <c r="K2850" s="151">
        <f t="shared" si="74"/>
        <v>650000000001777</v>
      </c>
      <c r="L2850" s="151" t="s">
        <v>9021</v>
      </c>
    </row>
    <row r="2851" spans="8:12" x14ac:dyDescent="0.25">
      <c r="H2851" s="151" t="s">
        <v>4783</v>
      </c>
      <c r="I2851" s="151" t="s">
        <v>6962</v>
      </c>
      <c r="J2851" s="151" t="s">
        <v>6962</v>
      </c>
      <c r="K2851" s="151">
        <f t="shared" si="74"/>
        <v>0</v>
      </c>
      <c r="L2851" s="151" t="s">
        <v>9021</v>
      </c>
    </row>
    <row r="2852" spans="8:12" x14ac:dyDescent="0.25">
      <c r="H2852" s="151" t="s">
        <v>4783</v>
      </c>
      <c r="I2852" s="151" t="s">
        <v>391</v>
      </c>
      <c r="J2852" s="151" t="s">
        <v>7897</v>
      </c>
      <c r="K2852" s="151">
        <f t="shared" si="74"/>
        <v>650000000000731</v>
      </c>
      <c r="L2852" s="151" t="s">
        <v>9021</v>
      </c>
    </row>
    <row r="2853" spans="8:12" x14ac:dyDescent="0.25">
      <c r="H2853" s="151" t="s">
        <v>6876</v>
      </c>
      <c r="I2853" s="151" t="s">
        <v>6962</v>
      </c>
      <c r="J2853" s="151" t="s">
        <v>6962</v>
      </c>
      <c r="K2853" s="151">
        <f t="shared" si="74"/>
        <v>0</v>
      </c>
      <c r="L2853" s="151" t="s">
        <v>9021</v>
      </c>
    </row>
    <row r="2854" spans="8:12" x14ac:dyDescent="0.25">
      <c r="H2854" s="151" t="s">
        <v>4784</v>
      </c>
      <c r="I2854" s="151" t="s">
        <v>6962</v>
      </c>
      <c r="J2854" s="151" t="s">
        <v>6962</v>
      </c>
      <c r="K2854" s="151">
        <f t="shared" si="74"/>
        <v>0</v>
      </c>
      <c r="L2854" s="151" t="s">
        <v>9021</v>
      </c>
    </row>
    <row r="2855" spans="8:12" x14ac:dyDescent="0.25">
      <c r="H2855" s="151" t="s">
        <v>4784</v>
      </c>
      <c r="I2855" s="151" t="s">
        <v>391</v>
      </c>
      <c r="J2855" s="151" t="s">
        <v>7898</v>
      </c>
      <c r="K2855" s="151">
        <f t="shared" si="74"/>
        <v>650000000001778</v>
      </c>
      <c r="L2855" s="151" t="s">
        <v>9021</v>
      </c>
    </row>
    <row r="2856" spans="8:12" x14ac:dyDescent="0.25">
      <c r="H2856" s="151" t="s">
        <v>4785</v>
      </c>
      <c r="I2856" s="151" t="s">
        <v>6962</v>
      </c>
      <c r="J2856" s="151" t="s">
        <v>6962</v>
      </c>
      <c r="K2856" s="151">
        <f t="shared" si="74"/>
        <v>0</v>
      </c>
      <c r="L2856" s="151" t="s">
        <v>9021</v>
      </c>
    </row>
    <row r="2857" spans="8:12" x14ac:dyDescent="0.25">
      <c r="H2857" s="151" t="s">
        <v>4785</v>
      </c>
      <c r="I2857" s="151" t="s">
        <v>391</v>
      </c>
      <c r="J2857" s="151" t="s">
        <v>7899</v>
      </c>
      <c r="K2857" s="151">
        <f t="shared" si="74"/>
        <v>650000000001779</v>
      </c>
      <c r="L2857" s="151" t="s">
        <v>9021</v>
      </c>
    </row>
    <row r="2858" spans="8:12" x14ac:dyDescent="0.25">
      <c r="H2858" s="151" t="s">
        <v>4786</v>
      </c>
      <c r="I2858" s="151" t="s">
        <v>6962</v>
      </c>
      <c r="J2858" s="151" t="s">
        <v>6962</v>
      </c>
      <c r="K2858" s="151">
        <f t="shared" si="74"/>
        <v>0</v>
      </c>
      <c r="L2858" s="151" t="s">
        <v>9021</v>
      </c>
    </row>
    <row r="2859" spans="8:12" x14ac:dyDescent="0.25">
      <c r="H2859" s="151" t="s">
        <v>4786</v>
      </c>
      <c r="I2859" s="151" t="s">
        <v>391</v>
      </c>
      <c r="J2859" s="151" t="s">
        <v>7900</v>
      </c>
      <c r="K2859" s="151">
        <f t="shared" si="74"/>
        <v>650000000001780</v>
      </c>
      <c r="L2859" s="151" t="s">
        <v>9021</v>
      </c>
    </row>
    <row r="2860" spans="8:12" x14ac:dyDescent="0.25">
      <c r="H2860" s="151" t="s">
        <v>4787</v>
      </c>
      <c r="I2860" s="151" t="s">
        <v>6962</v>
      </c>
      <c r="J2860" s="151" t="s">
        <v>6962</v>
      </c>
      <c r="K2860" s="151">
        <f t="shared" si="74"/>
        <v>0</v>
      </c>
      <c r="L2860" s="151" t="s">
        <v>9021</v>
      </c>
    </row>
    <row r="2861" spans="8:12" x14ac:dyDescent="0.25">
      <c r="H2861" s="151" t="s">
        <v>4787</v>
      </c>
      <c r="I2861" s="151" t="s">
        <v>391</v>
      </c>
      <c r="J2861" s="151" t="s">
        <v>7901</v>
      </c>
      <c r="K2861" s="151">
        <f t="shared" si="74"/>
        <v>650000000000732</v>
      </c>
      <c r="L2861" s="151" t="s">
        <v>9021</v>
      </c>
    </row>
    <row r="2862" spans="8:12" x14ac:dyDescent="0.25">
      <c r="H2862" s="151" t="s">
        <v>4788</v>
      </c>
      <c r="I2862" s="151" t="s">
        <v>6962</v>
      </c>
      <c r="J2862" s="151" t="s">
        <v>6962</v>
      </c>
      <c r="K2862" s="151">
        <f t="shared" si="74"/>
        <v>0</v>
      </c>
      <c r="L2862" s="151" t="s">
        <v>9021</v>
      </c>
    </row>
    <row r="2863" spans="8:12" x14ac:dyDescent="0.25">
      <c r="H2863" s="151" t="s">
        <v>4788</v>
      </c>
      <c r="I2863" s="151" t="s">
        <v>391</v>
      </c>
      <c r="J2863" s="151" t="s">
        <v>7902</v>
      </c>
      <c r="K2863" s="151">
        <f t="shared" si="74"/>
        <v>650000000001781</v>
      </c>
      <c r="L2863" s="151" t="s">
        <v>9021</v>
      </c>
    </row>
    <row r="2864" spans="8:12" x14ac:dyDescent="0.25">
      <c r="H2864" s="151" t="s">
        <v>4789</v>
      </c>
      <c r="I2864" s="151" t="s">
        <v>6962</v>
      </c>
      <c r="J2864" s="151" t="s">
        <v>6962</v>
      </c>
      <c r="K2864" s="151">
        <f t="shared" si="74"/>
        <v>0</v>
      </c>
      <c r="L2864" s="151" t="s">
        <v>9021</v>
      </c>
    </row>
    <row r="2865" spans="8:12" x14ac:dyDescent="0.25">
      <c r="H2865" s="151" t="s">
        <v>4789</v>
      </c>
      <c r="I2865" s="151" t="s">
        <v>391</v>
      </c>
      <c r="J2865" s="151" t="s">
        <v>7903</v>
      </c>
      <c r="K2865" s="151">
        <f t="shared" si="74"/>
        <v>650000000001782</v>
      </c>
      <c r="L2865" s="151" t="s">
        <v>9021</v>
      </c>
    </row>
    <row r="2866" spans="8:12" x14ac:dyDescent="0.25">
      <c r="H2866" s="151" t="s">
        <v>4790</v>
      </c>
      <c r="I2866" s="151" t="s">
        <v>6962</v>
      </c>
      <c r="J2866" s="151" t="s">
        <v>6962</v>
      </c>
      <c r="K2866" s="151">
        <f t="shared" si="74"/>
        <v>0</v>
      </c>
      <c r="L2866" s="151" t="s">
        <v>9021</v>
      </c>
    </row>
    <row r="2867" spans="8:12" x14ac:dyDescent="0.25">
      <c r="H2867" s="151" t="s">
        <v>4790</v>
      </c>
      <c r="I2867" s="151" t="s">
        <v>391</v>
      </c>
      <c r="J2867" s="151" t="s">
        <v>7904</v>
      </c>
      <c r="K2867" s="151">
        <f t="shared" si="74"/>
        <v>650000000000733</v>
      </c>
      <c r="L2867" s="151" t="s">
        <v>9021</v>
      </c>
    </row>
    <row r="2868" spans="8:12" x14ac:dyDescent="0.25">
      <c r="H2868" s="151" t="s">
        <v>4791</v>
      </c>
      <c r="I2868" s="151" t="s">
        <v>6962</v>
      </c>
      <c r="J2868" s="151" t="s">
        <v>6962</v>
      </c>
      <c r="K2868" s="151">
        <f t="shared" si="74"/>
        <v>0</v>
      </c>
      <c r="L2868" s="151" t="s">
        <v>9021</v>
      </c>
    </row>
    <row r="2869" spans="8:12" x14ac:dyDescent="0.25">
      <c r="H2869" s="151" t="s">
        <v>4791</v>
      </c>
      <c r="I2869" s="151" t="s">
        <v>391</v>
      </c>
      <c r="J2869" s="151" t="s">
        <v>7905</v>
      </c>
      <c r="K2869" s="151">
        <f t="shared" si="74"/>
        <v>650000000001783</v>
      </c>
      <c r="L2869" s="151" t="s">
        <v>9021</v>
      </c>
    </row>
    <row r="2870" spans="8:12" x14ac:dyDescent="0.25">
      <c r="H2870" s="151" t="s">
        <v>4792</v>
      </c>
      <c r="I2870" s="151" t="s">
        <v>6962</v>
      </c>
      <c r="J2870" s="151" t="s">
        <v>6962</v>
      </c>
      <c r="K2870" s="151">
        <f t="shared" si="74"/>
        <v>0</v>
      </c>
      <c r="L2870" s="151" t="s">
        <v>9021</v>
      </c>
    </row>
    <row r="2871" spans="8:12" x14ac:dyDescent="0.25">
      <c r="H2871" s="151" t="s">
        <v>4792</v>
      </c>
      <c r="I2871" s="151" t="s">
        <v>391</v>
      </c>
      <c r="J2871" s="151" t="s">
        <v>7906</v>
      </c>
      <c r="K2871" s="151">
        <f t="shared" si="74"/>
        <v>650000000000734</v>
      </c>
      <c r="L2871" s="151" t="s">
        <v>9021</v>
      </c>
    </row>
    <row r="2872" spans="8:12" x14ac:dyDescent="0.25">
      <c r="H2872" s="151" t="s">
        <v>4793</v>
      </c>
      <c r="I2872" s="151" t="s">
        <v>6962</v>
      </c>
      <c r="J2872" s="151" t="s">
        <v>6962</v>
      </c>
      <c r="K2872" s="151">
        <f t="shared" si="74"/>
        <v>0</v>
      </c>
      <c r="L2872" s="151" t="s">
        <v>9021</v>
      </c>
    </row>
    <row r="2873" spans="8:12" x14ac:dyDescent="0.25">
      <c r="H2873" s="151" t="s">
        <v>4793</v>
      </c>
      <c r="I2873" s="151" t="s">
        <v>391</v>
      </c>
      <c r="J2873" s="151" t="s">
        <v>7907</v>
      </c>
      <c r="K2873" s="151">
        <f t="shared" si="74"/>
        <v>650000000000735</v>
      </c>
      <c r="L2873" s="151" t="s">
        <v>9021</v>
      </c>
    </row>
    <row r="2874" spans="8:12" x14ac:dyDescent="0.25">
      <c r="H2874" s="151" t="s">
        <v>4794</v>
      </c>
      <c r="I2874" s="151" t="s">
        <v>6962</v>
      </c>
      <c r="J2874" s="151" t="s">
        <v>6962</v>
      </c>
      <c r="K2874" s="151">
        <f t="shared" si="74"/>
        <v>0</v>
      </c>
      <c r="L2874" s="151" t="s">
        <v>9021</v>
      </c>
    </row>
    <row r="2875" spans="8:12" x14ac:dyDescent="0.25">
      <c r="H2875" s="151" t="s">
        <v>4794</v>
      </c>
      <c r="I2875" s="151" t="s">
        <v>391</v>
      </c>
      <c r="J2875" s="151" t="s">
        <v>7908</v>
      </c>
      <c r="K2875" s="151">
        <f t="shared" si="74"/>
        <v>650000000000736</v>
      </c>
      <c r="L2875" s="151" t="s">
        <v>9021</v>
      </c>
    </row>
    <row r="2876" spans="8:12" x14ac:dyDescent="0.25">
      <c r="H2876" s="151" t="s">
        <v>4795</v>
      </c>
      <c r="I2876" s="151" t="s">
        <v>6962</v>
      </c>
      <c r="J2876" s="151" t="s">
        <v>6962</v>
      </c>
      <c r="K2876" s="151">
        <f t="shared" si="74"/>
        <v>0</v>
      </c>
      <c r="L2876" s="151" t="s">
        <v>9021</v>
      </c>
    </row>
    <row r="2877" spans="8:12" x14ac:dyDescent="0.25">
      <c r="H2877" s="151" t="s">
        <v>4795</v>
      </c>
      <c r="I2877" s="151" t="s">
        <v>391</v>
      </c>
      <c r="J2877" s="151" t="s">
        <v>7909</v>
      </c>
      <c r="K2877" s="151">
        <f t="shared" si="74"/>
        <v>650000000001784</v>
      </c>
      <c r="L2877" s="151" t="s">
        <v>9021</v>
      </c>
    </row>
    <row r="2878" spans="8:12" x14ac:dyDescent="0.25">
      <c r="H2878" s="151" t="s">
        <v>4796</v>
      </c>
      <c r="I2878" s="151" t="s">
        <v>6962</v>
      </c>
      <c r="J2878" s="151" t="s">
        <v>6962</v>
      </c>
      <c r="K2878" s="151">
        <f t="shared" si="74"/>
        <v>0</v>
      </c>
      <c r="L2878" s="151" t="s">
        <v>9021</v>
      </c>
    </row>
    <row r="2879" spans="8:12" x14ac:dyDescent="0.25">
      <c r="H2879" s="151" t="s">
        <v>4796</v>
      </c>
      <c r="I2879" s="151" t="s">
        <v>391</v>
      </c>
      <c r="J2879" s="151" t="s">
        <v>7910</v>
      </c>
      <c r="K2879" s="151">
        <f t="shared" si="74"/>
        <v>650000000000737</v>
      </c>
      <c r="L2879" s="151" t="s">
        <v>9021</v>
      </c>
    </row>
    <row r="2880" spans="8:12" x14ac:dyDescent="0.25">
      <c r="H2880" s="151" t="s">
        <v>4797</v>
      </c>
      <c r="I2880" s="151" t="s">
        <v>6962</v>
      </c>
      <c r="J2880" s="151" t="s">
        <v>6962</v>
      </c>
      <c r="K2880" s="151">
        <f t="shared" si="74"/>
        <v>0</v>
      </c>
      <c r="L2880" s="151" t="s">
        <v>9021</v>
      </c>
    </row>
    <row r="2881" spans="8:12" x14ac:dyDescent="0.25">
      <c r="H2881" s="151" t="s">
        <v>4797</v>
      </c>
      <c r="I2881" s="151" t="s">
        <v>391</v>
      </c>
      <c r="J2881" s="151" t="s">
        <v>7911</v>
      </c>
      <c r="K2881" s="151">
        <f t="shared" si="74"/>
        <v>650000000001785</v>
      </c>
      <c r="L2881" s="151" t="s">
        <v>9021</v>
      </c>
    </row>
    <row r="2882" spans="8:12" x14ac:dyDescent="0.25">
      <c r="H2882" s="151" t="s">
        <v>4798</v>
      </c>
      <c r="I2882" s="151" t="s">
        <v>6962</v>
      </c>
      <c r="J2882" s="151" t="s">
        <v>6962</v>
      </c>
      <c r="K2882" s="151">
        <f t="shared" si="74"/>
        <v>0</v>
      </c>
      <c r="L2882" s="151" t="s">
        <v>9026</v>
      </c>
    </row>
    <row r="2883" spans="8:12" x14ac:dyDescent="0.25">
      <c r="H2883" s="151" t="s">
        <v>4798</v>
      </c>
      <c r="I2883" s="151" t="s">
        <v>391</v>
      </c>
      <c r="J2883" s="151" t="s">
        <v>7912</v>
      </c>
      <c r="K2883" s="151">
        <f t="shared" ref="K2883:K2946" si="75">+IFERROR(J2883*1,0)</f>
        <v>650000000001786</v>
      </c>
      <c r="L2883" s="151" t="s">
        <v>9026</v>
      </c>
    </row>
    <row r="2884" spans="8:12" x14ac:dyDescent="0.25">
      <c r="H2884" s="151" t="s">
        <v>4799</v>
      </c>
      <c r="I2884" s="151" t="s">
        <v>6962</v>
      </c>
      <c r="J2884" s="151" t="s">
        <v>6962</v>
      </c>
      <c r="K2884" s="151">
        <f t="shared" si="75"/>
        <v>0</v>
      </c>
      <c r="L2884" s="151" t="s">
        <v>9025</v>
      </c>
    </row>
    <row r="2885" spans="8:12" x14ac:dyDescent="0.25">
      <c r="H2885" s="151" t="s">
        <v>4799</v>
      </c>
      <c r="I2885" s="151" t="s">
        <v>391</v>
      </c>
      <c r="J2885" s="151" t="s">
        <v>7913</v>
      </c>
      <c r="K2885" s="151">
        <f t="shared" si="75"/>
        <v>650000000000738</v>
      </c>
      <c r="L2885" s="151" t="s">
        <v>9025</v>
      </c>
    </row>
    <row r="2886" spans="8:12" x14ac:dyDescent="0.25">
      <c r="H2886" s="151" t="s">
        <v>4800</v>
      </c>
      <c r="I2886" s="151" t="s">
        <v>6962</v>
      </c>
      <c r="J2886" s="151" t="s">
        <v>6962</v>
      </c>
      <c r="K2886" s="151">
        <f t="shared" si="75"/>
        <v>0</v>
      </c>
      <c r="L2886" s="151" t="s">
        <v>9021</v>
      </c>
    </row>
    <row r="2887" spans="8:12" x14ac:dyDescent="0.25">
      <c r="H2887" s="151" t="s">
        <v>4800</v>
      </c>
      <c r="I2887" s="151" t="s">
        <v>391</v>
      </c>
      <c r="J2887" s="151" t="s">
        <v>7914</v>
      </c>
      <c r="K2887" s="151">
        <f t="shared" si="75"/>
        <v>650000000000739</v>
      </c>
      <c r="L2887" s="151" t="s">
        <v>9021</v>
      </c>
    </row>
    <row r="2888" spans="8:12" x14ac:dyDescent="0.25">
      <c r="H2888" s="151" t="s">
        <v>4801</v>
      </c>
      <c r="I2888" s="151" t="s">
        <v>6962</v>
      </c>
      <c r="J2888" s="151" t="s">
        <v>6962</v>
      </c>
      <c r="K2888" s="151">
        <f t="shared" si="75"/>
        <v>0</v>
      </c>
      <c r="L2888" s="151" t="s">
        <v>9021</v>
      </c>
    </row>
    <row r="2889" spans="8:12" x14ac:dyDescent="0.25">
      <c r="H2889" s="151" t="s">
        <v>4801</v>
      </c>
      <c r="I2889" s="151" t="s">
        <v>391</v>
      </c>
      <c r="J2889" s="151" t="s">
        <v>7915</v>
      </c>
      <c r="K2889" s="151">
        <f t="shared" si="75"/>
        <v>650000000000740</v>
      </c>
      <c r="L2889" s="151" t="s">
        <v>9021</v>
      </c>
    </row>
    <row r="2890" spans="8:12" x14ac:dyDescent="0.25">
      <c r="H2890" s="151" t="s">
        <v>4802</v>
      </c>
      <c r="I2890" s="151" t="s">
        <v>6962</v>
      </c>
      <c r="J2890" s="151" t="s">
        <v>6962</v>
      </c>
      <c r="K2890" s="151">
        <f t="shared" si="75"/>
        <v>0</v>
      </c>
      <c r="L2890" s="151" t="s">
        <v>9021</v>
      </c>
    </row>
    <row r="2891" spans="8:12" x14ac:dyDescent="0.25">
      <c r="H2891" s="151" t="s">
        <v>4802</v>
      </c>
      <c r="I2891" s="151" t="s">
        <v>391</v>
      </c>
      <c r="J2891" s="151" t="s">
        <v>7916</v>
      </c>
      <c r="K2891" s="151">
        <f t="shared" si="75"/>
        <v>650000000001787</v>
      </c>
      <c r="L2891" s="151" t="s">
        <v>9021</v>
      </c>
    </row>
    <row r="2892" spans="8:12" x14ac:dyDescent="0.25">
      <c r="H2892" s="151" t="s">
        <v>4803</v>
      </c>
      <c r="I2892" s="151" t="s">
        <v>6962</v>
      </c>
      <c r="J2892" s="151" t="s">
        <v>6962</v>
      </c>
      <c r="K2892" s="151">
        <f t="shared" si="75"/>
        <v>0</v>
      </c>
      <c r="L2892" s="151" t="s">
        <v>9021</v>
      </c>
    </row>
    <row r="2893" spans="8:12" x14ac:dyDescent="0.25">
      <c r="H2893" s="151" t="s">
        <v>4803</v>
      </c>
      <c r="I2893" s="151" t="s">
        <v>391</v>
      </c>
      <c r="J2893" s="151" t="s">
        <v>7917</v>
      </c>
      <c r="K2893" s="151">
        <f t="shared" si="75"/>
        <v>650000000001788</v>
      </c>
      <c r="L2893" s="151" t="s">
        <v>9021</v>
      </c>
    </row>
    <row r="2894" spans="8:12" x14ac:dyDescent="0.25">
      <c r="H2894" s="151" t="s">
        <v>4804</v>
      </c>
      <c r="I2894" s="151" t="s">
        <v>6962</v>
      </c>
      <c r="J2894" s="151" t="s">
        <v>6962</v>
      </c>
      <c r="K2894" s="151">
        <f t="shared" si="75"/>
        <v>0</v>
      </c>
      <c r="L2894" s="151" t="s">
        <v>9021</v>
      </c>
    </row>
    <row r="2895" spans="8:12" x14ac:dyDescent="0.25">
      <c r="H2895" s="151" t="s">
        <v>4804</v>
      </c>
      <c r="I2895" s="151" t="s">
        <v>391</v>
      </c>
      <c r="J2895" s="151" t="s">
        <v>7918</v>
      </c>
      <c r="K2895" s="151">
        <f t="shared" si="75"/>
        <v>650000000001789</v>
      </c>
      <c r="L2895" s="151" t="s">
        <v>9021</v>
      </c>
    </row>
    <row r="2896" spans="8:12" x14ac:dyDescent="0.25">
      <c r="H2896" s="151" t="s">
        <v>6877</v>
      </c>
      <c r="I2896" s="151" t="s">
        <v>6962</v>
      </c>
      <c r="J2896" s="151" t="s">
        <v>6962</v>
      </c>
      <c r="K2896" s="151">
        <f t="shared" si="75"/>
        <v>0</v>
      </c>
      <c r="L2896" s="151" t="s">
        <v>9021</v>
      </c>
    </row>
    <row r="2897" spans="8:12" x14ac:dyDescent="0.25">
      <c r="H2897" s="151" t="s">
        <v>4805</v>
      </c>
      <c r="I2897" s="151" t="s">
        <v>6962</v>
      </c>
      <c r="J2897" s="151" t="s">
        <v>6962</v>
      </c>
      <c r="K2897" s="151">
        <f t="shared" si="75"/>
        <v>0</v>
      </c>
      <c r="L2897" s="151" t="s">
        <v>9021</v>
      </c>
    </row>
    <row r="2898" spans="8:12" x14ac:dyDescent="0.25">
      <c r="H2898" s="151" t="s">
        <v>4805</v>
      </c>
      <c r="I2898" s="151" t="s">
        <v>391</v>
      </c>
      <c r="J2898" s="151" t="s">
        <v>7919</v>
      </c>
      <c r="K2898" s="151">
        <f t="shared" si="75"/>
        <v>650000000000741</v>
      </c>
      <c r="L2898" s="151" t="s">
        <v>9021</v>
      </c>
    </row>
    <row r="2899" spans="8:12" x14ac:dyDescent="0.25">
      <c r="H2899" s="151" t="s">
        <v>4806</v>
      </c>
      <c r="I2899" s="151" t="s">
        <v>6962</v>
      </c>
      <c r="J2899" s="151" t="s">
        <v>6962</v>
      </c>
      <c r="K2899" s="151">
        <f t="shared" si="75"/>
        <v>0</v>
      </c>
      <c r="L2899" s="151" t="s">
        <v>9021</v>
      </c>
    </row>
    <row r="2900" spans="8:12" x14ac:dyDescent="0.25">
      <c r="H2900" s="151" t="s">
        <v>4806</v>
      </c>
      <c r="I2900" s="151" t="s">
        <v>391</v>
      </c>
      <c r="J2900" s="151" t="s">
        <v>7920</v>
      </c>
      <c r="K2900" s="151">
        <f t="shared" si="75"/>
        <v>650000000000742</v>
      </c>
      <c r="L2900" s="151" t="s">
        <v>9021</v>
      </c>
    </row>
    <row r="2901" spans="8:12" x14ac:dyDescent="0.25">
      <c r="H2901" s="151" t="s">
        <v>4807</v>
      </c>
      <c r="I2901" s="151" t="s">
        <v>6962</v>
      </c>
      <c r="J2901" s="151" t="s">
        <v>6962</v>
      </c>
      <c r="K2901" s="151">
        <f t="shared" si="75"/>
        <v>0</v>
      </c>
      <c r="L2901" s="151" t="s">
        <v>9021</v>
      </c>
    </row>
    <row r="2902" spans="8:12" x14ac:dyDescent="0.25">
      <c r="H2902" s="151" t="s">
        <v>4807</v>
      </c>
      <c r="I2902" s="151" t="s">
        <v>391</v>
      </c>
      <c r="J2902" s="151" t="s">
        <v>7921</v>
      </c>
      <c r="K2902" s="151">
        <f t="shared" si="75"/>
        <v>650000000000743</v>
      </c>
      <c r="L2902" s="151" t="s">
        <v>9021</v>
      </c>
    </row>
    <row r="2903" spans="8:12" x14ac:dyDescent="0.25">
      <c r="H2903" s="151" t="s">
        <v>4808</v>
      </c>
      <c r="I2903" s="151" t="s">
        <v>6962</v>
      </c>
      <c r="J2903" s="151" t="s">
        <v>6962</v>
      </c>
      <c r="K2903" s="151">
        <f t="shared" si="75"/>
        <v>0</v>
      </c>
      <c r="L2903" s="151" t="s">
        <v>9021</v>
      </c>
    </row>
    <row r="2904" spans="8:12" x14ac:dyDescent="0.25">
      <c r="H2904" s="151" t="s">
        <v>4808</v>
      </c>
      <c r="I2904" s="151" t="s">
        <v>391</v>
      </c>
      <c r="J2904" s="151" t="s">
        <v>7922</v>
      </c>
      <c r="K2904" s="151">
        <f t="shared" si="75"/>
        <v>650000000000744</v>
      </c>
      <c r="L2904" s="151" t="s">
        <v>9021</v>
      </c>
    </row>
    <row r="2905" spans="8:12" x14ac:dyDescent="0.25">
      <c r="H2905" s="151" t="s">
        <v>4809</v>
      </c>
      <c r="I2905" s="151" t="s">
        <v>6962</v>
      </c>
      <c r="J2905" s="151" t="s">
        <v>6962</v>
      </c>
      <c r="K2905" s="151">
        <f t="shared" si="75"/>
        <v>0</v>
      </c>
      <c r="L2905" s="151" t="s">
        <v>9021</v>
      </c>
    </row>
    <row r="2906" spans="8:12" x14ac:dyDescent="0.25">
      <c r="H2906" s="151" t="s">
        <v>4809</v>
      </c>
      <c r="I2906" s="151" t="s">
        <v>391</v>
      </c>
      <c r="J2906" s="151" t="s">
        <v>7923</v>
      </c>
      <c r="K2906" s="151">
        <f t="shared" si="75"/>
        <v>650000000001790</v>
      </c>
      <c r="L2906" s="151" t="s">
        <v>9021</v>
      </c>
    </row>
    <row r="2907" spans="8:12" x14ac:dyDescent="0.25">
      <c r="H2907" s="151" t="s">
        <v>4810</v>
      </c>
      <c r="I2907" s="151" t="s">
        <v>6962</v>
      </c>
      <c r="J2907" s="151" t="s">
        <v>6962</v>
      </c>
      <c r="K2907" s="151">
        <f t="shared" si="75"/>
        <v>0</v>
      </c>
      <c r="L2907" s="151" t="s">
        <v>9021</v>
      </c>
    </row>
    <row r="2908" spans="8:12" x14ac:dyDescent="0.25">
      <c r="H2908" s="151" t="s">
        <v>4810</v>
      </c>
      <c r="I2908" s="151" t="s">
        <v>391</v>
      </c>
      <c r="J2908" s="151" t="s">
        <v>7924</v>
      </c>
      <c r="K2908" s="151">
        <f t="shared" si="75"/>
        <v>650000000001791</v>
      </c>
      <c r="L2908" s="151" t="s">
        <v>9021</v>
      </c>
    </row>
    <row r="2909" spans="8:12" x14ac:dyDescent="0.25">
      <c r="H2909" s="151" t="s">
        <v>4811</v>
      </c>
      <c r="I2909" s="151" t="s">
        <v>6962</v>
      </c>
      <c r="J2909" s="151" t="s">
        <v>6962</v>
      </c>
      <c r="K2909" s="151">
        <f t="shared" si="75"/>
        <v>0</v>
      </c>
      <c r="L2909" s="151" t="s">
        <v>9021</v>
      </c>
    </row>
    <row r="2910" spans="8:12" x14ac:dyDescent="0.25">
      <c r="H2910" s="151" t="s">
        <v>4811</v>
      </c>
      <c r="I2910" s="151" t="s">
        <v>391</v>
      </c>
      <c r="J2910" s="151" t="s">
        <v>7925</v>
      </c>
      <c r="K2910" s="151">
        <f t="shared" si="75"/>
        <v>650000000001792</v>
      </c>
      <c r="L2910" s="151" t="s">
        <v>9021</v>
      </c>
    </row>
    <row r="2911" spans="8:12" x14ac:dyDescent="0.25">
      <c r="H2911" s="151" t="s">
        <v>4812</v>
      </c>
      <c r="I2911" s="151" t="s">
        <v>6962</v>
      </c>
      <c r="J2911" s="151" t="s">
        <v>6962</v>
      </c>
      <c r="K2911" s="151">
        <f t="shared" si="75"/>
        <v>0</v>
      </c>
      <c r="L2911" s="151" t="s">
        <v>9021</v>
      </c>
    </row>
    <row r="2912" spans="8:12" x14ac:dyDescent="0.25">
      <c r="H2912" s="151" t="s">
        <v>4812</v>
      </c>
      <c r="I2912" s="151" t="s">
        <v>391</v>
      </c>
      <c r="J2912" s="151" t="s">
        <v>7926</v>
      </c>
      <c r="K2912" s="151">
        <f t="shared" si="75"/>
        <v>650000000001793</v>
      </c>
      <c r="L2912" s="151" t="s">
        <v>9021</v>
      </c>
    </row>
    <row r="2913" spans="8:12" x14ac:dyDescent="0.25">
      <c r="H2913" s="151" t="s">
        <v>4813</v>
      </c>
      <c r="I2913" s="151" t="s">
        <v>6962</v>
      </c>
      <c r="J2913" s="151" t="s">
        <v>6962</v>
      </c>
      <c r="K2913" s="151">
        <f t="shared" si="75"/>
        <v>0</v>
      </c>
      <c r="L2913" s="151" t="s">
        <v>9021</v>
      </c>
    </row>
    <row r="2914" spans="8:12" x14ac:dyDescent="0.25">
      <c r="H2914" s="151" t="s">
        <v>4813</v>
      </c>
      <c r="I2914" s="151" t="s">
        <v>391</v>
      </c>
      <c r="J2914" s="151" t="s">
        <v>7927</v>
      </c>
      <c r="K2914" s="151">
        <f t="shared" si="75"/>
        <v>650000000001794</v>
      </c>
      <c r="L2914" s="151" t="s">
        <v>9021</v>
      </c>
    </row>
    <row r="2915" spans="8:12" x14ac:dyDescent="0.25">
      <c r="H2915" s="151" t="s">
        <v>4814</v>
      </c>
      <c r="I2915" s="151" t="s">
        <v>6962</v>
      </c>
      <c r="J2915" s="151" t="s">
        <v>6962</v>
      </c>
      <c r="K2915" s="151">
        <f t="shared" si="75"/>
        <v>0</v>
      </c>
      <c r="L2915" s="151" t="s">
        <v>9021</v>
      </c>
    </row>
    <row r="2916" spans="8:12" x14ac:dyDescent="0.25">
      <c r="H2916" s="151" t="s">
        <v>4814</v>
      </c>
      <c r="I2916" s="151" t="s">
        <v>391</v>
      </c>
      <c r="J2916" s="151" t="s">
        <v>7928</v>
      </c>
      <c r="K2916" s="151">
        <f t="shared" si="75"/>
        <v>650000000000745</v>
      </c>
      <c r="L2916" s="151" t="s">
        <v>9021</v>
      </c>
    </row>
    <row r="2917" spans="8:12" x14ac:dyDescent="0.25">
      <c r="H2917" s="151" t="s">
        <v>6878</v>
      </c>
      <c r="I2917" s="151" t="s">
        <v>6962</v>
      </c>
      <c r="J2917" s="151" t="s">
        <v>6962</v>
      </c>
      <c r="K2917" s="151">
        <f t="shared" si="75"/>
        <v>0</v>
      </c>
      <c r="L2917" s="151" t="s">
        <v>9021</v>
      </c>
    </row>
    <row r="2918" spans="8:12" x14ac:dyDescent="0.25">
      <c r="H2918" s="151" t="s">
        <v>4815</v>
      </c>
      <c r="I2918" s="151" t="s">
        <v>6962</v>
      </c>
      <c r="J2918" s="151" t="s">
        <v>6962</v>
      </c>
      <c r="K2918" s="151">
        <f t="shared" si="75"/>
        <v>0</v>
      </c>
      <c r="L2918" s="151" t="s">
        <v>9021</v>
      </c>
    </row>
    <row r="2919" spans="8:12" x14ac:dyDescent="0.25">
      <c r="H2919" s="151" t="s">
        <v>4815</v>
      </c>
      <c r="I2919" s="151" t="s">
        <v>391</v>
      </c>
      <c r="J2919" s="151" t="s">
        <v>7929</v>
      </c>
      <c r="K2919" s="151">
        <f t="shared" si="75"/>
        <v>650000000001795</v>
      </c>
      <c r="L2919" s="151" t="s">
        <v>9021</v>
      </c>
    </row>
    <row r="2920" spans="8:12" x14ac:dyDescent="0.25">
      <c r="H2920" s="151" t="s">
        <v>4816</v>
      </c>
      <c r="I2920" s="151" t="s">
        <v>6962</v>
      </c>
      <c r="J2920" s="151" t="s">
        <v>6962</v>
      </c>
      <c r="K2920" s="151">
        <f t="shared" si="75"/>
        <v>0</v>
      </c>
      <c r="L2920" s="151" t="s">
        <v>9021</v>
      </c>
    </row>
    <row r="2921" spans="8:12" x14ac:dyDescent="0.25">
      <c r="H2921" s="151" t="s">
        <v>4816</v>
      </c>
      <c r="I2921" s="151" t="s">
        <v>391</v>
      </c>
      <c r="J2921" s="151" t="s">
        <v>7930</v>
      </c>
      <c r="K2921" s="151">
        <f t="shared" si="75"/>
        <v>650000000001796</v>
      </c>
      <c r="L2921" s="151" t="s">
        <v>9021</v>
      </c>
    </row>
    <row r="2922" spans="8:12" x14ac:dyDescent="0.25">
      <c r="H2922" s="151" t="s">
        <v>4817</v>
      </c>
      <c r="I2922" s="151" t="s">
        <v>6962</v>
      </c>
      <c r="J2922" s="151" t="s">
        <v>6962</v>
      </c>
      <c r="K2922" s="151">
        <f t="shared" si="75"/>
        <v>0</v>
      </c>
      <c r="L2922" s="151" t="s">
        <v>9021</v>
      </c>
    </row>
    <row r="2923" spans="8:12" x14ac:dyDescent="0.25">
      <c r="H2923" s="151" t="s">
        <v>4817</v>
      </c>
      <c r="I2923" s="151" t="s">
        <v>391</v>
      </c>
      <c r="J2923" s="151" t="s">
        <v>7931</v>
      </c>
      <c r="K2923" s="151">
        <f t="shared" si="75"/>
        <v>650000000000746</v>
      </c>
      <c r="L2923" s="151" t="s">
        <v>9021</v>
      </c>
    </row>
    <row r="2924" spans="8:12" x14ac:dyDescent="0.25">
      <c r="H2924" s="151" t="s">
        <v>4818</v>
      </c>
      <c r="I2924" s="151" t="s">
        <v>6962</v>
      </c>
      <c r="J2924" s="151" t="s">
        <v>6962</v>
      </c>
      <c r="K2924" s="151">
        <f t="shared" si="75"/>
        <v>0</v>
      </c>
      <c r="L2924" s="151" t="s">
        <v>9021</v>
      </c>
    </row>
    <row r="2925" spans="8:12" x14ac:dyDescent="0.25">
      <c r="H2925" s="151" t="s">
        <v>4818</v>
      </c>
      <c r="I2925" s="151" t="s">
        <v>391</v>
      </c>
      <c r="J2925" s="151" t="s">
        <v>7932</v>
      </c>
      <c r="K2925" s="151">
        <f t="shared" si="75"/>
        <v>650000000001797</v>
      </c>
      <c r="L2925" s="151" t="s">
        <v>9021</v>
      </c>
    </row>
    <row r="2926" spans="8:12" x14ac:dyDescent="0.25">
      <c r="H2926" s="151" t="s">
        <v>4819</v>
      </c>
      <c r="I2926" s="151" t="s">
        <v>6962</v>
      </c>
      <c r="J2926" s="151" t="s">
        <v>6962</v>
      </c>
      <c r="K2926" s="151">
        <f t="shared" si="75"/>
        <v>0</v>
      </c>
      <c r="L2926" s="151" t="s">
        <v>9021</v>
      </c>
    </row>
    <row r="2927" spans="8:12" x14ac:dyDescent="0.25">
      <c r="H2927" s="151" t="s">
        <v>4819</v>
      </c>
      <c r="I2927" s="151" t="s">
        <v>391</v>
      </c>
      <c r="J2927" s="151" t="s">
        <v>7933</v>
      </c>
      <c r="K2927" s="151">
        <f t="shared" si="75"/>
        <v>650000000000747</v>
      </c>
      <c r="L2927" s="151" t="s">
        <v>9021</v>
      </c>
    </row>
    <row r="2928" spans="8:12" x14ac:dyDescent="0.25">
      <c r="H2928" s="151" t="s">
        <v>4820</v>
      </c>
      <c r="I2928" s="151" t="s">
        <v>6962</v>
      </c>
      <c r="J2928" s="151" t="s">
        <v>6962</v>
      </c>
      <c r="K2928" s="151">
        <f t="shared" si="75"/>
        <v>0</v>
      </c>
      <c r="L2928" s="151" t="s">
        <v>9021</v>
      </c>
    </row>
    <row r="2929" spans="8:12" x14ac:dyDescent="0.25">
      <c r="H2929" s="151" t="s">
        <v>4820</v>
      </c>
      <c r="I2929" s="151" t="s">
        <v>391</v>
      </c>
      <c r="J2929" s="151" t="s">
        <v>7934</v>
      </c>
      <c r="K2929" s="151">
        <f t="shared" si="75"/>
        <v>650000000000748</v>
      </c>
      <c r="L2929" s="151" t="s">
        <v>9021</v>
      </c>
    </row>
    <row r="2930" spans="8:12" x14ac:dyDescent="0.25">
      <c r="H2930" s="151" t="s">
        <v>4821</v>
      </c>
      <c r="I2930" s="151" t="s">
        <v>6962</v>
      </c>
      <c r="J2930" s="151" t="s">
        <v>6962</v>
      </c>
      <c r="K2930" s="151">
        <f t="shared" si="75"/>
        <v>0</v>
      </c>
      <c r="L2930" s="151" t="s">
        <v>9021</v>
      </c>
    </row>
    <row r="2931" spans="8:12" x14ac:dyDescent="0.25">
      <c r="H2931" s="151" t="s">
        <v>4821</v>
      </c>
      <c r="I2931" s="151" t="s">
        <v>391</v>
      </c>
      <c r="J2931" s="151" t="s">
        <v>7935</v>
      </c>
      <c r="K2931" s="151">
        <f t="shared" si="75"/>
        <v>650000000000749</v>
      </c>
      <c r="L2931" s="151" t="s">
        <v>9021</v>
      </c>
    </row>
    <row r="2932" spans="8:12" x14ac:dyDescent="0.25">
      <c r="H2932" s="151" t="s">
        <v>4822</v>
      </c>
      <c r="I2932" s="151" t="s">
        <v>6962</v>
      </c>
      <c r="J2932" s="151" t="s">
        <v>6962</v>
      </c>
      <c r="K2932" s="151">
        <f t="shared" si="75"/>
        <v>0</v>
      </c>
      <c r="L2932" s="151" t="s">
        <v>9021</v>
      </c>
    </row>
    <row r="2933" spans="8:12" x14ac:dyDescent="0.25">
      <c r="H2933" s="151" t="s">
        <v>4822</v>
      </c>
      <c r="I2933" s="151" t="s">
        <v>391</v>
      </c>
      <c r="J2933" s="151" t="s">
        <v>7936</v>
      </c>
      <c r="K2933" s="151">
        <f t="shared" si="75"/>
        <v>650000000001798</v>
      </c>
      <c r="L2933" s="151" t="s">
        <v>9021</v>
      </c>
    </row>
    <row r="2934" spans="8:12" x14ac:dyDescent="0.25">
      <c r="H2934" s="151" t="s">
        <v>4823</v>
      </c>
      <c r="I2934" s="151" t="s">
        <v>6962</v>
      </c>
      <c r="J2934" s="151" t="s">
        <v>6962</v>
      </c>
      <c r="K2934" s="151">
        <f t="shared" si="75"/>
        <v>0</v>
      </c>
      <c r="L2934" s="151" t="s">
        <v>9021</v>
      </c>
    </row>
    <row r="2935" spans="8:12" x14ac:dyDescent="0.25">
      <c r="H2935" s="151" t="s">
        <v>4823</v>
      </c>
      <c r="I2935" s="151" t="s">
        <v>391</v>
      </c>
      <c r="J2935" s="151" t="s">
        <v>7937</v>
      </c>
      <c r="K2935" s="151">
        <f t="shared" si="75"/>
        <v>650000000000750</v>
      </c>
      <c r="L2935" s="151" t="s">
        <v>9021</v>
      </c>
    </row>
    <row r="2936" spans="8:12" x14ac:dyDescent="0.25">
      <c r="H2936" s="151" t="s">
        <v>4824</v>
      </c>
      <c r="I2936" s="151" t="s">
        <v>6962</v>
      </c>
      <c r="J2936" s="151" t="s">
        <v>6962</v>
      </c>
      <c r="K2936" s="151">
        <f t="shared" si="75"/>
        <v>0</v>
      </c>
      <c r="L2936" s="151" t="s">
        <v>9021</v>
      </c>
    </row>
    <row r="2937" spans="8:12" x14ac:dyDescent="0.25">
      <c r="H2937" s="151" t="s">
        <v>4824</v>
      </c>
      <c r="I2937" s="151" t="s">
        <v>391</v>
      </c>
      <c r="J2937" s="151" t="s">
        <v>7938</v>
      </c>
      <c r="K2937" s="151">
        <f t="shared" si="75"/>
        <v>650000000000751</v>
      </c>
      <c r="L2937" s="151" t="s">
        <v>9021</v>
      </c>
    </row>
    <row r="2938" spans="8:12" x14ac:dyDescent="0.25">
      <c r="H2938" s="151" t="s">
        <v>4825</v>
      </c>
      <c r="I2938" s="151" t="s">
        <v>6962</v>
      </c>
      <c r="J2938" s="151" t="s">
        <v>6962</v>
      </c>
      <c r="K2938" s="151">
        <f t="shared" si="75"/>
        <v>0</v>
      </c>
      <c r="L2938" s="151" t="s">
        <v>9021</v>
      </c>
    </row>
    <row r="2939" spans="8:12" x14ac:dyDescent="0.25">
      <c r="H2939" s="151" t="s">
        <v>4825</v>
      </c>
      <c r="I2939" s="151" t="s">
        <v>391</v>
      </c>
      <c r="J2939" s="151" t="s">
        <v>7939</v>
      </c>
      <c r="K2939" s="151">
        <f t="shared" si="75"/>
        <v>650000000001799</v>
      </c>
      <c r="L2939" s="151" t="s">
        <v>9021</v>
      </c>
    </row>
    <row r="2940" spans="8:12" x14ac:dyDescent="0.25">
      <c r="H2940" s="151" t="s">
        <v>4826</v>
      </c>
      <c r="I2940" s="151" t="s">
        <v>6962</v>
      </c>
      <c r="J2940" s="151" t="s">
        <v>6962</v>
      </c>
      <c r="K2940" s="151">
        <f t="shared" si="75"/>
        <v>0</v>
      </c>
      <c r="L2940" s="151" t="s">
        <v>9021</v>
      </c>
    </row>
    <row r="2941" spans="8:12" x14ac:dyDescent="0.25">
      <c r="H2941" s="151" t="s">
        <v>4826</v>
      </c>
      <c r="I2941" s="151" t="s">
        <v>391</v>
      </c>
      <c r="J2941" s="151" t="s">
        <v>7940</v>
      </c>
      <c r="K2941" s="151">
        <f t="shared" si="75"/>
        <v>650000000001800</v>
      </c>
      <c r="L2941" s="151" t="s">
        <v>9021</v>
      </c>
    </row>
    <row r="2942" spans="8:12" x14ac:dyDescent="0.25">
      <c r="H2942" s="151" t="s">
        <v>4827</v>
      </c>
      <c r="I2942" s="151" t="s">
        <v>6962</v>
      </c>
      <c r="J2942" s="151" t="s">
        <v>6962</v>
      </c>
      <c r="K2942" s="151">
        <f t="shared" si="75"/>
        <v>0</v>
      </c>
      <c r="L2942" s="151" t="s">
        <v>9021</v>
      </c>
    </row>
    <row r="2943" spans="8:12" x14ac:dyDescent="0.25">
      <c r="H2943" s="151" t="s">
        <v>4827</v>
      </c>
      <c r="I2943" s="151" t="s">
        <v>391</v>
      </c>
      <c r="J2943" s="151" t="s">
        <v>7941</v>
      </c>
      <c r="K2943" s="151">
        <f t="shared" si="75"/>
        <v>650000000000752</v>
      </c>
      <c r="L2943" s="151" t="s">
        <v>9021</v>
      </c>
    </row>
    <row r="2944" spans="8:12" x14ac:dyDescent="0.25">
      <c r="H2944" s="151" t="s">
        <v>4828</v>
      </c>
      <c r="I2944" s="151" t="s">
        <v>6962</v>
      </c>
      <c r="J2944" s="151" t="s">
        <v>6962</v>
      </c>
      <c r="K2944" s="151">
        <f t="shared" si="75"/>
        <v>0</v>
      </c>
      <c r="L2944" s="151" t="s">
        <v>9021</v>
      </c>
    </row>
    <row r="2945" spans="8:12" x14ac:dyDescent="0.25">
      <c r="H2945" s="151" t="s">
        <v>4828</v>
      </c>
      <c r="I2945" s="151" t="s">
        <v>391</v>
      </c>
      <c r="J2945" s="151" t="s">
        <v>7942</v>
      </c>
      <c r="K2945" s="151">
        <f t="shared" si="75"/>
        <v>650000000001801</v>
      </c>
      <c r="L2945" s="151" t="s">
        <v>9021</v>
      </c>
    </row>
    <row r="2946" spans="8:12" x14ac:dyDescent="0.25">
      <c r="H2946" s="151" t="s">
        <v>4829</v>
      </c>
      <c r="I2946" s="151" t="s">
        <v>6962</v>
      </c>
      <c r="J2946" s="151" t="s">
        <v>6962</v>
      </c>
      <c r="K2946" s="151">
        <f t="shared" si="75"/>
        <v>0</v>
      </c>
      <c r="L2946" s="151" t="s">
        <v>9021</v>
      </c>
    </row>
    <row r="2947" spans="8:12" x14ac:dyDescent="0.25">
      <c r="H2947" s="151" t="s">
        <v>4829</v>
      </c>
      <c r="I2947" s="151" t="s">
        <v>391</v>
      </c>
      <c r="J2947" s="151" t="s">
        <v>7943</v>
      </c>
      <c r="K2947" s="151">
        <f t="shared" ref="K2947:K3010" si="76">+IFERROR(J2947*1,0)</f>
        <v>650000000000753</v>
      </c>
      <c r="L2947" s="151" t="s">
        <v>9021</v>
      </c>
    </row>
    <row r="2948" spans="8:12" x14ac:dyDescent="0.25">
      <c r="H2948" s="151" t="s">
        <v>4830</v>
      </c>
      <c r="I2948" s="151" t="s">
        <v>6962</v>
      </c>
      <c r="J2948" s="151" t="s">
        <v>6962</v>
      </c>
      <c r="K2948" s="151">
        <f t="shared" si="76"/>
        <v>0</v>
      </c>
      <c r="L2948" s="151" t="s">
        <v>9021</v>
      </c>
    </row>
    <row r="2949" spans="8:12" x14ac:dyDescent="0.25">
      <c r="H2949" s="151" t="s">
        <v>4830</v>
      </c>
      <c r="I2949" s="151" t="s">
        <v>391</v>
      </c>
      <c r="J2949" s="151" t="s">
        <v>7944</v>
      </c>
      <c r="K2949" s="151">
        <f t="shared" si="76"/>
        <v>650000000001802</v>
      </c>
      <c r="L2949" s="151" t="s">
        <v>9021</v>
      </c>
    </row>
    <row r="2950" spans="8:12" x14ac:dyDescent="0.25">
      <c r="H2950" s="151" t="s">
        <v>4831</v>
      </c>
      <c r="I2950" s="151" t="s">
        <v>6962</v>
      </c>
      <c r="J2950" s="151" t="s">
        <v>6962</v>
      </c>
      <c r="K2950" s="151">
        <f t="shared" si="76"/>
        <v>0</v>
      </c>
      <c r="L2950" s="151" t="s">
        <v>9021</v>
      </c>
    </row>
    <row r="2951" spans="8:12" x14ac:dyDescent="0.25">
      <c r="H2951" s="151" t="s">
        <v>4831</v>
      </c>
      <c r="I2951" s="151" t="s">
        <v>391</v>
      </c>
      <c r="J2951" s="151" t="s">
        <v>7945</v>
      </c>
      <c r="K2951" s="151">
        <f t="shared" si="76"/>
        <v>650000000000754</v>
      </c>
      <c r="L2951" s="151" t="s">
        <v>9021</v>
      </c>
    </row>
    <row r="2952" spans="8:12" x14ac:dyDescent="0.25">
      <c r="H2952" s="151" t="s">
        <v>4832</v>
      </c>
      <c r="I2952" s="151" t="s">
        <v>6962</v>
      </c>
      <c r="J2952" s="151" t="s">
        <v>6962</v>
      </c>
      <c r="K2952" s="151">
        <f t="shared" si="76"/>
        <v>0</v>
      </c>
      <c r="L2952" s="151" t="s">
        <v>9021</v>
      </c>
    </row>
    <row r="2953" spans="8:12" x14ac:dyDescent="0.25">
      <c r="H2953" s="151" t="s">
        <v>4832</v>
      </c>
      <c r="I2953" s="151" t="s">
        <v>391</v>
      </c>
      <c r="J2953" s="151" t="s">
        <v>7946</v>
      </c>
      <c r="K2953" s="151">
        <f t="shared" si="76"/>
        <v>650000000000755</v>
      </c>
      <c r="L2953" s="151" t="s">
        <v>9021</v>
      </c>
    </row>
    <row r="2954" spans="8:12" x14ac:dyDescent="0.25">
      <c r="H2954" s="151" t="s">
        <v>4833</v>
      </c>
      <c r="I2954" s="151" t="s">
        <v>6962</v>
      </c>
      <c r="J2954" s="151" t="s">
        <v>6962</v>
      </c>
      <c r="K2954" s="151">
        <f t="shared" si="76"/>
        <v>0</v>
      </c>
      <c r="L2954" s="151" t="s">
        <v>9021</v>
      </c>
    </row>
    <row r="2955" spans="8:12" x14ac:dyDescent="0.25">
      <c r="H2955" s="151" t="s">
        <v>4833</v>
      </c>
      <c r="I2955" s="151" t="s">
        <v>391</v>
      </c>
      <c r="J2955" s="151" t="s">
        <v>7947</v>
      </c>
      <c r="K2955" s="151">
        <f t="shared" si="76"/>
        <v>650000000001803</v>
      </c>
      <c r="L2955" s="151" t="s">
        <v>9021</v>
      </c>
    </row>
    <row r="2956" spans="8:12" x14ac:dyDescent="0.25">
      <c r="H2956" s="151" t="s">
        <v>4834</v>
      </c>
      <c r="I2956" s="151" t="s">
        <v>6962</v>
      </c>
      <c r="J2956" s="151" t="s">
        <v>6962</v>
      </c>
      <c r="K2956" s="151">
        <f t="shared" si="76"/>
        <v>0</v>
      </c>
      <c r="L2956" s="151" t="s">
        <v>9021</v>
      </c>
    </row>
    <row r="2957" spans="8:12" x14ac:dyDescent="0.25">
      <c r="H2957" s="151" t="s">
        <v>4834</v>
      </c>
      <c r="I2957" s="151" t="s">
        <v>391</v>
      </c>
      <c r="J2957" s="151" t="s">
        <v>7948</v>
      </c>
      <c r="K2957" s="151">
        <f t="shared" si="76"/>
        <v>650000000001804</v>
      </c>
      <c r="L2957" s="151" t="s">
        <v>9021</v>
      </c>
    </row>
    <row r="2958" spans="8:12" x14ac:dyDescent="0.25">
      <c r="H2958" s="151" t="s">
        <v>4835</v>
      </c>
      <c r="I2958" s="151" t="s">
        <v>6962</v>
      </c>
      <c r="J2958" s="151" t="s">
        <v>6962</v>
      </c>
      <c r="K2958" s="151">
        <f t="shared" si="76"/>
        <v>0</v>
      </c>
      <c r="L2958" s="151" t="s">
        <v>9021</v>
      </c>
    </row>
    <row r="2959" spans="8:12" x14ac:dyDescent="0.25">
      <c r="H2959" s="151" t="s">
        <v>4835</v>
      </c>
      <c r="I2959" s="151" t="s">
        <v>391</v>
      </c>
      <c r="J2959" s="151" t="s">
        <v>7949</v>
      </c>
      <c r="K2959" s="151">
        <f t="shared" si="76"/>
        <v>650000000001805</v>
      </c>
      <c r="L2959" s="151" t="s">
        <v>9021</v>
      </c>
    </row>
    <row r="2960" spans="8:12" x14ac:dyDescent="0.25">
      <c r="H2960" s="151" t="s">
        <v>4836</v>
      </c>
      <c r="I2960" s="151" t="s">
        <v>6962</v>
      </c>
      <c r="J2960" s="151" t="s">
        <v>6962</v>
      </c>
      <c r="K2960" s="151">
        <f t="shared" si="76"/>
        <v>0</v>
      </c>
      <c r="L2960" s="151" t="s">
        <v>9021</v>
      </c>
    </row>
    <row r="2961" spans="8:12" x14ac:dyDescent="0.25">
      <c r="H2961" s="151" t="s">
        <v>4836</v>
      </c>
      <c r="I2961" s="151" t="s">
        <v>391</v>
      </c>
      <c r="J2961" s="151" t="s">
        <v>7950</v>
      </c>
      <c r="K2961" s="151">
        <f t="shared" si="76"/>
        <v>650000000000756</v>
      </c>
      <c r="L2961" s="151" t="s">
        <v>9021</v>
      </c>
    </row>
    <row r="2962" spans="8:12" x14ac:dyDescent="0.25">
      <c r="H2962" s="151" t="s">
        <v>6879</v>
      </c>
      <c r="I2962" s="151" t="s">
        <v>6962</v>
      </c>
      <c r="J2962" s="151" t="s">
        <v>6962</v>
      </c>
      <c r="K2962" s="151">
        <f t="shared" si="76"/>
        <v>0</v>
      </c>
      <c r="L2962" s="151" t="s">
        <v>9021</v>
      </c>
    </row>
    <row r="2963" spans="8:12" x14ac:dyDescent="0.25">
      <c r="H2963" s="151" t="s">
        <v>4837</v>
      </c>
      <c r="I2963" s="151" t="s">
        <v>6962</v>
      </c>
      <c r="J2963" s="151" t="s">
        <v>6962</v>
      </c>
      <c r="K2963" s="151">
        <f t="shared" si="76"/>
        <v>0</v>
      </c>
      <c r="L2963" s="151" t="s">
        <v>9021</v>
      </c>
    </row>
    <row r="2964" spans="8:12" x14ac:dyDescent="0.25">
      <c r="H2964" s="151" t="s">
        <v>4837</v>
      </c>
      <c r="I2964" s="151" t="s">
        <v>391</v>
      </c>
      <c r="J2964" s="151" t="s">
        <v>7951</v>
      </c>
      <c r="K2964" s="151">
        <f t="shared" si="76"/>
        <v>650000000000757</v>
      </c>
      <c r="L2964" s="151" t="s">
        <v>9021</v>
      </c>
    </row>
    <row r="2965" spans="8:12" x14ac:dyDescent="0.25">
      <c r="H2965" s="151" t="s">
        <v>4838</v>
      </c>
      <c r="I2965" s="151" t="s">
        <v>6962</v>
      </c>
      <c r="J2965" s="151" t="s">
        <v>6962</v>
      </c>
      <c r="K2965" s="151">
        <f t="shared" si="76"/>
        <v>0</v>
      </c>
      <c r="L2965" s="151" t="s">
        <v>9026</v>
      </c>
    </row>
    <row r="2966" spans="8:12" x14ac:dyDescent="0.25">
      <c r="H2966" s="151" t="s">
        <v>4838</v>
      </c>
      <c r="I2966" s="151" t="s">
        <v>391</v>
      </c>
      <c r="J2966" s="151" t="s">
        <v>7952</v>
      </c>
      <c r="K2966" s="151">
        <f t="shared" si="76"/>
        <v>650000000001806</v>
      </c>
      <c r="L2966" s="151" t="s">
        <v>9026</v>
      </c>
    </row>
    <row r="2967" spans="8:12" x14ac:dyDescent="0.25">
      <c r="H2967" s="151" t="s">
        <v>4839</v>
      </c>
      <c r="I2967" s="151" t="s">
        <v>6962</v>
      </c>
      <c r="J2967" s="151" t="s">
        <v>6962</v>
      </c>
      <c r="K2967" s="151">
        <f t="shared" si="76"/>
        <v>0</v>
      </c>
      <c r="L2967" s="151" t="s">
        <v>9025</v>
      </c>
    </row>
    <row r="2968" spans="8:12" x14ac:dyDescent="0.25">
      <c r="H2968" s="151" t="s">
        <v>4839</v>
      </c>
      <c r="I2968" s="151" t="s">
        <v>391</v>
      </c>
      <c r="J2968" s="151" t="s">
        <v>7953</v>
      </c>
      <c r="K2968" s="151">
        <f t="shared" si="76"/>
        <v>650000000000758</v>
      </c>
      <c r="L2968" s="151" t="s">
        <v>9025</v>
      </c>
    </row>
    <row r="2969" spans="8:12" x14ac:dyDescent="0.25">
      <c r="H2969" s="151" t="s">
        <v>4840</v>
      </c>
      <c r="I2969" s="151" t="s">
        <v>6962</v>
      </c>
      <c r="J2969" s="151" t="s">
        <v>6962</v>
      </c>
      <c r="K2969" s="151">
        <f t="shared" si="76"/>
        <v>0</v>
      </c>
      <c r="L2969" s="151" t="s">
        <v>9021</v>
      </c>
    </row>
    <row r="2970" spans="8:12" x14ac:dyDescent="0.25">
      <c r="H2970" s="151" t="s">
        <v>4840</v>
      </c>
      <c r="I2970" s="151" t="s">
        <v>391</v>
      </c>
      <c r="J2970" s="151" t="s">
        <v>7954</v>
      </c>
      <c r="K2970" s="151">
        <f t="shared" si="76"/>
        <v>650000000000759</v>
      </c>
      <c r="L2970" s="151" t="s">
        <v>9021</v>
      </c>
    </row>
    <row r="2971" spans="8:12" x14ac:dyDescent="0.25">
      <c r="H2971" s="151" t="s">
        <v>4841</v>
      </c>
      <c r="I2971" s="151" t="s">
        <v>6962</v>
      </c>
      <c r="J2971" s="151" t="s">
        <v>6962</v>
      </c>
      <c r="K2971" s="151">
        <f t="shared" si="76"/>
        <v>0</v>
      </c>
      <c r="L2971" s="151" t="s">
        <v>9021</v>
      </c>
    </row>
    <row r="2972" spans="8:12" x14ac:dyDescent="0.25">
      <c r="H2972" s="151" t="s">
        <v>4841</v>
      </c>
      <c r="I2972" s="151" t="s">
        <v>391</v>
      </c>
      <c r="J2972" s="151" t="s">
        <v>7955</v>
      </c>
      <c r="K2972" s="151">
        <f t="shared" si="76"/>
        <v>650000000001807</v>
      </c>
      <c r="L2972" s="151" t="s">
        <v>9021</v>
      </c>
    </row>
    <row r="2973" spans="8:12" x14ac:dyDescent="0.25">
      <c r="H2973" s="151" t="s">
        <v>4842</v>
      </c>
      <c r="I2973" s="151" t="s">
        <v>6962</v>
      </c>
      <c r="J2973" s="151" t="s">
        <v>6962</v>
      </c>
      <c r="K2973" s="151">
        <f t="shared" si="76"/>
        <v>0</v>
      </c>
      <c r="L2973" s="151" t="s">
        <v>9021</v>
      </c>
    </row>
    <row r="2974" spans="8:12" x14ac:dyDescent="0.25">
      <c r="H2974" s="151" t="s">
        <v>4842</v>
      </c>
      <c r="I2974" s="151" t="s">
        <v>391</v>
      </c>
      <c r="J2974" s="151" t="s">
        <v>7956</v>
      </c>
      <c r="K2974" s="151">
        <f t="shared" si="76"/>
        <v>650000000001808</v>
      </c>
      <c r="L2974" s="151" t="s">
        <v>9021</v>
      </c>
    </row>
    <row r="2975" spans="8:12" x14ac:dyDescent="0.25">
      <c r="H2975" s="151" t="s">
        <v>4843</v>
      </c>
      <c r="I2975" s="151" t="s">
        <v>6962</v>
      </c>
      <c r="J2975" s="151" t="s">
        <v>6962</v>
      </c>
      <c r="K2975" s="151">
        <f t="shared" si="76"/>
        <v>0</v>
      </c>
      <c r="L2975" s="151" t="s">
        <v>9021</v>
      </c>
    </row>
    <row r="2976" spans="8:12" x14ac:dyDescent="0.25">
      <c r="H2976" s="151" t="s">
        <v>4843</v>
      </c>
      <c r="I2976" s="151" t="s">
        <v>391</v>
      </c>
      <c r="J2976" s="151" t="s">
        <v>7957</v>
      </c>
      <c r="K2976" s="151">
        <f t="shared" si="76"/>
        <v>650000000001809</v>
      </c>
      <c r="L2976" s="151" t="s">
        <v>9021</v>
      </c>
    </row>
    <row r="2977" spans="8:12" x14ac:dyDescent="0.25">
      <c r="H2977" s="151" t="s">
        <v>4844</v>
      </c>
      <c r="I2977" s="151" t="s">
        <v>6962</v>
      </c>
      <c r="J2977" s="151" t="s">
        <v>6962</v>
      </c>
      <c r="K2977" s="151">
        <f t="shared" si="76"/>
        <v>0</v>
      </c>
      <c r="L2977" s="151" t="s">
        <v>9021</v>
      </c>
    </row>
    <row r="2978" spans="8:12" x14ac:dyDescent="0.25">
      <c r="H2978" s="151" t="s">
        <v>4844</v>
      </c>
      <c r="I2978" s="151" t="s">
        <v>391</v>
      </c>
      <c r="J2978" s="151" t="s">
        <v>7958</v>
      </c>
      <c r="K2978" s="151">
        <f t="shared" si="76"/>
        <v>650000000000760</v>
      </c>
      <c r="L2978" s="151" t="s">
        <v>9021</v>
      </c>
    </row>
    <row r="2979" spans="8:12" x14ac:dyDescent="0.25">
      <c r="H2979" s="151" t="s">
        <v>4845</v>
      </c>
      <c r="I2979" s="151" t="s">
        <v>6962</v>
      </c>
      <c r="J2979" s="151" t="s">
        <v>6962</v>
      </c>
      <c r="K2979" s="151">
        <f t="shared" si="76"/>
        <v>0</v>
      </c>
      <c r="L2979" s="151" t="s">
        <v>9021</v>
      </c>
    </row>
    <row r="2980" spans="8:12" x14ac:dyDescent="0.25">
      <c r="H2980" s="151" t="s">
        <v>4845</v>
      </c>
      <c r="I2980" s="151" t="s">
        <v>391</v>
      </c>
      <c r="J2980" s="151" t="s">
        <v>7959</v>
      </c>
      <c r="K2980" s="151">
        <f t="shared" si="76"/>
        <v>650000000001810</v>
      </c>
      <c r="L2980" s="151" t="s">
        <v>9021</v>
      </c>
    </row>
    <row r="2981" spans="8:12" x14ac:dyDescent="0.25">
      <c r="H2981" s="151" t="s">
        <v>4846</v>
      </c>
      <c r="I2981" s="151" t="s">
        <v>6962</v>
      </c>
      <c r="J2981" s="151" t="s">
        <v>6962</v>
      </c>
      <c r="K2981" s="151">
        <f t="shared" si="76"/>
        <v>0</v>
      </c>
      <c r="L2981" s="151" t="s">
        <v>9021</v>
      </c>
    </row>
    <row r="2982" spans="8:12" x14ac:dyDescent="0.25">
      <c r="H2982" s="151" t="s">
        <v>4846</v>
      </c>
      <c r="I2982" s="151" t="s">
        <v>391</v>
      </c>
      <c r="J2982" s="151" t="s">
        <v>7960</v>
      </c>
      <c r="K2982" s="151">
        <f t="shared" si="76"/>
        <v>650000000000761</v>
      </c>
      <c r="L2982" s="151" t="s">
        <v>9021</v>
      </c>
    </row>
    <row r="2983" spans="8:12" x14ac:dyDescent="0.25">
      <c r="H2983" s="151" t="s">
        <v>4847</v>
      </c>
      <c r="I2983" s="151" t="s">
        <v>6962</v>
      </c>
      <c r="J2983" s="151" t="s">
        <v>6962</v>
      </c>
      <c r="K2983" s="151">
        <f t="shared" si="76"/>
        <v>0</v>
      </c>
      <c r="L2983" s="151" t="s">
        <v>9021</v>
      </c>
    </row>
    <row r="2984" spans="8:12" x14ac:dyDescent="0.25">
      <c r="H2984" s="151" t="s">
        <v>4847</v>
      </c>
      <c r="I2984" s="151" t="s">
        <v>391</v>
      </c>
      <c r="J2984" s="151" t="s">
        <v>7961</v>
      </c>
      <c r="K2984" s="151">
        <f t="shared" si="76"/>
        <v>650000000001811</v>
      </c>
      <c r="L2984" s="151" t="s">
        <v>9021</v>
      </c>
    </row>
    <row r="2985" spans="8:12" x14ac:dyDescent="0.25">
      <c r="H2985" s="151" t="s">
        <v>4848</v>
      </c>
      <c r="I2985" s="151" t="s">
        <v>6962</v>
      </c>
      <c r="J2985" s="151" t="s">
        <v>6962</v>
      </c>
      <c r="K2985" s="151">
        <f t="shared" si="76"/>
        <v>0</v>
      </c>
      <c r="L2985" s="151" t="s">
        <v>9021</v>
      </c>
    </row>
    <row r="2986" spans="8:12" x14ac:dyDescent="0.25">
      <c r="H2986" s="151" t="s">
        <v>4848</v>
      </c>
      <c r="I2986" s="151" t="s">
        <v>391</v>
      </c>
      <c r="J2986" s="151" t="s">
        <v>7962</v>
      </c>
      <c r="K2986" s="151">
        <f t="shared" si="76"/>
        <v>650000000000762</v>
      </c>
      <c r="L2986" s="151" t="s">
        <v>9021</v>
      </c>
    </row>
    <row r="2987" spans="8:12" x14ac:dyDescent="0.25">
      <c r="H2987" s="151" t="s">
        <v>4849</v>
      </c>
      <c r="I2987" s="151" t="s">
        <v>6962</v>
      </c>
      <c r="J2987" s="151" t="s">
        <v>6962</v>
      </c>
      <c r="K2987" s="151">
        <f t="shared" si="76"/>
        <v>0</v>
      </c>
      <c r="L2987" s="151" t="s">
        <v>9021</v>
      </c>
    </row>
    <row r="2988" spans="8:12" x14ac:dyDescent="0.25">
      <c r="H2988" s="151" t="s">
        <v>4849</v>
      </c>
      <c r="I2988" s="151" t="s">
        <v>391</v>
      </c>
      <c r="J2988" s="151" t="s">
        <v>7963</v>
      </c>
      <c r="K2988" s="151">
        <f t="shared" si="76"/>
        <v>650000000000763</v>
      </c>
      <c r="L2988" s="151" t="s">
        <v>9021</v>
      </c>
    </row>
    <row r="2989" spans="8:12" x14ac:dyDescent="0.25">
      <c r="H2989" s="151" t="s">
        <v>4850</v>
      </c>
      <c r="I2989" s="151" t="s">
        <v>6962</v>
      </c>
      <c r="J2989" s="151" t="s">
        <v>6962</v>
      </c>
      <c r="K2989" s="151">
        <f t="shared" si="76"/>
        <v>0</v>
      </c>
      <c r="L2989" s="151" t="s">
        <v>9021</v>
      </c>
    </row>
    <row r="2990" spans="8:12" x14ac:dyDescent="0.25">
      <c r="H2990" s="151" t="s">
        <v>4850</v>
      </c>
      <c r="I2990" s="151" t="s">
        <v>391</v>
      </c>
      <c r="J2990" s="151" t="s">
        <v>7964</v>
      </c>
      <c r="K2990" s="151">
        <f t="shared" si="76"/>
        <v>650000000000764</v>
      </c>
      <c r="L2990" s="151" t="s">
        <v>9021</v>
      </c>
    </row>
    <row r="2991" spans="8:12" x14ac:dyDescent="0.25">
      <c r="H2991" s="151" t="s">
        <v>4851</v>
      </c>
      <c r="I2991" s="151" t="s">
        <v>6962</v>
      </c>
      <c r="J2991" s="151" t="s">
        <v>6962</v>
      </c>
      <c r="K2991" s="151">
        <f t="shared" si="76"/>
        <v>0</v>
      </c>
      <c r="L2991" s="151" t="s">
        <v>9021</v>
      </c>
    </row>
    <row r="2992" spans="8:12" x14ac:dyDescent="0.25">
      <c r="H2992" s="151" t="s">
        <v>4851</v>
      </c>
      <c r="I2992" s="151" t="s">
        <v>391</v>
      </c>
      <c r="J2992" s="151" t="s">
        <v>7965</v>
      </c>
      <c r="K2992" s="151">
        <f t="shared" si="76"/>
        <v>650000000000765</v>
      </c>
      <c r="L2992" s="151" t="s">
        <v>9021</v>
      </c>
    </row>
    <row r="2993" spans="8:12" x14ac:dyDescent="0.25">
      <c r="H2993" s="151" t="s">
        <v>4852</v>
      </c>
      <c r="I2993" s="151" t="s">
        <v>6962</v>
      </c>
      <c r="J2993" s="151" t="s">
        <v>6962</v>
      </c>
      <c r="K2993" s="151">
        <f t="shared" si="76"/>
        <v>0</v>
      </c>
      <c r="L2993" s="151" t="s">
        <v>9021</v>
      </c>
    </row>
    <row r="2994" spans="8:12" x14ac:dyDescent="0.25">
      <c r="H2994" s="151" t="s">
        <v>4852</v>
      </c>
      <c r="I2994" s="151" t="s">
        <v>391</v>
      </c>
      <c r="J2994" s="151" t="s">
        <v>7966</v>
      </c>
      <c r="K2994" s="151">
        <f t="shared" si="76"/>
        <v>650000000000766</v>
      </c>
      <c r="L2994" s="151" t="s">
        <v>9021</v>
      </c>
    </row>
    <row r="2995" spans="8:12" x14ac:dyDescent="0.25">
      <c r="H2995" s="151" t="s">
        <v>4853</v>
      </c>
      <c r="I2995" s="151" t="s">
        <v>6962</v>
      </c>
      <c r="J2995" s="151" t="s">
        <v>6962</v>
      </c>
      <c r="K2995" s="151">
        <f t="shared" si="76"/>
        <v>0</v>
      </c>
      <c r="L2995" s="151" t="s">
        <v>9021</v>
      </c>
    </row>
    <row r="2996" spans="8:12" x14ac:dyDescent="0.25">
      <c r="H2996" s="151" t="s">
        <v>4853</v>
      </c>
      <c r="I2996" s="151" t="s">
        <v>391</v>
      </c>
      <c r="J2996" s="151" t="s">
        <v>7967</v>
      </c>
      <c r="K2996" s="151">
        <f t="shared" si="76"/>
        <v>650000000000767</v>
      </c>
      <c r="L2996" s="151" t="s">
        <v>9021</v>
      </c>
    </row>
    <row r="2997" spans="8:12" x14ac:dyDescent="0.25">
      <c r="H2997" s="151" t="s">
        <v>4854</v>
      </c>
      <c r="I2997" s="151" t="s">
        <v>6962</v>
      </c>
      <c r="J2997" s="151" t="s">
        <v>6962</v>
      </c>
      <c r="K2997" s="151">
        <f t="shared" si="76"/>
        <v>0</v>
      </c>
      <c r="L2997" s="151" t="s">
        <v>9021</v>
      </c>
    </row>
    <row r="2998" spans="8:12" x14ac:dyDescent="0.25">
      <c r="H2998" s="151" t="s">
        <v>4854</v>
      </c>
      <c r="I2998" s="151" t="s">
        <v>391</v>
      </c>
      <c r="J2998" s="151" t="s">
        <v>7968</v>
      </c>
      <c r="K2998" s="151">
        <f t="shared" si="76"/>
        <v>650000000000768</v>
      </c>
      <c r="L2998" s="151" t="s">
        <v>9021</v>
      </c>
    </row>
    <row r="2999" spans="8:12" x14ac:dyDescent="0.25">
      <c r="H2999" s="151" t="s">
        <v>4855</v>
      </c>
      <c r="I2999" s="151" t="s">
        <v>6962</v>
      </c>
      <c r="J2999" s="151" t="s">
        <v>6962</v>
      </c>
      <c r="K2999" s="151">
        <f t="shared" si="76"/>
        <v>0</v>
      </c>
      <c r="L2999" s="151" t="s">
        <v>9021</v>
      </c>
    </row>
    <row r="3000" spans="8:12" x14ac:dyDescent="0.25">
      <c r="H3000" s="151" t="s">
        <v>4855</v>
      </c>
      <c r="I3000" s="151" t="s">
        <v>391</v>
      </c>
      <c r="J3000" s="151" t="s">
        <v>7969</v>
      </c>
      <c r="K3000" s="151">
        <f t="shared" si="76"/>
        <v>650000000000769</v>
      </c>
      <c r="L3000" s="151" t="s">
        <v>9021</v>
      </c>
    </row>
    <row r="3001" spans="8:12" x14ac:dyDescent="0.25">
      <c r="H3001" s="151" t="s">
        <v>4856</v>
      </c>
      <c r="I3001" s="151" t="s">
        <v>6962</v>
      </c>
      <c r="J3001" s="151" t="s">
        <v>6962</v>
      </c>
      <c r="K3001" s="151">
        <f t="shared" si="76"/>
        <v>0</v>
      </c>
      <c r="L3001" s="151" t="s">
        <v>9021</v>
      </c>
    </row>
    <row r="3002" spans="8:12" x14ac:dyDescent="0.25">
      <c r="H3002" s="151" t="s">
        <v>4856</v>
      </c>
      <c r="I3002" s="151" t="s">
        <v>391</v>
      </c>
      <c r="J3002" s="151" t="s">
        <v>7970</v>
      </c>
      <c r="K3002" s="151">
        <f t="shared" si="76"/>
        <v>650000000000770</v>
      </c>
      <c r="L3002" s="151" t="s">
        <v>9021</v>
      </c>
    </row>
    <row r="3003" spans="8:12" x14ac:dyDescent="0.25">
      <c r="H3003" s="151" t="s">
        <v>4857</v>
      </c>
      <c r="I3003" s="151" t="s">
        <v>6962</v>
      </c>
      <c r="J3003" s="151" t="s">
        <v>6962</v>
      </c>
      <c r="K3003" s="151">
        <f t="shared" si="76"/>
        <v>0</v>
      </c>
      <c r="L3003" s="151" t="s">
        <v>9021</v>
      </c>
    </row>
    <row r="3004" spans="8:12" x14ac:dyDescent="0.25">
      <c r="H3004" s="151" t="s">
        <v>4857</v>
      </c>
      <c r="I3004" s="151" t="s">
        <v>391</v>
      </c>
      <c r="J3004" s="151" t="s">
        <v>7971</v>
      </c>
      <c r="K3004" s="151">
        <f t="shared" si="76"/>
        <v>650000000000771</v>
      </c>
      <c r="L3004" s="151" t="s">
        <v>9021</v>
      </c>
    </row>
    <row r="3005" spans="8:12" x14ac:dyDescent="0.25">
      <c r="H3005" s="151" t="s">
        <v>4858</v>
      </c>
      <c r="I3005" s="151" t="s">
        <v>6962</v>
      </c>
      <c r="J3005" s="151" t="s">
        <v>6962</v>
      </c>
      <c r="K3005" s="151">
        <f t="shared" si="76"/>
        <v>0</v>
      </c>
      <c r="L3005" s="151" t="s">
        <v>9021</v>
      </c>
    </row>
    <row r="3006" spans="8:12" x14ac:dyDescent="0.25">
      <c r="H3006" s="151" t="s">
        <v>4858</v>
      </c>
      <c r="I3006" s="151" t="s">
        <v>391</v>
      </c>
      <c r="J3006" s="151" t="s">
        <v>7972</v>
      </c>
      <c r="K3006" s="151">
        <f t="shared" si="76"/>
        <v>650000000000772</v>
      </c>
      <c r="L3006" s="151" t="s">
        <v>9021</v>
      </c>
    </row>
    <row r="3007" spans="8:12" x14ac:dyDescent="0.25">
      <c r="H3007" s="151" t="s">
        <v>4859</v>
      </c>
      <c r="I3007" s="151" t="s">
        <v>6962</v>
      </c>
      <c r="J3007" s="151" t="s">
        <v>6962</v>
      </c>
      <c r="K3007" s="151">
        <f t="shared" si="76"/>
        <v>0</v>
      </c>
      <c r="L3007" s="151" t="s">
        <v>9021</v>
      </c>
    </row>
    <row r="3008" spans="8:12" x14ac:dyDescent="0.25">
      <c r="H3008" s="151" t="s">
        <v>4859</v>
      </c>
      <c r="I3008" s="151" t="s">
        <v>391</v>
      </c>
      <c r="J3008" s="151" t="s">
        <v>7973</v>
      </c>
      <c r="K3008" s="151">
        <f t="shared" si="76"/>
        <v>650000000000773</v>
      </c>
      <c r="L3008" s="151" t="s">
        <v>9021</v>
      </c>
    </row>
    <row r="3009" spans="8:12" x14ac:dyDescent="0.25">
      <c r="H3009" s="151" t="s">
        <v>4860</v>
      </c>
      <c r="I3009" s="151" t="s">
        <v>6962</v>
      </c>
      <c r="J3009" s="151" t="s">
        <v>6962</v>
      </c>
      <c r="K3009" s="151">
        <f t="shared" si="76"/>
        <v>0</v>
      </c>
      <c r="L3009" s="151" t="s">
        <v>9021</v>
      </c>
    </row>
    <row r="3010" spans="8:12" x14ac:dyDescent="0.25">
      <c r="H3010" s="151" t="s">
        <v>4860</v>
      </c>
      <c r="I3010" s="151" t="s">
        <v>391</v>
      </c>
      <c r="J3010" s="151" t="s">
        <v>7974</v>
      </c>
      <c r="K3010" s="151">
        <f t="shared" si="76"/>
        <v>650000000000774</v>
      </c>
      <c r="L3010" s="151" t="s">
        <v>9021</v>
      </c>
    </row>
    <row r="3011" spans="8:12" x14ac:dyDescent="0.25">
      <c r="H3011" s="151" t="s">
        <v>4861</v>
      </c>
      <c r="I3011" s="151" t="s">
        <v>6962</v>
      </c>
      <c r="J3011" s="151" t="s">
        <v>6962</v>
      </c>
      <c r="K3011" s="151">
        <f t="shared" ref="K3011:K3074" si="77">+IFERROR(J3011*1,0)</f>
        <v>0</v>
      </c>
      <c r="L3011" s="151" t="s">
        <v>9021</v>
      </c>
    </row>
    <row r="3012" spans="8:12" x14ac:dyDescent="0.25">
      <c r="H3012" s="151" t="s">
        <v>4861</v>
      </c>
      <c r="I3012" s="151" t="s">
        <v>391</v>
      </c>
      <c r="J3012" s="151" t="s">
        <v>7975</v>
      </c>
      <c r="K3012" s="151">
        <f t="shared" si="77"/>
        <v>650000000001812</v>
      </c>
      <c r="L3012" s="151" t="s">
        <v>9021</v>
      </c>
    </row>
    <row r="3013" spans="8:12" x14ac:dyDescent="0.25">
      <c r="H3013" s="151" t="s">
        <v>4862</v>
      </c>
      <c r="I3013" s="151" t="s">
        <v>6962</v>
      </c>
      <c r="J3013" s="151" t="s">
        <v>6962</v>
      </c>
      <c r="K3013" s="151">
        <f t="shared" si="77"/>
        <v>0</v>
      </c>
      <c r="L3013" s="151" t="s">
        <v>9021</v>
      </c>
    </row>
    <row r="3014" spans="8:12" x14ac:dyDescent="0.25">
      <c r="H3014" s="151" t="s">
        <v>4862</v>
      </c>
      <c r="I3014" s="151" t="s">
        <v>391</v>
      </c>
      <c r="J3014" s="151" t="s">
        <v>7976</v>
      </c>
      <c r="K3014" s="151">
        <f t="shared" si="77"/>
        <v>650000000001813</v>
      </c>
      <c r="L3014" s="151" t="s">
        <v>9021</v>
      </c>
    </row>
    <row r="3015" spans="8:12" x14ac:dyDescent="0.25">
      <c r="H3015" s="151" t="s">
        <v>4863</v>
      </c>
      <c r="I3015" s="151" t="s">
        <v>6962</v>
      </c>
      <c r="J3015" s="151" t="s">
        <v>6962</v>
      </c>
      <c r="K3015" s="151">
        <f t="shared" si="77"/>
        <v>0</v>
      </c>
      <c r="L3015" s="151" t="s">
        <v>9021</v>
      </c>
    </row>
    <row r="3016" spans="8:12" x14ac:dyDescent="0.25">
      <c r="H3016" s="151" t="s">
        <v>4863</v>
      </c>
      <c r="I3016" s="151" t="s">
        <v>391</v>
      </c>
      <c r="J3016" s="151" t="s">
        <v>7977</v>
      </c>
      <c r="K3016" s="151">
        <f t="shared" si="77"/>
        <v>650000000001814</v>
      </c>
      <c r="L3016" s="151" t="s">
        <v>9021</v>
      </c>
    </row>
    <row r="3017" spans="8:12" x14ac:dyDescent="0.25">
      <c r="H3017" s="151" t="s">
        <v>6880</v>
      </c>
      <c r="I3017" s="151" t="s">
        <v>6962</v>
      </c>
      <c r="J3017" s="151" t="s">
        <v>6962</v>
      </c>
      <c r="K3017" s="151">
        <f t="shared" si="77"/>
        <v>0</v>
      </c>
      <c r="L3017" s="151" t="s">
        <v>9021</v>
      </c>
    </row>
    <row r="3018" spans="8:12" x14ac:dyDescent="0.25">
      <c r="H3018" s="151" t="s">
        <v>4864</v>
      </c>
      <c r="I3018" s="151" t="s">
        <v>6962</v>
      </c>
      <c r="J3018" s="151" t="s">
        <v>6962</v>
      </c>
      <c r="K3018" s="151">
        <f t="shared" si="77"/>
        <v>0</v>
      </c>
      <c r="L3018" s="151" t="s">
        <v>9021</v>
      </c>
    </row>
    <row r="3019" spans="8:12" x14ac:dyDescent="0.25">
      <c r="H3019" s="151" t="s">
        <v>4864</v>
      </c>
      <c r="I3019" s="151" t="s">
        <v>391</v>
      </c>
      <c r="J3019" s="151" t="s">
        <v>7978</v>
      </c>
      <c r="K3019" s="151">
        <f t="shared" si="77"/>
        <v>650000000001815</v>
      </c>
      <c r="L3019" s="151" t="s">
        <v>9021</v>
      </c>
    </row>
    <row r="3020" spans="8:12" x14ac:dyDescent="0.25">
      <c r="H3020" s="151" t="s">
        <v>6881</v>
      </c>
      <c r="I3020" s="151" t="s">
        <v>6962</v>
      </c>
      <c r="J3020" s="151" t="s">
        <v>6962</v>
      </c>
      <c r="K3020" s="151">
        <f t="shared" si="77"/>
        <v>0</v>
      </c>
      <c r="L3020" s="151" t="s">
        <v>9021</v>
      </c>
    </row>
    <row r="3021" spans="8:12" x14ac:dyDescent="0.25">
      <c r="H3021" s="151" t="s">
        <v>4865</v>
      </c>
      <c r="I3021" s="151" t="s">
        <v>6962</v>
      </c>
      <c r="J3021" s="151" t="s">
        <v>6962</v>
      </c>
      <c r="K3021" s="151">
        <f t="shared" si="77"/>
        <v>0</v>
      </c>
      <c r="L3021" s="151" t="s">
        <v>9021</v>
      </c>
    </row>
    <row r="3022" spans="8:12" x14ac:dyDescent="0.25">
      <c r="H3022" s="151" t="s">
        <v>4865</v>
      </c>
      <c r="I3022" s="151" t="s">
        <v>391</v>
      </c>
      <c r="J3022" s="151" t="s">
        <v>7979</v>
      </c>
      <c r="K3022" s="151">
        <f t="shared" si="77"/>
        <v>650000000000775</v>
      </c>
      <c r="L3022" s="151" t="s">
        <v>9021</v>
      </c>
    </row>
    <row r="3023" spans="8:12" x14ac:dyDescent="0.25">
      <c r="H3023" s="151" t="s">
        <v>4866</v>
      </c>
      <c r="I3023" s="151" t="s">
        <v>6962</v>
      </c>
      <c r="J3023" s="151" t="s">
        <v>6962</v>
      </c>
      <c r="K3023" s="151">
        <f t="shared" si="77"/>
        <v>0</v>
      </c>
      <c r="L3023" s="151" t="s">
        <v>9021</v>
      </c>
    </row>
    <row r="3024" spans="8:12" x14ac:dyDescent="0.25">
      <c r="H3024" s="151" t="s">
        <v>4866</v>
      </c>
      <c r="I3024" s="151" t="s">
        <v>391</v>
      </c>
      <c r="J3024" s="151" t="s">
        <v>7980</v>
      </c>
      <c r="K3024" s="151">
        <f t="shared" si="77"/>
        <v>650000000000776</v>
      </c>
      <c r="L3024" s="151" t="s">
        <v>9021</v>
      </c>
    </row>
    <row r="3025" spans="8:12" x14ac:dyDescent="0.25">
      <c r="H3025" s="151" t="s">
        <v>4867</v>
      </c>
      <c r="I3025" s="151" t="s">
        <v>6962</v>
      </c>
      <c r="J3025" s="151" t="s">
        <v>6962</v>
      </c>
      <c r="K3025" s="151">
        <f t="shared" si="77"/>
        <v>0</v>
      </c>
      <c r="L3025" s="151" t="s">
        <v>9021</v>
      </c>
    </row>
    <row r="3026" spans="8:12" x14ac:dyDescent="0.25">
      <c r="H3026" s="151" t="s">
        <v>4867</v>
      </c>
      <c r="I3026" s="151" t="s">
        <v>391</v>
      </c>
      <c r="J3026" s="151" t="s">
        <v>7981</v>
      </c>
      <c r="K3026" s="151">
        <f t="shared" si="77"/>
        <v>650000000000777</v>
      </c>
      <c r="L3026" s="151" t="s">
        <v>9021</v>
      </c>
    </row>
    <row r="3027" spans="8:12" x14ac:dyDescent="0.25">
      <c r="H3027" s="151" t="s">
        <v>4868</v>
      </c>
      <c r="I3027" s="151" t="s">
        <v>6962</v>
      </c>
      <c r="J3027" s="151" t="s">
        <v>6962</v>
      </c>
      <c r="K3027" s="151">
        <f t="shared" si="77"/>
        <v>0</v>
      </c>
      <c r="L3027" s="151" t="s">
        <v>9021</v>
      </c>
    </row>
    <row r="3028" spans="8:12" x14ac:dyDescent="0.25">
      <c r="H3028" s="151" t="s">
        <v>4868</v>
      </c>
      <c r="I3028" s="151" t="s">
        <v>391</v>
      </c>
      <c r="J3028" s="151" t="s">
        <v>7982</v>
      </c>
      <c r="K3028" s="151">
        <f t="shared" si="77"/>
        <v>650000000001816</v>
      </c>
      <c r="L3028" s="151" t="s">
        <v>9021</v>
      </c>
    </row>
    <row r="3029" spans="8:12" x14ac:dyDescent="0.25">
      <c r="H3029" s="151" t="s">
        <v>4869</v>
      </c>
      <c r="I3029" s="151" t="s">
        <v>6962</v>
      </c>
      <c r="J3029" s="151" t="s">
        <v>6962</v>
      </c>
      <c r="K3029" s="151">
        <f t="shared" si="77"/>
        <v>0</v>
      </c>
      <c r="L3029" s="151" t="s">
        <v>9021</v>
      </c>
    </row>
    <row r="3030" spans="8:12" x14ac:dyDescent="0.25">
      <c r="H3030" s="151" t="s">
        <v>4869</v>
      </c>
      <c r="I3030" s="151" t="s">
        <v>391</v>
      </c>
      <c r="J3030" s="151" t="s">
        <v>7983</v>
      </c>
      <c r="K3030" s="151">
        <f t="shared" si="77"/>
        <v>650000000000778</v>
      </c>
      <c r="L3030" s="151" t="s">
        <v>9021</v>
      </c>
    </row>
    <row r="3031" spans="8:12" x14ac:dyDescent="0.25">
      <c r="H3031" s="151" t="s">
        <v>4870</v>
      </c>
      <c r="I3031" s="151" t="s">
        <v>6962</v>
      </c>
      <c r="J3031" s="151" t="s">
        <v>6962</v>
      </c>
      <c r="K3031" s="151">
        <f t="shared" si="77"/>
        <v>0</v>
      </c>
      <c r="L3031" s="151" t="s">
        <v>9021</v>
      </c>
    </row>
    <row r="3032" spans="8:12" x14ac:dyDescent="0.25">
      <c r="H3032" s="151" t="s">
        <v>4870</v>
      </c>
      <c r="I3032" s="151" t="s">
        <v>391</v>
      </c>
      <c r="J3032" s="151" t="s">
        <v>7984</v>
      </c>
      <c r="K3032" s="151">
        <f t="shared" si="77"/>
        <v>650000000000779</v>
      </c>
      <c r="L3032" s="151" t="s">
        <v>9021</v>
      </c>
    </row>
    <row r="3033" spans="8:12" x14ac:dyDescent="0.25">
      <c r="H3033" s="151" t="s">
        <v>4871</v>
      </c>
      <c r="I3033" s="151" t="s">
        <v>6962</v>
      </c>
      <c r="J3033" s="151" t="s">
        <v>6962</v>
      </c>
      <c r="K3033" s="151">
        <f t="shared" si="77"/>
        <v>0</v>
      </c>
      <c r="L3033" s="151" t="s">
        <v>9021</v>
      </c>
    </row>
    <row r="3034" spans="8:12" x14ac:dyDescent="0.25">
      <c r="H3034" s="151" t="s">
        <v>4871</v>
      </c>
      <c r="I3034" s="151" t="s">
        <v>391</v>
      </c>
      <c r="J3034" s="151" t="s">
        <v>7985</v>
      </c>
      <c r="K3034" s="151">
        <f t="shared" si="77"/>
        <v>650000000000780</v>
      </c>
      <c r="L3034" s="151" t="s">
        <v>9021</v>
      </c>
    </row>
    <row r="3035" spans="8:12" x14ac:dyDescent="0.25">
      <c r="H3035" s="151" t="s">
        <v>4872</v>
      </c>
      <c r="I3035" s="151" t="s">
        <v>6962</v>
      </c>
      <c r="J3035" s="151" t="s">
        <v>6962</v>
      </c>
      <c r="K3035" s="151">
        <f t="shared" si="77"/>
        <v>0</v>
      </c>
      <c r="L3035" s="151" t="s">
        <v>9021</v>
      </c>
    </row>
    <row r="3036" spans="8:12" x14ac:dyDescent="0.25">
      <c r="H3036" s="151" t="s">
        <v>4872</v>
      </c>
      <c r="I3036" s="151" t="s">
        <v>391</v>
      </c>
      <c r="J3036" s="151" t="s">
        <v>7986</v>
      </c>
      <c r="K3036" s="151">
        <f t="shared" si="77"/>
        <v>650000000000781</v>
      </c>
      <c r="L3036" s="151" t="s">
        <v>9021</v>
      </c>
    </row>
    <row r="3037" spans="8:12" x14ac:dyDescent="0.25">
      <c r="H3037" s="151" t="s">
        <v>4873</v>
      </c>
      <c r="I3037" s="151" t="s">
        <v>6962</v>
      </c>
      <c r="J3037" s="151" t="s">
        <v>6962</v>
      </c>
      <c r="K3037" s="151">
        <f t="shared" si="77"/>
        <v>0</v>
      </c>
      <c r="L3037" s="151" t="s">
        <v>9021</v>
      </c>
    </row>
    <row r="3038" spans="8:12" x14ac:dyDescent="0.25">
      <c r="H3038" s="151" t="s">
        <v>4873</v>
      </c>
      <c r="I3038" s="151" t="s">
        <v>391</v>
      </c>
      <c r="J3038" s="151" t="s">
        <v>7987</v>
      </c>
      <c r="K3038" s="151">
        <f t="shared" si="77"/>
        <v>650000000000782</v>
      </c>
      <c r="L3038" s="151" t="s">
        <v>9021</v>
      </c>
    </row>
    <row r="3039" spans="8:12" x14ac:dyDescent="0.25">
      <c r="H3039" s="151" t="s">
        <v>4874</v>
      </c>
      <c r="I3039" s="151" t="s">
        <v>6962</v>
      </c>
      <c r="J3039" s="151" t="s">
        <v>6962</v>
      </c>
      <c r="K3039" s="151">
        <f t="shared" si="77"/>
        <v>0</v>
      </c>
      <c r="L3039" s="151" t="s">
        <v>9021</v>
      </c>
    </row>
    <row r="3040" spans="8:12" x14ac:dyDescent="0.25">
      <c r="H3040" s="151" t="s">
        <v>4874</v>
      </c>
      <c r="I3040" s="151" t="s">
        <v>391</v>
      </c>
      <c r="J3040" s="151" t="s">
        <v>7988</v>
      </c>
      <c r="K3040" s="151">
        <f t="shared" si="77"/>
        <v>650000000000783</v>
      </c>
      <c r="L3040" s="151" t="s">
        <v>9021</v>
      </c>
    </row>
    <row r="3041" spans="8:12" x14ac:dyDescent="0.25">
      <c r="H3041" s="151" t="s">
        <v>4875</v>
      </c>
      <c r="I3041" s="151" t="s">
        <v>6962</v>
      </c>
      <c r="J3041" s="151" t="s">
        <v>6962</v>
      </c>
      <c r="K3041" s="151">
        <f t="shared" si="77"/>
        <v>0</v>
      </c>
      <c r="L3041" s="151" t="s">
        <v>9021</v>
      </c>
    </row>
    <row r="3042" spans="8:12" x14ac:dyDescent="0.25">
      <c r="H3042" s="151" t="s">
        <v>4875</v>
      </c>
      <c r="I3042" s="151" t="s">
        <v>391</v>
      </c>
      <c r="J3042" s="151" t="s">
        <v>7989</v>
      </c>
      <c r="K3042" s="151">
        <f t="shared" si="77"/>
        <v>650000000000784</v>
      </c>
      <c r="L3042" s="151" t="s">
        <v>9021</v>
      </c>
    </row>
    <row r="3043" spans="8:12" x14ac:dyDescent="0.25">
      <c r="H3043" s="151" t="s">
        <v>4876</v>
      </c>
      <c r="I3043" s="151" t="s">
        <v>6962</v>
      </c>
      <c r="J3043" s="151" t="s">
        <v>6962</v>
      </c>
      <c r="K3043" s="151">
        <f t="shared" si="77"/>
        <v>0</v>
      </c>
      <c r="L3043" s="151" t="s">
        <v>9021</v>
      </c>
    </row>
    <row r="3044" spans="8:12" x14ac:dyDescent="0.25">
      <c r="H3044" s="151" t="s">
        <v>4876</v>
      </c>
      <c r="I3044" s="151" t="s">
        <v>391</v>
      </c>
      <c r="J3044" s="151" t="s">
        <v>7990</v>
      </c>
      <c r="K3044" s="151">
        <f t="shared" si="77"/>
        <v>650000000000785</v>
      </c>
      <c r="L3044" s="151" t="s">
        <v>9021</v>
      </c>
    </row>
    <row r="3045" spans="8:12" x14ac:dyDescent="0.25">
      <c r="H3045" s="151" t="s">
        <v>4877</v>
      </c>
      <c r="I3045" s="151" t="s">
        <v>6962</v>
      </c>
      <c r="J3045" s="151" t="s">
        <v>6962</v>
      </c>
      <c r="K3045" s="151">
        <f t="shared" si="77"/>
        <v>0</v>
      </c>
      <c r="L3045" s="151" t="s">
        <v>9021</v>
      </c>
    </row>
    <row r="3046" spans="8:12" x14ac:dyDescent="0.25">
      <c r="H3046" s="151" t="s">
        <v>4877</v>
      </c>
      <c r="I3046" s="151" t="s">
        <v>391</v>
      </c>
      <c r="J3046" s="151" t="s">
        <v>7991</v>
      </c>
      <c r="K3046" s="151">
        <f t="shared" si="77"/>
        <v>650000000000786</v>
      </c>
      <c r="L3046" s="151" t="s">
        <v>9021</v>
      </c>
    </row>
    <row r="3047" spans="8:12" x14ac:dyDescent="0.25">
      <c r="H3047" s="151" t="s">
        <v>6882</v>
      </c>
      <c r="I3047" s="151" t="s">
        <v>6962</v>
      </c>
      <c r="J3047" s="151" t="s">
        <v>6962</v>
      </c>
      <c r="K3047" s="151">
        <f t="shared" si="77"/>
        <v>0</v>
      </c>
      <c r="L3047" s="151" t="s">
        <v>9021</v>
      </c>
    </row>
    <row r="3048" spans="8:12" x14ac:dyDescent="0.25">
      <c r="H3048" s="151" t="s">
        <v>4878</v>
      </c>
      <c r="I3048" s="151" t="s">
        <v>6962</v>
      </c>
      <c r="J3048" s="151" t="s">
        <v>6962</v>
      </c>
      <c r="K3048" s="151">
        <f t="shared" si="77"/>
        <v>0</v>
      </c>
      <c r="L3048" s="151" t="s">
        <v>9021</v>
      </c>
    </row>
    <row r="3049" spans="8:12" x14ac:dyDescent="0.25">
      <c r="H3049" s="151" t="s">
        <v>4878</v>
      </c>
      <c r="I3049" s="151" t="s">
        <v>391</v>
      </c>
      <c r="J3049" s="151" t="s">
        <v>7992</v>
      </c>
      <c r="K3049" s="151">
        <f t="shared" si="77"/>
        <v>650000000001817</v>
      </c>
      <c r="L3049" s="151" t="s">
        <v>9021</v>
      </c>
    </row>
    <row r="3050" spans="8:12" x14ac:dyDescent="0.25">
      <c r="H3050" s="151" t="s">
        <v>4879</v>
      </c>
      <c r="I3050" s="151" t="s">
        <v>6962</v>
      </c>
      <c r="J3050" s="151" t="s">
        <v>6962</v>
      </c>
      <c r="K3050" s="151">
        <f t="shared" si="77"/>
        <v>0</v>
      </c>
      <c r="L3050" s="151" t="s">
        <v>9021</v>
      </c>
    </row>
    <row r="3051" spans="8:12" x14ac:dyDescent="0.25">
      <c r="H3051" s="151" t="s">
        <v>4879</v>
      </c>
      <c r="I3051" s="151" t="s">
        <v>391</v>
      </c>
      <c r="J3051" s="151" t="s">
        <v>7993</v>
      </c>
      <c r="K3051" s="151">
        <f t="shared" si="77"/>
        <v>650000000000787</v>
      </c>
      <c r="L3051" s="151" t="s">
        <v>9021</v>
      </c>
    </row>
    <row r="3052" spans="8:12" x14ac:dyDescent="0.25">
      <c r="H3052" s="151" t="s">
        <v>4880</v>
      </c>
      <c r="I3052" s="151" t="s">
        <v>6962</v>
      </c>
      <c r="J3052" s="151" t="s">
        <v>6962</v>
      </c>
      <c r="K3052" s="151">
        <f t="shared" si="77"/>
        <v>0</v>
      </c>
      <c r="L3052" s="151" t="s">
        <v>9021</v>
      </c>
    </row>
    <row r="3053" spans="8:12" x14ac:dyDescent="0.25">
      <c r="H3053" s="151" t="s">
        <v>4880</v>
      </c>
      <c r="I3053" s="151" t="s">
        <v>391</v>
      </c>
      <c r="J3053" s="151" t="s">
        <v>7994</v>
      </c>
      <c r="K3053" s="151">
        <f t="shared" si="77"/>
        <v>650000000000788</v>
      </c>
      <c r="L3053" s="151" t="s">
        <v>9021</v>
      </c>
    </row>
    <row r="3054" spans="8:12" x14ac:dyDescent="0.25">
      <c r="H3054" s="151" t="s">
        <v>4881</v>
      </c>
      <c r="I3054" s="151" t="s">
        <v>6962</v>
      </c>
      <c r="J3054" s="151" t="s">
        <v>6962</v>
      </c>
      <c r="K3054" s="151">
        <f t="shared" si="77"/>
        <v>0</v>
      </c>
      <c r="L3054" s="151" t="s">
        <v>9021</v>
      </c>
    </row>
    <row r="3055" spans="8:12" x14ac:dyDescent="0.25">
      <c r="H3055" s="151" t="s">
        <v>4881</v>
      </c>
      <c r="I3055" s="151" t="s">
        <v>391</v>
      </c>
      <c r="J3055" s="151" t="s">
        <v>7995</v>
      </c>
      <c r="K3055" s="151">
        <f t="shared" si="77"/>
        <v>650000000000789</v>
      </c>
      <c r="L3055" s="151" t="s">
        <v>9021</v>
      </c>
    </row>
    <row r="3056" spans="8:12" x14ac:dyDescent="0.25">
      <c r="H3056" s="151" t="s">
        <v>4882</v>
      </c>
      <c r="I3056" s="151" t="s">
        <v>6962</v>
      </c>
      <c r="J3056" s="151" t="s">
        <v>6962</v>
      </c>
      <c r="K3056" s="151">
        <f t="shared" si="77"/>
        <v>0</v>
      </c>
      <c r="L3056" s="151" t="s">
        <v>9021</v>
      </c>
    </row>
    <row r="3057" spans="8:12" x14ac:dyDescent="0.25">
      <c r="H3057" s="151" t="s">
        <v>4882</v>
      </c>
      <c r="I3057" s="151" t="s">
        <v>391</v>
      </c>
      <c r="J3057" s="151" t="s">
        <v>7996</v>
      </c>
      <c r="K3057" s="151">
        <f t="shared" si="77"/>
        <v>650000000001818</v>
      </c>
      <c r="L3057" s="151" t="s">
        <v>9021</v>
      </c>
    </row>
    <row r="3058" spans="8:12" x14ac:dyDescent="0.25">
      <c r="H3058" s="151" t="s">
        <v>4883</v>
      </c>
      <c r="I3058" s="151" t="s">
        <v>6962</v>
      </c>
      <c r="J3058" s="151" t="s">
        <v>6962</v>
      </c>
      <c r="K3058" s="151">
        <f t="shared" si="77"/>
        <v>0</v>
      </c>
      <c r="L3058" s="151" t="s">
        <v>9021</v>
      </c>
    </row>
    <row r="3059" spans="8:12" x14ac:dyDescent="0.25">
      <c r="H3059" s="151" t="s">
        <v>4883</v>
      </c>
      <c r="I3059" s="151" t="s">
        <v>391</v>
      </c>
      <c r="J3059" s="151" t="s">
        <v>7997</v>
      </c>
      <c r="K3059" s="151">
        <f t="shared" si="77"/>
        <v>650000000000790</v>
      </c>
      <c r="L3059" s="151" t="s">
        <v>9021</v>
      </c>
    </row>
    <row r="3060" spans="8:12" x14ac:dyDescent="0.25">
      <c r="H3060" s="151" t="s">
        <v>4884</v>
      </c>
      <c r="I3060" s="151" t="s">
        <v>6962</v>
      </c>
      <c r="J3060" s="151" t="s">
        <v>6962</v>
      </c>
      <c r="K3060" s="151">
        <f t="shared" si="77"/>
        <v>0</v>
      </c>
      <c r="L3060" s="151" t="s">
        <v>9021</v>
      </c>
    </row>
    <row r="3061" spans="8:12" x14ac:dyDescent="0.25">
      <c r="H3061" s="151" t="s">
        <v>4884</v>
      </c>
      <c r="I3061" s="151" t="s">
        <v>391</v>
      </c>
      <c r="J3061" s="151" t="s">
        <v>7998</v>
      </c>
      <c r="K3061" s="151">
        <f t="shared" si="77"/>
        <v>650000000000791</v>
      </c>
      <c r="L3061" s="151" t="s">
        <v>9021</v>
      </c>
    </row>
    <row r="3062" spans="8:12" x14ac:dyDescent="0.25">
      <c r="H3062" s="151" t="s">
        <v>4885</v>
      </c>
      <c r="I3062" s="151" t="s">
        <v>6962</v>
      </c>
      <c r="J3062" s="151" t="s">
        <v>6962</v>
      </c>
      <c r="K3062" s="151">
        <f t="shared" si="77"/>
        <v>0</v>
      </c>
      <c r="L3062" s="151" t="s">
        <v>9021</v>
      </c>
    </row>
    <row r="3063" spans="8:12" x14ac:dyDescent="0.25">
      <c r="H3063" s="151" t="s">
        <v>4885</v>
      </c>
      <c r="I3063" s="151" t="s">
        <v>391</v>
      </c>
      <c r="J3063" s="151" t="s">
        <v>7999</v>
      </c>
      <c r="K3063" s="151">
        <f t="shared" si="77"/>
        <v>650000000000792</v>
      </c>
      <c r="L3063" s="151" t="s">
        <v>9021</v>
      </c>
    </row>
    <row r="3064" spans="8:12" x14ac:dyDescent="0.25">
      <c r="H3064" s="151" t="s">
        <v>4886</v>
      </c>
      <c r="I3064" s="151" t="s">
        <v>6962</v>
      </c>
      <c r="J3064" s="151" t="s">
        <v>6962</v>
      </c>
      <c r="K3064" s="151">
        <f t="shared" si="77"/>
        <v>0</v>
      </c>
      <c r="L3064" s="151" t="s">
        <v>9021</v>
      </c>
    </row>
    <row r="3065" spans="8:12" x14ac:dyDescent="0.25">
      <c r="H3065" s="151" t="s">
        <v>4886</v>
      </c>
      <c r="I3065" s="151" t="s">
        <v>391</v>
      </c>
      <c r="J3065" s="151" t="s">
        <v>8000</v>
      </c>
      <c r="K3065" s="151">
        <f t="shared" si="77"/>
        <v>650000000000793</v>
      </c>
      <c r="L3065" s="151" t="s">
        <v>9021</v>
      </c>
    </row>
    <row r="3066" spans="8:12" x14ac:dyDescent="0.25">
      <c r="H3066" s="151" t="s">
        <v>4887</v>
      </c>
      <c r="I3066" s="151" t="s">
        <v>6962</v>
      </c>
      <c r="J3066" s="151" t="s">
        <v>6962</v>
      </c>
      <c r="K3066" s="151">
        <f t="shared" si="77"/>
        <v>0</v>
      </c>
      <c r="L3066" s="151" t="s">
        <v>9021</v>
      </c>
    </row>
    <row r="3067" spans="8:12" x14ac:dyDescent="0.25">
      <c r="H3067" s="151" t="s">
        <v>4887</v>
      </c>
      <c r="I3067" s="151" t="s">
        <v>391</v>
      </c>
      <c r="J3067" s="151" t="s">
        <v>8001</v>
      </c>
      <c r="K3067" s="151">
        <f t="shared" si="77"/>
        <v>650000000001819</v>
      </c>
      <c r="L3067" s="151" t="s">
        <v>9021</v>
      </c>
    </row>
    <row r="3068" spans="8:12" x14ac:dyDescent="0.25">
      <c r="H3068" s="151" t="s">
        <v>4888</v>
      </c>
      <c r="I3068" s="151" t="s">
        <v>6962</v>
      </c>
      <c r="J3068" s="151" t="s">
        <v>6962</v>
      </c>
      <c r="K3068" s="151">
        <f t="shared" si="77"/>
        <v>0</v>
      </c>
      <c r="L3068" s="151" t="s">
        <v>9021</v>
      </c>
    </row>
    <row r="3069" spans="8:12" x14ac:dyDescent="0.25">
      <c r="H3069" s="151" t="s">
        <v>4888</v>
      </c>
      <c r="I3069" s="151" t="s">
        <v>391</v>
      </c>
      <c r="J3069" s="151" t="s">
        <v>8002</v>
      </c>
      <c r="K3069" s="151">
        <f t="shared" si="77"/>
        <v>650000000000794</v>
      </c>
      <c r="L3069" s="151" t="s">
        <v>9021</v>
      </c>
    </row>
    <row r="3070" spans="8:12" x14ac:dyDescent="0.25">
      <c r="H3070" s="151" t="s">
        <v>4889</v>
      </c>
      <c r="I3070" s="151" t="s">
        <v>6962</v>
      </c>
      <c r="J3070" s="151" t="s">
        <v>6962</v>
      </c>
      <c r="K3070" s="151">
        <f t="shared" si="77"/>
        <v>0</v>
      </c>
      <c r="L3070" s="151" t="s">
        <v>9021</v>
      </c>
    </row>
    <row r="3071" spans="8:12" x14ac:dyDescent="0.25">
      <c r="H3071" s="151" t="s">
        <v>4889</v>
      </c>
      <c r="I3071" s="151" t="s">
        <v>391</v>
      </c>
      <c r="J3071" s="151" t="s">
        <v>8003</v>
      </c>
      <c r="K3071" s="151">
        <f t="shared" si="77"/>
        <v>650000000001820</v>
      </c>
      <c r="L3071" s="151" t="s">
        <v>9021</v>
      </c>
    </row>
    <row r="3072" spans="8:12" x14ac:dyDescent="0.25">
      <c r="H3072" s="151" t="s">
        <v>4890</v>
      </c>
      <c r="I3072" s="151" t="s">
        <v>6962</v>
      </c>
      <c r="J3072" s="151" t="s">
        <v>6962</v>
      </c>
      <c r="K3072" s="151">
        <f t="shared" si="77"/>
        <v>0</v>
      </c>
      <c r="L3072" s="151" t="s">
        <v>9021</v>
      </c>
    </row>
    <row r="3073" spans="8:12" x14ac:dyDescent="0.25">
      <c r="H3073" s="151" t="s">
        <v>4890</v>
      </c>
      <c r="I3073" s="151" t="s">
        <v>391</v>
      </c>
      <c r="J3073" s="151" t="s">
        <v>8004</v>
      </c>
      <c r="K3073" s="151">
        <f t="shared" si="77"/>
        <v>650000000001821</v>
      </c>
      <c r="L3073" s="151" t="s">
        <v>9021</v>
      </c>
    </row>
    <row r="3074" spans="8:12" x14ac:dyDescent="0.25">
      <c r="H3074" s="151" t="s">
        <v>4891</v>
      </c>
      <c r="I3074" s="151" t="s">
        <v>6962</v>
      </c>
      <c r="J3074" s="151" t="s">
        <v>6962</v>
      </c>
      <c r="K3074" s="151">
        <f t="shared" si="77"/>
        <v>0</v>
      </c>
      <c r="L3074" s="151" t="s">
        <v>9021</v>
      </c>
    </row>
    <row r="3075" spans="8:12" x14ac:dyDescent="0.25">
      <c r="H3075" s="151" t="s">
        <v>4891</v>
      </c>
      <c r="I3075" s="151" t="s">
        <v>391</v>
      </c>
      <c r="J3075" s="151" t="s">
        <v>8005</v>
      </c>
      <c r="K3075" s="151">
        <f t="shared" ref="K3075:K3138" si="78">+IFERROR(J3075*1,0)</f>
        <v>650000000000795</v>
      </c>
      <c r="L3075" s="151" t="s">
        <v>9021</v>
      </c>
    </row>
    <row r="3076" spans="8:12" x14ac:dyDescent="0.25">
      <c r="H3076" s="151" t="s">
        <v>6883</v>
      </c>
      <c r="I3076" s="151" t="s">
        <v>6962</v>
      </c>
      <c r="J3076" s="151" t="s">
        <v>6962</v>
      </c>
      <c r="K3076" s="151">
        <f t="shared" si="78"/>
        <v>0</v>
      </c>
      <c r="L3076" s="151" t="s">
        <v>9021</v>
      </c>
    </row>
    <row r="3077" spans="8:12" x14ac:dyDescent="0.25">
      <c r="H3077" s="151" t="s">
        <v>4892</v>
      </c>
      <c r="I3077" s="151" t="s">
        <v>6962</v>
      </c>
      <c r="J3077" s="151" t="s">
        <v>6962</v>
      </c>
      <c r="K3077" s="151">
        <f t="shared" si="78"/>
        <v>0</v>
      </c>
      <c r="L3077" s="151" t="s">
        <v>9021</v>
      </c>
    </row>
    <row r="3078" spans="8:12" x14ac:dyDescent="0.25">
      <c r="H3078" s="151" t="s">
        <v>4892</v>
      </c>
      <c r="I3078" s="151" t="s">
        <v>391</v>
      </c>
      <c r="J3078" s="151" t="s">
        <v>8006</v>
      </c>
      <c r="K3078" s="151">
        <f t="shared" si="78"/>
        <v>650000000001822</v>
      </c>
      <c r="L3078" s="151" t="s">
        <v>9021</v>
      </c>
    </row>
    <row r="3079" spans="8:12" x14ac:dyDescent="0.25">
      <c r="H3079" s="151" t="s">
        <v>4893</v>
      </c>
      <c r="I3079" s="151" t="s">
        <v>6962</v>
      </c>
      <c r="J3079" s="151" t="s">
        <v>6962</v>
      </c>
      <c r="K3079" s="151">
        <f t="shared" si="78"/>
        <v>0</v>
      </c>
      <c r="L3079" s="151" t="s">
        <v>9021</v>
      </c>
    </row>
    <row r="3080" spans="8:12" x14ac:dyDescent="0.25">
      <c r="H3080" s="151" t="s">
        <v>4893</v>
      </c>
      <c r="I3080" s="151" t="s">
        <v>391</v>
      </c>
      <c r="J3080" s="151" t="s">
        <v>8007</v>
      </c>
      <c r="K3080" s="151">
        <f t="shared" si="78"/>
        <v>650000000001823</v>
      </c>
      <c r="L3080" s="151" t="s">
        <v>9021</v>
      </c>
    </row>
    <row r="3081" spans="8:12" x14ac:dyDescent="0.25">
      <c r="H3081" s="151" t="s">
        <v>4894</v>
      </c>
      <c r="I3081" s="151" t="s">
        <v>6962</v>
      </c>
      <c r="J3081" s="151" t="s">
        <v>6962</v>
      </c>
      <c r="K3081" s="151">
        <f t="shared" si="78"/>
        <v>0</v>
      </c>
      <c r="L3081" s="151" t="s">
        <v>9021</v>
      </c>
    </row>
    <row r="3082" spans="8:12" x14ac:dyDescent="0.25">
      <c r="H3082" s="151" t="s">
        <v>4894</v>
      </c>
      <c r="I3082" s="151" t="s">
        <v>391</v>
      </c>
      <c r="J3082" s="151" t="s">
        <v>8008</v>
      </c>
      <c r="K3082" s="151">
        <f t="shared" si="78"/>
        <v>650000000000796</v>
      </c>
      <c r="L3082" s="151" t="s">
        <v>9021</v>
      </c>
    </row>
    <row r="3083" spans="8:12" x14ac:dyDescent="0.25">
      <c r="H3083" s="151" t="s">
        <v>4895</v>
      </c>
      <c r="I3083" s="151" t="s">
        <v>6962</v>
      </c>
      <c r="J3083" s="151" t="s">
        <v>6962</v>
      </c>
      <c r="K3083" s="151">
        <f t="shared" si="78"/>
        <v>0</v>
      </c>
      <c r="L3083" s="151" t="s">
        <v>9021</v>
      </c>
    </row>
    <row r="3084" spans="8:12" x14ac:dyDescent="0.25">
      <c r="H3084" s="151" t="s">
        <v>4895</v>
      </c>
      <c r="I3084" s="151" t="s">
        <v>391</v>
      </c>
      <c r="J3084" s="151" t="s">
        <v>8009</v>
      </c>
      <c r="K3084" s="151">
        <f t="shared" si="78"/>
        <v>650000000000797</v>
      </c>
      <c r="L3084" s="151" t="s">
        <v>9021</v>
      </c>
    </row>
    <row r="3085" spans="8:12" x14ac:dyDescent="0.25">
      <c r="H3085" s="151" t="s">
        <v>4896</v>
      </c>
      <c r="I3085" s="151" t="s">
        <v>6962</v>
      </c>
      <c r="J3085" s="151" t="s">
        <v>6962</v>
      </c>
      <c r="K3085" s="151">
        <f t="shared" si="78"/>
        <v>0</v>
      </c>
      <c r="L3085" s="151" t="s">
        <v>9021</v>
      </c>
    </row>
    <row r="3086" spans="8:12" x14ac:dyDescent="0.25">
      <c r="H3086" s="151" t="s">
        <v>4896</v>
      </c>
      <c r="I3086" s="151" t="s">
        <v>391</v>
      </c>
      <c r="J3086" s="151" t="s">
        <v>8010</v>
      </c>
      <c r="K3086" s="151">
        <f t="shared" si="78"/>
        <v>650000000000798</v>
      </c>
      <c r="L3086" s="151" t="s">
        <v>9021</v>
      </c>
    </row>
    <row r="3087" spans="8:12" x14ac:dyDescent="0.25">
      <c r="H3087" s="151" t="s">
        <v>4897</v>
      </c>
      <c r="I3087" s="151" t="s">
        <v>6962</v>
      </c>
      <c r="J3087" s="151" t="s">
        <v>6962</v>
      </c>
      <c r="K3087" s="151">
        <f t="shared" si="78"/>
        <v>0</v>
      </c>
      <c r="L3087" s="151" t="s">
        <v>9021</v>
      </c>
    </row>
    <row r="3088" spans="8:12" x14ac:dyDescent="0.25">
      <c r="H3088" s="151" t="s">
        <v>4897</v>
      </c>
      <c r="I3088" s="151" t="s">
        <v>391</v>
      </c>
      <c r="J3088" s="151" t="s">
        <v>8011</v>
      </c>
      <c r="K3088" s="151">
        <f t="shared" si="78"/>
        <v>650000000001824</v>
      </c>
      <c r="L3088" s="151" t="s">
        <v>9021</v>
      </c>
    </row>
    <row r="3089" spans="8:12" x14ac:dyDescent="0.25">
      <c r="H3089" s="151" t="s">
        <v>4898</v>
      </c>
      <c r="I3089" s="151" t="s">
        <v>6962</v>
      </c>
      <c r="J3089" s="151" t="s">
        <v>6962</v>
      </c>
      <c r="K3089" s="151">
        <f t="shared" si="78"/>
        <v>0</v>
      </c>
      <c r="L3089" s="151" t="s">
        <v>9021</v>
      </c>
    </row>
    <row r="3090" spans="8:12" x14ac:dyDescent="0.25">
      <c r="H3090" s="151" t="s">
        <v>4898</v>
      </c>
      <c r="I3090" s="151" t="s">
        <v>391</v>
      </c>
      <c r="J3090" s="151" t="s">
        <v>8012</v>
      </c>
      <c r="K3090" s="151">
        <f t="shared" si="78"/>
        <v>650000000001825</v>
      </c>
      <c r="L3090" s="151" t="s">
        <v>9021</v>
      </c>
    </row>
    <row r="3091" spans="8:12" x14ac:dyDescent="0.25">
      <c r="H3091" s="151" t="s">
        <v>4899</v>
      </c>
      <c r="I3091" s="151" t="s">
        <v>6962</v>
      </c>
      <c r="J3091" s="151" t="s">
        <v>6962</v>
      </c>
      <c r="K3091" s="151">
        <f t="shared" si="78"/>
        <v>0</v>
      </c>
      <c r="L3091" s="151" t="s">
        <v>9021</v>
      </c>
    </row>
    <row r="3092" spans="8:12" x14ac:dyDescent="0.25">
      <c r="H3092" s="151" t="s">
        <v>4899</v>
      </c>
      <c r="I3092" s="151" t="s">
        <v>391</v>
      </c>
      <c r="J3092" s="151" t="s">
        <v>8013</v>
      </c>
      <c r="K3092" s="151">
        <f t="shared" si="78"/>
        <v>650000000001826</v>
      </c>
      <c r="L3092" s="151" t="s">
        <v>9021</v>
      </c>
    </row>
    <row r="3093" spans="8:12" x14ac:dyDescent="0.25">
      <c r="H3093" s="151" t="s">
        <v>4900</v>
      </c>
      <c r="I3093" s="151" t="s">
        <v>6962</v>
      </c>
      <c r="J3093" s="151" t="s">
        <v>6962</v>
      </c>
      <c r="K3093" s="151">
        <f t="shared" si="78"/>
        <v>0</v>
      </c>
      <c r="L3093" s="151" t="s">
        <v>9021</v>
      </c>
    </row>
    <row r="3094" spans="8:12" x14ac:dyDescent="0.25">
      <c r="H3094" s="151" t="s">
        <v>4900</v>
      </c>
      <c r="I3094" s="151" t="s">
        <v>391</v>
      </c>
      <c r="J3094" s="151" t="s">
        <v>8014</v>
      </c>
      <c r="K3094" s="151">
        <f t="shared" si="78"/>
        <v>650000000001827</v>
      </c>
      <c r="L3094" s="151" t="s">
        <v>9021</v>
      </c>
    </row>
    <row r="3095" spans="8:12" x14ac:dyDescent="0.25">
      <c r="H3095" s="151" t="s">
        <v>4901</v>
      </c>
      <c r="I3095" s="151" t="s">
        <v>6962</v>
      </c>
      <c r="J3095" s="151" t="s">
        <v>6962</v>
      </c>
      <c r="K3095" s="151">
        <f t="shared" si="78"/>
        <v>0</v>
      </c>
      <c r="L3095" s="151" t="s">
        <v>9021</v>
      </c>
    </row>
    <row r="3096" spans="8:12" x14ac:dyDescent="0.25">
      <c r="H3096" s="151" t="s">
        <v>4901</v>
      </c>
      <c r="I3096" s="151" t="s">
        <v>391</v>
      </c>
      <c r="J3096" s="151" t="s">
        <v>8015</v>
      </c>
      <c r="K3096" s="151">
        <f t="shared" si="78"/>
        <v>650000000001828</v>
      </c>
      <c r="L3096" s="151" t="s">
        <v>9021</v>
      </c>
    </row>
    <row r="3097" spans="8:12" x14ac:dyDescent="0.25">
      <c r="H3097" s="151" t="s">
        <v>6884</v>
      </c>
      <c r="I3097" s="151" t="s">
        <v>6962</v>
      </c>
      <c r="J3097" s="151" t="s">
        <v>6962</v>
      </c>
      <c r="K3097" s="151">
        <f t="shared" si="78"/>
        <v>0</v>
      </c>
      <c r="L3097" s="151" t="s">
        <v>9021</v>
      </c>
    </row>
    <row r="3098" spans="8:12" x14ac:dyDescent="0.25">
      <c r="H3098" s="151" t="s">
        <v>4902</v>
      </c>
      <c r="I3098" s="151" t="s">
        <v>6962</v>
      </c>
      <c r="J3098" s="151" t="s">
        <v>6962</v>
      </c>
      <c r="K3098" s="151">
        <f t="shared" si="78"/>
        <v>0</v>
      </c>
      <c r="L3098" s="151" t="s">
        <v>9021</v>
      </c>
    </row>
    <row r="3099" spans="8:12" x14ac:dyDescent="0.25">
      <c r="H3099" s="151" t="s">
        <v>4902</v>
      </c>
      <c r="I3099" s="151" t="s">
        <v>391</v>
      </c>
      <c r="J3099" s="151" t="s">
        <v>8016</v>
      </c>
      <c r="K3099" s="151">
        <f t="shared" si="78"/>
        <v>650000000000799</v>
      </c>
      <c r="L3099" s="151" t="s">
        <v>9021</v>
      </c>
    </row>
    <row r="3100" spans="8:12" x14ac:dyDescent="0.25">
      <c r="H3100" s="151" t="s">
        <v>4903</v>
      </c>
      <c r="I3100" s="151" t="s">
        <v>6962</v>
      </c>
      <c r="J3100" s="151" t="s">
        <v>6962</v>
      </c>
      <c r="K3100" s="151">
        <f t="shared" si="78"/>
        <v>0</v>
      </c>
      <c r="L3100" s="151" t="s">
        <v>9021</v>
      </c>
    </row>
    <row r="3101" spans="8:12" x14ac:dyDescent="0.25">
      <c r="H3101" s="151" t="s">
        <v>4903</v>
      </c>
      <c r="I3101" s="151" t="s">
        <v>391</v>
      </c>
      <c r="J3101" s="151" t="s">
        <v>8017</v>
      </c>
      <c r="K3101" s="151">
        <f t="shared" si="78"/>
        <v>650000000001829</v>
      </c>
      <c r="L3101" s="151" t="s">
        <v>9021</v>
      </c>
    </row>
    <row r="3102" spans="8:12" x14ac:dyDescent="0.25">
      <c r="H3102" s="151" t="s">
        <v>4904</v>
      </c>
      <c r="I3102" s="151" t="s">
        <v>6962</v>
      </c>
      <c r="J3102" s="151" t="s">
        <v>6962</v>
      </c>
      <c r="K3102" s="151">
        <f t="shared" si="78"/>
        <v>0</v>
      </c>
      <c r="L3102" s="151" t="s">
        <v>9021</v>
      </c>
    </row>
    <row r="3103" spans="8:12" x14ac:dyDescent="0.25">
      <c r="H3103" s="151" t="s">
        <v>4904</v>
      </c>
      <c r="I3103" s="151" t="s">
        <v>391</v>
      </c>
      <c r="J3103" s="151" t="s">
        <v>8018</v>
      </c>
      <c r="K3103" s="151">
        <f t="shared" si="78"/>
        <v>650000000000800</v>
      </c>
      <c r="L3103" s="151" t="s">
        <v>9021</v>
      </c>
    </row>
    <row r="3104" spans="8:12" x14ac:dyDescent="0.25">
      <c r="H3104" s="151" t="s">
        <v>4905</v>
      </c>
      <c r="I3104" s="151" t="s">
        <v>6962</v>
      </c>
      <c r="J3104" s="151" t="s">
        <v>6962</v>
      </c>
      <c r="K3104" s="151">
        <f t="shared" si="78"/>
        <v>0</v>
      </c>
      <c r="L3104" s="151" t="s">
        <v>9021</v>
      </c>
    </row>
    <row r="3105" spans="8:12" x14ac:dyDescent="0.25">
      <c r="H3105" s="151" t="s">
        <v>4905</v>
      </c>
      <c r="I3105" s="151" t="s">
        <v>391</v>
      </c>
      <c r="J3105" s="151" t="s">
        <v>8019</v>
      </c>
      <c r="K3105" s="151">
        <f t="shared" si="78"/>
        <v>650000000001830</v>
      </c>
      <c r="L3105" s="151" t="s">
        <v>9021</v>
      </c>
    </row>
    <row r="3106" spans="8:12" x14ac:dyDescent="0.25">
      <c r="H3106" s="151" t="s">
        <v>6885</v>
      </c>
      <c r="I3106" s="151" t="s">
        <v>6962</v>
      </c>
      <c r="J3106" s="151" t="s">
        <v>6962</v>
      </c>
      <c r="K3106" s="151">
        <f t="shared" si="78"/>
        <v>0</v>
      </c>
      <c r="L3106" s="151" t="s">
        <v>9021</v>
      </c>
    </row>
    <row r="3107" spans="8:12" x14ac:dyDescent="0.25">
      <c r="H3107" s="151" t="s">
        <v>4906</v>
      </c>
      <c r="I3107" s="151" t="s">
        <v>6962</v>
      </c>
      <c r="J3107" s="151" t="s">
        <v>6962</v>
      </c>
      <c r="K3107" s="151">
        <f t="shared" si="78"/>
        <v>0</v>
      </c>
      <c r="L3107" s="151" t="s">
        <v>9021</v>
      </c>
    </row>
    <row r="3108" spans="8:12" x14ac:dyDescent="0.25">
      <c r="H3108" s="151" t="s">
        <v>4906</v>
      </c>
      <c r="I3108" s="151" t="s">
        <v>391</v>
      </c>
      <c r="J3108" s="151" t="s">
        <v>8020</v>
      </c>
      <c r="K3108" s="151">
        <f t="shared" si="78"/>
        <v>650000000000801</v>
      </c>
      <c r="L3108" s="151" t="s">
        <v>9021</v>
      </c>
    </row>
    <row r="3109" spans="8:12" x14ac:dyDescent="0.25">
      <c r="H3109" s="151" t="s">
        <v>4907</v>
      </c>
      <c r="I3109" s="151" t="s">
        <v>6962</v>
      </c>
      <c r="J3109" s="151" t="s">
        <v>6962</v>
      </c>
      <c r="K3109" s="151">
        <f t="shared" si="78"/>
        <v>0</v>
      </c>
      <c r="L3109" s="151" t="s">
        <v>9021</v>
      </c>
    </row>
    <row r="3110" spans="8:12" x14ac:dyDescent="0.25">
      <c r="H3110" s="151" t="s">
        <v>4907</v>
      </c>
      <c r="I3110" s="151" t="s">
        <v>391</v>
      </c>
      <c r="J3110" s="151" t="s">
        <v>8021</v>
      </c>
      <c r="K3110" s="151">
        <f t="shared" si="78"/>
        <v>650000000000802</v>
      </c>
      <c r="L3110" s="151" t="s">
        <v>9021</v>
      </c>
    </row>
    <row r="3111" spans="8:12" x14ac:dyDescent="0.25">
      <c r="H3111" s="151" t="s">
        <v>4908</v>
      </c>
      <c r="I3111" s="151" t="s">
        <v>6962</v>
      </c>
      <c r="J3111" s="151" t="s">
        <v>6962</v>
      </c>
      <c r="K3111" s="151">
        <f t="shared" si="78"/>
        <v>0</v>
      </c>
      <c r="L3111" s="151" t="s">
        <v>9021</v>
      </c>
    </row>
    <row r="3112" spans="8:12" x14ac:dyDescent="0.25">
      <c r="H3112" s="151" t="s">
        <v>4908</v>
      </c>
      <c r="I3112" s="151" t="s">
        <v>391</v>
      </c>
      <c r="J3112" s="151" t="s">
        <v>8022</v>
      </c>
      <c r="K3112" s="151">
        <f t="shared" si="78"/>
        <v>650000000000803</v>
      </c>
      <c r="L3112" s="151" t="s">
        <v>9021</v>
      </c>
    </row>
    <row r="3113" spans="8:12" x14ac:dyDescent="0.25">
      <c r="H3113" s="151" t="s">
        <v>4909</v>
      </c>
      <c r="I3113" s="151" t="s">
        <v>6962</v>
      </c>
      <c r="J3113" s="151" t="s">
        <v>6962</v>
      </c>
      <c r="K3113" s="151">
        <f t="shared" si="78"/>
        <v>0</v>
      </c>
      <c r="L3113" s="151" t="s">
        <v>9021</v>
      </c>
    </row>
    <row r="3114" spans="8:12" x14ac:dyDescent="0.25">
      <c r="H3114" s="151" t="s">
        <v>4909</v>
      </c>
      <c r="I3114" s="151" t="s">
        <v>391</v>
      </c>
      <c r="J3114" s="151" t="s">
        <v>8023</v>
      </c>
      <c r="K3114" s="151">
        <f t="shared" si="78"/>
        <v>650000000001831</v>
      </c>
      <c r="L3114" s="151" t="s">
        <v>9021</v>
      </c>
    </row>
    <row r="3115" spans="8:12" x14ac:dyDescent="0.25">
      <c r="H3115" s="151" t="s">
        <v>4910</v>
      </c>
      <c r="I3115" s="151" t="s">
        <v>6962</v>
      </c>
      <c r="J3115" s="151" t="s">
        <v>6962</v>
      </c>
      <c r="K3115" s="151">
        <f t="shared" si="78"/>
        <v>0</v>
      </c>
      <c r="L3115" s="151" t="s">
        <v>9021</v>
      </c>
    </row>
    <row r="3116" spans="8:12" x14ac:dyDescent="0.25">
      <c r="H3116" s="151" t="s">
        <v>4910</v>
      </c>
      <c r="I3116" s="151" t="s">
        <v>391</v>
      </c>
      <c r="J3116" s="151" t="s">
        <v>8024</v>
      </c>
      <c r="K3116" s="151">
        <f t="shared" si="78"/>
        <v>650000000000804</v>
      </c>
      <c r="L3116" s="151" t="s">
        <v>9021</v>
      </c>
    </row>
    <row r="3117" spans="8:12" x14ac:dyDescent="0.25">
      <c r="H3117" s="151" t="s">
        <v>4911</v>
      </c>
      <c r="I3117" s="151" t="s">
        <v>6962</v>
      </c>
      <c r="J3117" s="151" t="s">
        <v>6962</v>
      </c>
      <c r="K3117" s="151">
        <f t="shared" si="78"/>
        <v>0</v>
      </c>
      <c r="L3117" s="151" t="s">
        <v>9021</v>
      </c>
    </row>
    <row r="3118" spans="8:12" x14ac:dyDescent="0.25">
      <c r="H3118" s="151" t="s">
        <v>4911</v>
      </c>
      <c r="I3118" s="151" t="s">
        <v>391</v>
      </c>
      <c r="J3118" s="151" t="s">
        <v>8025</v>
      </c>
      <c r="K3118" s="151">
        <f t="shared" si="78"/>
        <v>650000000001832</v>
      </c>
      <c r="L3118" s="151" t="s">
        <v>9021</v>
      </c>
    </row>
    <row r="3119" spans="8:12" x14ac:dyDescent="0.25">
      <c r="H3119" s="151" t="s">
        <v>4912</v>
      </c>
      <c r="I3119" s="151" t="s">
        <v>6962</v>
      </c>
      <c r="J3119" s="151" t="s">
        <v>6962</v>
      </c>
      <c r="K3119" s="151">
        <f t="shared" si="78"/>
        <v>0</v>
      </c>
      <c r="L3119" s="151" t="s">
        <v>9021</v>
      </c>
    </row>
    <row r="3120" spans="8:12" x14ac:dyDescent="0.25">
      <c r="H3120" s="151" t="s">
        <v>4912</v>
      </c>
      <c r="I3120" s="151" t="s">
        <v>391</v>
      </c>
      <c r="J3120" s="151" t="s">
        <v>8026</v>
      </c>
      <c r="K3120" s="151">
        <f t="shared" si="78"/>
        <v>650000000000805</v>
      </c>
      <c r="L3120" s="151" t="s">
        <v>9021</v>
      </c>
    </row>
    <row r="3121" spans="8:12" x14ac:dyDescent="0.25">
      <c r="H3121" s="151" t="s">
        <v>4913</v>
      </c>
      <c r="I3121" s="151" t="s">
        <v>6962</v>
      </c>
      <c r="J3121" s="151" t="s">
        <v>6962</v>
      </c>
      <c r="K3121" s="151">
        <f t="shared" si="78"/>
        <v>0</v>
      </c>
      <c r="L3121" s="151" t="s">
        <v>9021</v>
      </c>
    </row>
    <row r="3122" spans="8:12" x14ac:dyDescent="0.25">
      <c r="H3122" s="151" t="s">
        <v>4913</v>
      </c>
      <c r="I3122" s="151" t="s">
        <v>391</v>
      </c>
      <c r="J3122" s="151" t="s">
        <v>8027</v>
      </c>
      <c r="K3122" s="151">
        <f t="shared" si="78"/>
        <v>650000000000806</v>
      </c>
      <c r="L3122" s="151" t="s">
        <v>9021</v>
      </c>
    </row>
    <row r="3123" spans="8:12" x14ac:dyDescent="0.25">
      <c r="H3123" s="151" t="s">
        <v>4914</v>
      </c>
      <c r="I3123" s="151" t="s">
        <v>6962</v>
      </c>
      <c r="J3123" s="151" t="s">
        <v>6962</v>
      </c>
      <c r="K3123" s="151">
        <f t="shared" si="78"/>
        <v>0</v>
      </c>
      <c r="L3123" s="151" t="s">
        <v>9021</v>
      </c>
    </row>
    <row r="3124" spans="8:12" x14ac:dyDescent="0.25">
      <c r="H3124" s="151" t="s">
        <v>4914</v>
      </c>
      <c r="I3124" s="151" t="s">
        <v>391</v>
      </c>
      <c r="J3124" s="151" t="s">
        <v>8028</v>
      </c>
      <c r="K3124" s="151">
        <f t="shared" si="78"/>
        <v>650000000001833</v>
      </c>
      <c r="L3124" s="151" t="s">
        <v>9021</v>
      </c>
    </row>
    <row r="3125" spans="8:12" x14ac:dyDescent="0.25">
      <c r="H3125" s="151" t="s">
        <v>4915</v>
      </c>
      <c r="I3125" s="151" t="s">
        <v>6962</v>
      </c>
      <c r="J3125" s="151" t="s">
        <v>6962</v>
      </c>
      <c r="K3125" s="151">
        <f t="shared" si="78"/>
        <v>0</v>
      </c>
      <c r="L3125" s="151" t="s">
        <v>9021</v>
      </c>
    </row>
    <row r="3126" spans="8:12" x14ac:dyDescent="0.25">
      <c r="H3126" s="151" t="s">
        <v>4915</v>
      </c>
      <c r="I3126" s="151" t="s">
        <v>391</v>
      </c>
      <c r="J3126" s="151" t="s">
        <v>8029</v>
      </c>
      <c r="K3126" s="151">
        <f t="shared" si="78"/>
        <v>650000000001834</v>
      </c>
      <c r="L3126" s="151" t="s">
        <v>9021</v>
      </c>
    </row>
    <row r="3127" spans="8:12" x14ac:dyDescent="0.25">
      <c r="H3127" s="151" t="s">
        <v>4916</v>
      </c>
      <c r="I3127" s="151" t="s">
        <v>6962</v>
      </c>
      <c r="J3127" s="151" t="s">
        <v>6962</v>
      </c>
      <c r="K3127" s="151">
        <f t="shared" si="78"/>
        <v>0</v>
      </c>
      <c r="L3127" s="151" t="s">
        <v>9021</v>
      </c>
    </row>
    <row r="3128" spans="8:12" x14ac:dyDescent="0.25">
      <c r="H3128" s="151" t="s">
        <v>4916</v>
      </c>
      <c r="I3128" s="151" t="s">
        <v>391</v>
      </c>
      <c r="J3128" s="151" t="s">
        <v>8030</v>
      </c>
      <c r="K3128" s="151">
        <f t="shared" si="78"/>
        <v>650000000001835</v>
      </c>
      <c r="L3128" s="151" t="s">
        <v>9021</v>
      </c>
    </row>
    <row r="3129" spans="8:12" x14ac:dyDescent="0.25">
      <c r="H3129" s="151" t="s">
        <v>4917</v>
      </c>
      <c r="I3129" s="151" t="s">
        <v>6962</v>
      </c>
      <c r="J3129" s="151" t="s">
        <v>6962</v>
      </c>
      <c r="K3129" s="151">
        <f t="shared" si="78"/>
        <v>0</v>
      </c>
      <c r="L3129" s="151" t="s">
        <v>9021</v>
      </c>
    </row>
    <row r="3130" spans="8:12" x14ac:dyDescent="0.25">
      <c r="H3130" s="151" t="s">
        <v>4917</v>
      </c>
      <c r="I3130" s="151" t="s">
        <v>391</v>
      </c>
      <c r="J3130" s="151" t="s">
        <v>8031</v>
      </c>
      <c r="K3130" s="151">
        <f t="shared" si="78"/>
        <v>650000000000807</v>
      </c>
      <c r="L3130" s="151" t="s">
        <v>9021</v>
      </c>
    </row>
    <row r="3131" spans="8:12" x14ac:dyDescent="0.25">
      <c r="H3131" s="151" t="s">
        <v>4918</v>
      </c>
      <c r="I3131" s="151" t="s">
        <v>6962</v>
      </c>
      <c r="J3131" s="151" t="s">
        <v>6962</v>
      </c>
      <c r="K3131" s="151">
        <f t="shared" si="78"/>
        <v>0</v>
      </c>
      <c r="L3131" s="151" t="s">
        <v>9021</v>
      </c>
    </row>
    <row r="3132" spans="8:12" x14ac:dyDescent="0.25">
      <c r="H3132" s="151" t="s">
        <v>4918</v>
      </c>
      <c r="I3132" s="151" t="s">
        <v>391</v>
      </c>
      <c r="J3132" s="151" t="s">
        <v>8032</v>
      </c>
      <c r="K3132" s="151">
        <f t="shared" si="78"/>
        <v>650000000000808</v>
      </c>
      <c r="L3132" s="151" t="s">
        <v>9021</v>
      </c>
    </row>
    <row r="3133" spans="8:12" x14ac:dyDescent="0.25">
      <c r="H3133" s="151" t="s">
        <v>4919</v>
      </c>
      <c r="I3133" s="151" t="s">
        <v>6962</v>
      </c>
      <c r="J3133" s="151" t="s">
        <v>6962</v>
      </c>
      <c r="K3133" s="151">
        <f t="shared" si="78"/>
        <v>0</v>
      </c>
      <c r="L3133" s="151" t="s">
        <v>9021</v>
      </c>
    </row>
    <row r="3134" spans="8:12" x14ac:dyDescent="0.25">
      <c r="H3134" s="151" t="s">
        <v>4919</v>
      </c>
      <c r="I3134" s="151" t="s">
        <v>391</v>
      </c>
      <c r="J3134" s="151" t="s">
        <v>8033</v>
      </c>
      <c r="K3134" s="151">
        <f t="shared" si="78"/>
        <v>650000000000809</v>
      </c>
      <c r="L3134" s="151" t="s">
        <v>9021</v>
      </c>
    </row>
    <row r="3135" spans="8:12" x14ac:dyDescent="0.25">
      <c r="H3135" s="151" t="s">
        <v>4920</v>
      </c>
      <c r="I3135" s="151" t="s">
        <v>6962</v>
      </c>
      <c r="J3135" s="151" t="s">
        <v>6962</v>
      </c>
      <c r="K3135" s="151">
        <f t="shared" si="78"/>
        <v>0</v>
      </c>
      <c r="L3135" s="151" t="s">
        <v>9021</v>
      </c>
    </row>
    <row r="3136" spans="8:12" x14ac:dyDescent="0.25">
      <c r="H3136" s="151" t="s">
        <v>4920</v>
      </c>
      <c r="I3136" s="151" t="s">
        <v>391</v>
      </c>
      <c r="J3136" s="151" t="s">
        <v>8034</v>
      </c>
      <c r="K3136" s="151">
        <f t="shared" si="78"/>
        <v>650000000000810</v>
      </c>
      <c r="L3136" s="151" t="s">
        <v>9021</v>
      </c>
    </row>
    <row r="3137" spans="8:12" x14ac:dyDescent="0.25">
      <c r="H3137" s="151" t="s">
        <v>4921</v>
      </c>
      <c r="I3137" s="151" t="s">
        <v>6962</v>
      </c>
      <c r="J3137" s="151" t="s">
        <v>6962</v>
      </c>
      <c r="K3137" s="151">
        <f t="shared" si="78"/>
        <v>0</v>
      </c>
      <c r="L3137" s="151" t="s">
        <v>9021</v>
      </c>
    </row>
    <row r="3138" spans="8:12" x14ac:dyDescent="0.25">
      <c r="H3138" s="151" t="s">
        <v>4921</v>
      </c>
      <c r="I3138" s="151" t="s">
        <v>391</v>
      </c>
      <c r="J3138" s="151" t="s">
        <v>8035</v>
      </c>
      <c r="K3138" s="151">
        <f t="shared" si="78"/>
        <v>650000000001836</v>
      </c>
      <c r="L3138" s="151" t="s">
        <v>9021</v>
      </c>
    </row>
    <row r="3139" spans="8:12" x14ac:dyDescent="0.25">
      <c r="H3139" s="151" t="s">
        <v>4922</v>
      </c>
      <c r="I3139" s="151" t="s">
        <v>6962</v>
      </c>
      <c r="J3139" s="151" t="s">
        <v>6962</v>
      </c>
      <c r="K3139" s="151">
        <f t="shared" ref="K3139:K3202" si="79">+IFERROR(J3139*1,0)</f>
        <v>0</v>
      </c>
      <c r="L3139" s="151" t="s">
        <v>9021</v>
      </c>
    </row>
    <row r="3140" spans="8:12" x14ac:dyDescent="0.25">
      <c r="H3140" s="151" t="s">
        <v>4922</v>
      </c>
      <c r="I3140" s="151" t="s">
        <v>391</v>
      </c>
      <c r="J3140" s="151" t="s">
        <v>8036</v>
      </c>
      <c r="K3140" s="151">
        <f t="shared" si="79"/>
        <v>650000000000811</v>
      </c>
      <c r="L3140" s="151" t="s">
        <v>9021</v>
      </c>
    </row>
    <row r="3141" spans="8:12" x14ac:dyDescent="0.25">
      <c r="H3141" s="151" t="s">
        <v>4923</v>
      </c>
      <c r="I3141" s="151" t="s">
        <v>6962</v>
      </c>
      <c r="J3141" s="151" t="s">
        <v>6962</v>
      </c>
      <c r="K3141" s="151">
        <f t="shared" si="79"/>
        <v>0</v>
      </c>
      <c r="L3141" s="151" t="s">
        <v>9021</v>
      </c>
    </row>
    <row r="3142" spans="8:12" x14ac:dyDescent="0.25">
      <c r="H3142" s="151" t="s">
        <v>4923</v>
      </c>
      <c r="I3142" s="151" t="s">
        <v>391</v>
      </c>
      <c r="J3142" s="151" t="s">
        <v>8037</v>
      </c>
      <c r="K3142" s="151">
        <f t="shared" si="79"/>
        <v>650000000001837</v>
      </c>
      <c r="L3142" s="151" t="s">
        <v>9021</v>
      </c>
    </row>
    <row r="3143" spans="8:12" x14ac:dyDescent="0.25">
      <c r="H3143" s="151" t="s">
        <v>4924</v>
      </c>
      <c r="I3143" s="151" t="s">
        <v>6962</v>
      </c>
      <c r="J3143" s="151" t="s">
        <v>6962</v>
      </c>
      <c r="K3143" s="151">
        <f t="shared" si="79"/>
        <v>0</v>
      </c>
      <c r="L3143" s="151" t="s">
        <v>9021</v>
      </c>
    </row>
    <row r="3144" spans="8:12" x14ac:dyDescent="0.25">
      <c r="H3144" s="151" t="s">
        <v>4924</v>
      </c>
      <c r="I3144" s="151" t="s">
        <v>391</v>
      </c>
      <c r="J3144" s="151" t="s">
        <v>8038</v>
      </c>
      <c r="K3144" s="151">
        <f t="shared" si="79"/>
        <v>650000000000812</v>
      </c>
      <c r="L3144" s="151" t="s">
        <v>9021</v>
      </c>
    </row>
    <row r="3145" spans="8:12" x14ac:dyDescent="0.25">
      <c r="H3145" s="151" t="s">
        <v>6886</v>
      </c>
      <c r="I3145" s="151" t="s">
        <v>6962</v>
      </c>
      <c r="J3145" s="151" t="s">
        <v>6962</v>
      </c>
      <c r="K3145" s="151">
        <f t="shared" si="79"/>
        <v>0</v>
      </c>
      <c r="L3145" s="151" t="s">
        <v>9021</v>
      </c>
    </row>
    <row r="3146" spans="8:12" x14ac:dyDescent="0.25">
      <c r="H3146" s="151" t="s">
        <v>4925</v>
      </c>
      <c r="I3146" s="151" t="s">
        <v>6962</v>
      </c>
      <c r="J3146" s="151" t="s">
        <v>6962</v>
      </c>
      <c r="K3146" s="151">
        <f t="shared" si="79"/>
        <v>0</v>
      </c>
      <c r="L3146" s="151" t="s">
        <v>9021</v>
      </c>
    </row>
    <row r="3147" spans="8:12" x14ac:dyDescent="0.25">
      <c r="H3147" s="151" t="s">
        <v>4925</v>
      </c>
      <c r="I3147" s="151" t="s">
        <v>391</v>
      </c>
      <c r="J3147" s="151" t="s">
        <v>8039</v>
      </c>
      <c r="K3147" s="151">
        <f t="shared" si="79"/>
        <v>650000000000813</v>
      </c>
      <c r="L3147" s="151" t="s">
        <v>9021</v>
      </c>
    </row>
    <row r="3148" spans="8:12" x14ac:dyDescent="0.25">
      <c r="H3148" s="151" t="s">
        <v>4926</v>
      </c>
      <c r="I3148" s="151" t="s">
        <v>6962</v>
      </c>
      <c r="J3148" s="151" t="s">
        <v>6962</v>
      </c>
      <c r="K3148" s="151">
        <f t="shared" si="79"/>
        <v>0</v>
      </c>
      <c r="L3148" s="151" t="s">
        <v>9021</v>
      </c>
    </row>
    <row r="3149" spans="8:12" x14ac:dyDescent="0.25">
      <c r="H3149" s="151" t="s">
        <v>4926</v>
      </c>
      <c r="I3149" s="151" t="s">
        <v>391</v>
      </c>
      <c r="J3149" s="151" t="s">
        <v>8040</v>
      </c>
      <c r="K3149" s="151">
        <f t="shared" si="79"/>
        <v>650000000000814</v>
      </c>
      <c r="L3149" s="151" t="s">
        <v>9021</v>
      </c>
    </row>
    <row r="3150" spans="8:12" x14ac:dyDescent="0.25">
      <c r="H3150" s="151" t="s">
        <v>4927</v>
      </c>
      <c r="I3150" s="151" t="s">
        <v>6962</v>
      </c>
      <c r="J3150" s="151" t="s">
        <v>6962</v>
      </c>
      <c r="K3150" s="151">
        <f t="shared" si="79"/>
        <v>0</v>
      </c>
      <c r="L3150" s="151" t="s">
        <v>9021</v>
      </c>
    </row>
    <row r="3151" spans="8:12" x14ac:dyDescent="0.25">
      <c r="H3151" s="151" t="s">
        <v>4927</v>
      </c>
      <c r="I3151" s="151" t="s">
        <v>391</v>
      </c>
      <c r="J3151" s="151" t="s">
        <v>8041</v>
      </c>
      <c r="K3151" s="151">
        <f t="shared" si="79"/>
        <v>650000000001838</v>
      </c>
      <c r="L3151" s="151" t="s">
        <v>9021</v>
      </c>
    </row>
    <row r="3152" spans="8:12" x14ac:dyDescent="0.25">
      <c r="H3152" s="151" t="s">
        <v>4928</v>
      </c>
      <c r="I3152" s="151" t="s">
        <v>6962</v>
      </c>
      <c r="J3152" s="151" t="s">
        <v>6962</v>
      </c>
      <c r="K3152" s="151">
        <f t="shared" si="79"/>
        <v>0</v>
      </c>
      <c r="L3152" s="151" t="s">
        <v>9021</v>
      </c>
    </row>
    <row r="3153" spans="8:12" x14ac:dyDescent="0.25">
      <c r="H3153" s="151" t="s">
        <v>4928</v>
      </c>
      <c r="I3153" s="151" t="s">
        <v>391</v>
      </c>
      <c r="J3153" s="151" t="s">
        <v>8042</v>
      </c>
      <c r="K3153" s="151">
        <f t="shared" si="79"/>
        <v>650000000001839</v>
      </c>
      <c r="L3153" s="151" t="s">
        <v>9021</v>
      </c>
    </row>
    <row r="3154" spans="8:12" x14ac:dyDescent="0.25">
      <c r="H3154" s="151" t="s">
        <v>4929</v>
      </c>
      <c r="I3154" s="151" t="s">
        <v>6962</v>
      </c>
      <c r="J3154" s="151" t="s">
        <v>6962</v>
      </c>
      <c r="K3154" s="151">
        <f t="shared" si="79"/>
        <v>0</v>
      </c>
      <c r="L3154" s="151" t="s">
        <v>9021</v>
      </c>
    </row>
    <row r="3155" spans="8:12" x14ac:dyDescent="0.25">
      <c r="H3155" s="151" t="s">
        <v>4929</v>
      </c>
      <c r="I3155" s="151" t="s">
        <v>391</v>
      </c>
      <c r="J3155" s="151" t="s">
        <v>8043</v>
      </c>
      <c r="K3155" s="151">
        <f t="shared" si="79"/>
        <v>650000000001840</v>
      </c>
      <c r="L3155" s="151" t="s">
        <v>9021</v>
      </c>
    </row>
    <row r="3156" spans="8:12" x14ac:dyDescent="0.25">
      <c r="H3156" s="151" t="s">
        <v>4930</v>
      </c>
      <c r="I3156" s="151" t="s">
        <v>6962</v>
      </c>
      <c r="J3156" s="151" t="s">
        <v>6962</v>
      </c>
      <c r="K3156" s="151">
        <f t="shared" si="79"/>
        <v>0</v>
      </c>
      <c r="L3156" s="151" t="s">
        <v>9021</v>
      </c>
    </row>
    <row r="3157" spans="8:12" x14ac:dyDescent="0.25">
      <c r="H3157" s="151" t="s">
        <v>4930</v>
      </c>
      <c r="I3157" s="151" t="s">
        <v>391</v>
      </c>
      <c r="J3157" s="151" t="s">
        <v>8044</v>
      </c>
      <c r="K3157" s="151">
        <f t="shared" si="79"/>
        <v>650000000001841</v>
      </c>
      <c r="L3157" s="151" t="s">
        <v>9021</v>
      </c>
    </row>
    <row r="3158" spans="8:12" x14ac:dyDescent="0.25">
      <c r="H3158" s="151" t="s">
        <v>4931</v>
      </c>
      <c r="I3158" s="151" t="s">
        <v>6962</v>
      </c>
      <c r="J3158" s="151" t="s">
        <v>6962</v>
      </c>
      <c r="K3158" s="151">
        <f t="shared" si="79"/>
        <v>0</v>
      </c>
      <c r="L3158" s="151" t="s">
        <v>9021</v>
      </c>
    </row>
    <row r="3159" spans="8:12" x14ac:dyDescent="0.25">
      <c r="H3159" s="151" t="s">
        <v>4931</v>
      </c>
      <c r="I3159" s="151" t="s">
        <v>391</v>
      </c>
      <c r="J3159" s="151" t="s">
        <v>8045</v>
      </c>
      <c r="K3159" s="151">
        <f t="shared" si="79"/>
        <v>650000000000815</v>
      </c>
      <c r="L3159" s="151" t="s">
        <v>9021</v>
      </c>
    </row>
    <row r="3160" spans="8:12" x14ac:dyDescent="0.25">
      <c r="H3160" s="151" t="s">
        <v>4932</v>
      </c>
      <c r="I3160" s="151" t="s">
        <v>6962</v>
      </c>
      <c r="J3160" s="151" t="s">
        <v>6962</v>
      </c>
      <c r="K3160" s="151">
        <f t="shared" si="79"/>
        <v>0</v>
      </c>
      <c r="L3160" s="151" t="s">
        <v>9021</v>
      </c>
    </row>
    <row r="3161" spans="8:12" x14ac:dyDescent="0.25">
      <c r="H3161" s="151" t="s">
        <v>4932</v>
      </c>
      <c r="I3161" s="151" t="s">
        <v>391</v>
      </c>
      <c r="J3161" s="151" t="s">
        <v>8046</v>
      </c>
      <c r="K3161" s="151">
        <f t="shared" si="79"/>
        <v>650000000000816</v>
      </c>
      <c r="L3161" s="151" t="s">
        <v>9021</v>
      </c>
    </row>
    <row r="3162" spans="8:12" x14ac:dyDescent="0.25">
      <c r="H3162" s="151" t="s">
        <v>4933</v>
      </c>
      <c r="I3162" s="151" t="s">
        <v>6962</v>
      </c>
      <c r="J3162" s="151" t="s">
        <v>6962</v>
      </c>
      <c r="K3162" s="151">
        <f t="shared" si="79"/>
        <v>0</v>
      </c>
      <c r="L3162" s="151" t="s">
        <v>9021</v>
      </c>
    </row>
    <row r="3163" spans="8:12" x14ac:dyDescent="0.25">
      <c r="H3163" s="151" t="s">
        <v>4933</v>
      </c>
      <c r="I3163" s="151" t="s">
        <v>391</v>
      </c>
      <c r="J3163" s="151" t="s">
        <v>8047</v>
      </c>
      <c r="K3163" s="151">
        <f t="shared" si="79"/>
        <v>650000000001842</v>
      </c>
      <c r="L3163" s="151" t="s">
        <v>9021</v>
      </c>
    </row>
    <row r="3164" spans="8:12" x14ac:dyDescent="0.25">
      <c r="H3164" s="151" t="s">
        <v>4934</v>
      </c>
      <c r="I3164" s="151" t="s">
        <v>6962</v>
      </c>
      <c r="J3164" s="151" t="s">
        <v>6962</v>
      </c>
      <c r="K3164" s="151">
        <f t="shared" si="79"/>
        <v>0</v>
      </c>
      <c r="L3164" s="151" t="s">
        <v>9021</v>
      </c>
    </row>
    <row r="3165" spans="8:12" x14ac:dyDescent="0.25">
      <c r="H3165" s="151" t="s">
        <v>4934</v>
      </c>
      <c r="I3165" s="151" t="s">
        <v>391</v>
      </c>
      <c r="J3165" s="151" t="s">
        <v>8048</v>
      </c>
      <c r="K3165" s="151">
        <f t="shared" si="79"/>
        <v>650000000001843</v>
      </c>
      <c r="L3165" s="151" t="s">
        <v>9021</v>
      </c>
    </row>
    <row r="3166" spans="8:12" x14ac:dyDescent="0.25">
      <c r="H3166" s="151" t="s">
        <v>4935</v>
      </c>
      <c r="I3166" s="151" t="s">
        <v>6962</v>
      </c>
      <c r="J3166" s="151" t="s">
        <v>6962</v>
      </c>
      <c r="K3166" s="151">
        <f t="shared" si="79"/>
        <v>0</v>
      </c>
      <c r="L3166" s="151" t="s">
        <v>9021</v>
      </c>
    </row>
    <row r="3167" spans="8:12" x14ac:dyDescent="0.25">
      <c r="H3167" s="151" t="s">
        <v>4935</v>
      </c>
      <c r="I3167" s="151" t="s">
        <v>391</v>
      </c>
      <c r="J3167" s="151" t="s">
        <v>8049</v>
      </c>
      <c r="K3167" s="151">
        <f t="shared" si="79"/>
        <v>650000000001844</v>
      </c>
      <c r="L3167" s="151" t="s">
        <v>9021</v>
      </c>
    </row>
    <row r="3168" spans="8:12" x14ac:dyDescent="0.25">
      <c r="H3168" s="151" t="s">
        <v>4936</v>
      </c>
      <c r="I3168" s="151" t="s">
        <v>6962</v>
      </c>
      <c r="J3168" s="151" t="s">
        <v>6962</v>
      </c>
      <c r="K3168" s="151">
        <f t="shared" si="79"/>
        <v>0</v>
      </c>
      <c r="L3168" s="151" t="s">
        <v>9021</v>
      </c>
    </row>
    <row r="3169" spans="8:12" x14ac:dyDescent="0.25">
      <c r="H3169" s="151" t="s">
        <v>4936</v>
      </c>
      <c r="I3169" s="151" t="s">
        <v>391</v>
      </c>
      <c r="J3169" s="151" t="s">
        <v>8050</v>
      </c>
      <c r="K3169" s="151">
        <f t="shared" si="79"/>
        <v>650000000001845</v>
      </c>
      <c r="L3169" s="151" t="s">
        <v>9021</v>
      </c>
    </row>
    <row r="3170" spans="8:12" x14ac:dyDescent="0.25">
      <c r="H3170" s="151" t="s">
        <v>4937</v>
      </c>
      <c r="I3170" s="151" t="s">
        <v>6962</v>
      </c>
      <c r="J3170" s="151" t="s">
        <v>6962</v>
      </c>
      <c r="K3170" s="151">
        <f t="shared" si="79"/>
        <v>0</v>
      </c>
      <c r="L3170" s="151" t="s">
        <v>9021</v>
      </c>
    </row>
    <row r="3171" spans="8:12" x14ac:dyDescent="0.25">
      <c r="H3171" s="151" t="s">
        <v>4937</v>
      </c>
      <c r="I3171" s="151" t="s">
        <v>391</v>
      </c>
      <c r="J3171" s="151" t="s">
        <v>8051</v>
      </c>
      <c r="K3171" s="151">
        <f t="shared" si="79"/>
        <v>650000000000817</v>
      </c>
      <c r="L3171" s="151" t="s">
        <v>9021</v>
      </c>
    </row>
    <row r="3172" spans="8:12" x14ac:dyDescent="0.25">
      <c r="H3172" s="151" t="s">
        <v>4938</v>
      </c>
      <c r="I3172" s="151" t="s">
        <v>6962</v>
      </c>
      <c r="J3172" s="151" t="s">
        <v>6962</v>
      </c>
      <c r="K3172" s="151">
        <f t="shared" si="79"/>
        <v>0</v>
      </c>
      <c r="L3172" s="151" t="s">
        <v>9026</v>
      </c>
    </row>
    <row r="3173" spans="8:12" x14ac:dyDescent="0.25">
      <c r="H3173" s="151" t="s">
        <v>4938</v>
      </c>
      <c r="I3173" s="151" t="s">
        <v>391</v>
      </c>
      <c r="J3173" s="151" t="s">
        <v>8052</v>
      </c>
      <c r="K3173" s="151">
        <f t="shared" si="79"/>
        <v>650000000001846</v>
      </c>
      <c r="L3173" s="151" t="s">
        <v>9026</v>
      </c>
    </row>
    <row r="3174" spans="8:12" x14ac:dyDescent="0.25">
      <c r="H3174" s="151" t="s">
        <v>4939</v>
      </c>
      <c r="I3174" s="151" t="s">
        <v>6962</v>
      </c>
      <c r="J3174" s="151" t="s">
        <v>6962</v>
      </c>
      <c r="K3174" s="151">
        <f t="shared" si="79"/>
        <v>0</v>
      </c>
      <c r="L3174" s="151" t="s">
        <v>9025</v>
      </c>
    </row>
    <row r="3175" spans="8:12" x14ac:dyDescent="0.25">
      <c r="H3175" s="151" t="s">
        <v>4939</v>
      </c>
      <c r="I3175" s="151" t="s">
        <v>391</v>
      </c>
      <c r="J3175" s="151" t="s">
        <v>8053</v>
      </c>
      <c r="K3175" s="151">
        <f t="shared" si="79"/>
        <v>650000000000818</v>
      </c>
      <c r="L3175" s="151" t="s">
        <v>9025</v>
      </c>
    </row>
    <row r="3176" spans="8:12" x14ac:dyDescent="0.25">
      <c r="H3176" s="151" t="s">
        <v>4940</v>
      </c>
      <c r="I3176" s="151" t="s">
        <v>6962</v>
      </c>
      <c r="J3176" s="151" t="s">
        <v>6962</v>
      </c>
      <c r="K3176" s="151">
        <f t="shared" si="79"/>
        <v>0</v>
      </c>
      <c r="L3176" s="151" t="s">
        <v>9021</v>
      </c>
    </row>
    <row r="3177" spans="8:12" x14ac:dyDescent="0.25">
      <c r="H3177" s="151" t="s">
        <v>4940</v>
      </c>
      <c r="I3177" s="151" t="s">
        <v>391</v>
      </c>
      <c r="J3177" s="151" t="s">
        <v>8054</v>
      </c>
      <c r="K3177" s="151">
        <f t="shared" si="79"/>
        <v>650000000001847</v>
      </c>
      <c r="L3177" s="151" t="s">
        <v>9021</v>
      </c>
    </row>
    <row r="3178" spans="8:12" x14ac:dyDescent="0.25">
      <c r="H3178" s="151" t="s">
        <v>4941</v>
      </c>
      <c r="I3178" s="151" t="s">
        <v>6962</v>
      </c>
      <c r="J3178" s="151" t="s">
        <v>6962</v>
      </c>
      <c r="K3178" s="151">
        <f t="shared" si="79"/>
        <v>0</v>
      </c>
      <c r="L3178" s="151" t="s">
        <v>9021</v>
      </c>
    </row>
    <row r="3179" spans="8:12" x14ac:dyDescent="0.25">
      <c r="H3179" s="151" t="s">
        <v>4941</v>
      </c>
      <c r="I3179" s="151" t="s">
        <v>391</v>
      </c>
      <c r="J3179" s="151" t="s">
        <v>8055</v>
      </c>
      <c r="K3179" s="151">
        <f t="shared" si="79"/>
        <v>650000000000819</v>
      </c>
      <c r="L3179" s="151" t="s">
        <v>9021</v>
      </c>
    </row>
    <row r="3180" spans="8:12" x14ac:dyDescent="0.25">
      <c r="H3180" s="151" t="s">
        <v>4942</v>
      </c>
      <c r="I3180" s="151" t="s">
        <v>6962</v>
      </c>
      <c r="J3180" s="151" t="s">
        <v>6962</v>
      </c>
      <c r="K3180" s="151">
        <f t="shared" si="79"/>
        <v>0</v>
      </c>
      <c r="L3180" s="151" t="s">
        <v>9021</v>
      </c>
    </row>
    <row r="3181" spans="8:12" x14ac:dyDescent="0.25">
      <c r="H3181" s="151" t="s">
        <v>4942</v>
      </c>
      <c r="I3181" s="151" t="s">
        <v>391</v>
      </c>
      <c r="J3181" s="151" t="s">
        <v>8056</v>
      </c>
      <c r="K3181" s="151">
        <f t="shared" si="79"/>
        <v>650000000001848</v>
      </c>
      <c r="L3181" s="151" t="s">
        <v>9021</v>
      </c>
    </row>
    <row r="3182" spans="8:12" x14ac:dyDescent="0.25">
      <c r="H3182" s="151" t="s">
        <v>4943</v>
      </c>
      <c r="I3182" s="151" t="s">
        <v>6962</v>
      </c>
      <c r="J3182" s="151" t="s">
        <v>6962</v>
      </c>
      <c r="K3182" s="151">
        <f t="shared" si="79"/>
        <v>0</v>
      </c>
      <c r="L3182" s="151" t="s">
        <v>9021</v>
      </c>
    </row>
    <row r="3183" spans="8:12" x14ac:dyDescent="0.25">
      <c r="H3183" s="151" t="s">
        <v>4943</v>
      </c>
      <c r="I3183" s="151" t="s">
        <v>391</v>
      </c>
      <c r="J3183" s="151" t="s">
        <v>8057</v>
      </c>
      <c r="K3183" s="151">
        <f t="shared" si="79"/>
        <v>650000000000820</v>
      </c>
      <c r="L3183" s="151" t="s">
        <v>9021</v>
      </c>
    </row>
    <row r="3184" spans="8:12" x14ac:dyDescent="0.25">
      <c r="H3184" s="151" t="s">
        <v>4944</v>
      </c>
      <c r="I3184" s="151" t="s">
        <v>6962</v>
      </c>
      <c r="J3184" s="151" t="s">
        <v>6962</v>
      </c>
      <c r="K3184" s="151">
        <f t="shared" si="79"/>
        <v>0</v>
      </c>
      <c r="L3184" s="151" t="s">
        <v>9021</v>
      </c>
    </row>
    <row r="3185" spans="8:12" x14ac:dyDescent="0.25">
      <c r="H3185" s="151" t="s">
        <v>4944</v>
      </c>
      <c r="I3185" s="151" t="s">
        <v>391</v>
      </c>
      <c r="J3185" s="151" t="s">
        <v>8058</v>
      </c>
      <c r="K3185" s="151">
        <f t="shared" si="79"/>
        <v>650000000001849</v>
      </c>
      <c r="L3185" s="151" t="s">
        <v>9021</v>
      </c>
    </row>
    <row r="3186" spans="8:12" x14ac:dyDescent="0.25">
      <c r="H3186" s="151" t="s">
        <v>6887</v>
      </c>
      <c r="I3186" s="151" t="s">
        <v>6962</v>
      </c>
      <c r="J3186" s="151" t="s">
        <v>6962</v>
      </c>
      <c r="K3186" s="151">
        <f t="shared" si="79"/>
        <v>0</v>
      </c>
      <c r="L3186" s="151" t="s">
        <v>9021</v>
      </c>
    </row>
    <row r="3187" spans="8:12" x14ac:dyDescent="0.25">
      <c r="H3187" s="151" t="s">
        <v>4945</v>
      </c>
      <c r="I3187" s="151" t="s">
        <v>6962</v>
      </c>
      <c r="J3187" s="151" t="s">
        <v>6962</v>
      </c>
      <c r="K3187" s="151">
        <f t="shared" si="79"/>
        <v>0</v>
      </c>
      <c r="L3187" s="151" t="s">
        <v>9021</v>
      </c>
    </row>
    <row r="3188" spans="8:12" x14ac:dyDescent="0.25">
      <c r="H3188" s="151" t="s">
        <v>4945</v>
      </c>
      <c r="I3188" s="151" t="s">
        <v>391</v>
      </c>
      <c r="J3188" s="151" t="s">
        <v>8059</v>
      </c>
      <c r="K3188" s="151">
        <f t="shared" si="79"/>
        <v>650000000001850</v>
      </c>
      <c r="L3188" s="151" t="s">
        <v>9021</v>
      </c>
    </row>
    <row r="3189" spans="8:12" x14ac:dyDescent="0.25">
      <c r="H3189" s="151" t="s">
        <v>4946</v>
      </c>
      <c r="I3189" s="151" t="s">
        <v>6962</v>
      </c>
      <c r="J3189" s="151" t="s">
        <v>6962</v>
      </c>
      <c r="K3189" s="151">
        <f t="shared" si="79"/>
        <v>0</v>
      </c>
      <c r="L3189" s="151" t="s">
        <v>9021</v>
      </c>
    </row>
    <row r="3190" spans="8:12" x14ac:dyDescent="0.25">
      <c r="H3190" s="151" t="s">
        <v>4946</v>
      </c>
      <c r="I3190" s="151" t="s">
        <v>391</v>
      </c>
      <c r="J3190" s="151" t="s">
        <v>8060</v>
      </c>
      <c r="K3190" s="151">
        <f t="shared" si="79"/>
        <v>650000000000821</v>
      </c>
      <c r="L3190" s="151" t="s">
        <v>9021</v>
      </c>
    </row>
    <row r="3191" spans="8:12" x14ac:dyDescent="0.25">
      <c r="H3191" s="151" t="s">
        <v>4947</v>
      </c>
      <c r="I3191" s="151" t="s">
        <v>6962</v>
      </c>
      <c r="J3191" s="151" t="s">
        <v>6962</v>
      </c>
      <c r="K3191" s="151">
        <f t="shared" si="79"/>
        <v>0</v>
      </c>
      <c r="L3191" s="151" t="s">
        <v>9026</v>
      </c>
    </row>
    <row r="3192" spans="8:12" x14ac:dyDescent="0.25">
      <c r="H3192" s="151" t="s">
        <v>4947</v>
      </c>
      <c r="I3192" s="151" t="s">
        <v>391</v>
      </c>
      <c r="J3192" s="151" t="s">
        <v>8061</v>
      </c>
      <c r="K3192" s="151">
        <f t="shared" si="79"/>
        <v>650000000000822</v>
      </c>
      <c r="L3192" s="151" t="s">
        <v>9026</v>
      </c>
    </row>
    <row r="3193" spans="8:12" x14ac:dyDescent="0.25">
      <c r="H3193" s="151" t="s">
        <v>4948</v>
      </c>
      <c r="I3193" s="151" t="s">
        <v>6962</v>
      </c>
      <c r="J3193" s="151" t="s">
        <v>6962</v>
      </c>
      <c r="K3193" s="151">
        <f t="shared" si="79"/>
        <v>0</v>
      </c>
      <c r="L3193" s="151" t="s">
        <v>9025</v>
      </c>
    </row>
    <row r="3194" spans="8:12" x14ac:dyDescent="0.25">
      <c r="H3194" s="151" t="s">
        <v>4948</v>
      </c>
      <c r="I3194" s="151" t="s">
        <v>391</v>
      </c>
      <c r="J3194" s="151" t="s">
        <v>8062</v>
      </c>
      <c r="K3194" s="151">
        <f t="shared" si="79"/>
        <v>650000000000823</v>
      </c>
      <c r="L3194" s="151" t="s">
        <v>9025</v>
      </c>
    </row>
    <row r="3195" spans="8:12" x14ac:dyDescent="0.25">
      <c r="H3195" s="151" t="s">
        <v>4949</v>
      </c>
      <c r="I3195" s="151" t="s">
        <v>6962</v>
      </c>
      <c r="J3195" s="151" t="s">
        <v>6962</v>
      </c>
      <c r="K3195" s="151">
        <f t="shared" si="79"/>
        <v>0</v>
      </c>
      <c r="L3195" s="151" t="s">
        <v>9021</v>
      </c>
    </row>
    <row r="3196" spans="8:12" x14ac:dyDescent="0.25">
      <c r="H3196" s="151" t="s">
        <v>4949</v>
      </c>
      <c r="I3196" s="151" t="s">
        <v>391</v>
      </c>
      <c r="J3196" s="151" t="s">
        <v>8063</v>
      </c>
      <c r="K3196" s="151">
        <f t="shared" si="79"/>
        <v>650000000000824</v>
      </c>
      <c r="L3196" s="151" t="s">
        <v>9021</v>
      </c>
    </row>
    <row r="3197" spans="8:12" x14ac:dyDescent="0.25">
      <c r="H3197" s="151" t="s">
        <v>4950</v>
      </c>
      <c r="I3197" s="151" t="s">
        <v>6962</v>
      </c>
      <c r="J3197" s="151" t="s">
        <v>6962</v>
      </c>
      <c r="K3197" s="151">
        <f t="shared" si="79"/>
        <v>0</v>
      </c>
      <c r="L3197" s="151" t="s">
        <v>9021</v>
      </c>
    </row>
    <row r="3198" spans="8:12" x14ac:dyDescent="0.25">
      <c r="H3198" s="151" t="s">
        <v>4950</v>
      </c>
      <c r="I3198" s="151" t="s">
        <v>391</v>
      </c>
      <c r="J3198" s="151" t="s">
        <v>8064</v>
      </c>
      <c r="K3198" s="151">
        <f t="shared" si="79"/>
        <v>650000000001851</v>
      </c>
      <c r="L3198" s="151" t="s">
        <v>9021</v>
      </c>
    </row>
    <row r="3199" spans="8:12" x14ac:dyDescent="0.25">
      <c r="H3199" s="151" t="s">
        <v>6888</v>
      </c>
      <c r="I3199" s="151" t="s">
        <v>6962</v>
      </c>
      <c r="J3199" s="151" t="s">
        <v>6962</v>
      </c>
      <c r="K3199" s="151">
        <f t="shared" si="79"/>
        <v>0</v>
      </c>
      <c r="L3199" s="151" t="s">
        <v>9021</v>
      </c>
    </row>
    <row r="3200" spans="8:12" x14ac:dyDescent="0.25">
      <c r="H3200" s="151" t="s">
        <v>4951</v>
      </c>
      <c r="I3200" s="151" t="s">
        <v>6962</v>
      </c>
      <c r="J3200" s="151" t="s">
        <v>6962</v>
      </c>
      <c r="K3200" s="151">
        <f t="shared" si="79"/>
        <v>0</v>
      </c>
      <c r="L3200" s="151" t="s">
        <v>9021</v>
      </c>
    </row>
    <row r="3201" spans="8:12" x14ac:dyDescent="0.25">
      <c r="H3201" s="151" t="s">
        <v>4951</v>
      </c>
      <c r="I3201" s="151" t="s">
        <v>391</v>
      </c>
      <c r="J3201" s="151" t="s">
        <v>8065</v>
      </c>
      <c r="K3201" s="151">
        <f t="shared" si="79"/>
        <v>650000000000825</v>
      </c>
      <c r="L3201" s="151" t="s">
        <v>9021</v>
      </c>
    </row>
    <row r="3202" spans="8:12" x14ac:dyDescent="0.25">
      <c r="H3202" s="151" t="s">
        <v>4952</v>
      </c>
      <c r="I3202" s="151" t="s">
        <v>6962</v>
      </c>
      <c r="J3202" s="151" t="s">
        <v>6962</v>
      </c>
      <c r="K3202" s="151">
        <f t="shared" si="79"/>
        <v>0</v>
      </c>
      <c r="L3202" s="151" t="s">
        <v>9021</v>
      </c>
    </row>
    <row r="3203" spans="8:12" x14ac:dyDescent="0.25">
      <c r="H3203" s="151" t="s">
        <v>4952</v>
      </c>
      <c r="I3203" s="151" t="s">
        <v>391</v>
      </c>
      <c r="J3203" s="151" t="s">
        <v>8066</v>
      </c>
      <c r="K3203" s="151">
        <f t="shared" ref="K3203:K3266" si="80">+IFERROR(J3203*1,0)</f>
        <v>650000000000826</v>
      </c>
      <c r="L3203" s="151" t="s">
        <v>9021</v>
      </c>
    </row>
    <row r="3204" spans="8:12" x14ac:dyDescent="0.25">
      <c r="H3204" s="151" t="s">
        <v>4953</v>
      </c>
      <c r="I3204" s="151" t="s">
        <v>6962</v>
      </c>
      <c r="J3204" s="151" t="s">
        <v>6962</v>
      </c>
      <c r="K3204" s="151">
        <f t="shared" si="80"/>
        <v>0</v>
      </c>
      <c r="L3204" s="151" t="s">
        <v>9021</v>
      </c>
    </row>
    <row r="3205" spans="8:12" x14ac:dyDescent="0.25">
      <c r="H3205" s="151" t="s">
        <v>4953</v>
      </c>
      <c r="I3205" s="151" t="s">
        <v>391</v>
      </c>
      <c r="J3205" s="151" t="s">
        <v>8067</v>
      </c>
      <c r="K3205" s="151">
        <f t="shared" si="80"/>
        <v>650000000000827</v>
      </c>
      <c r="L3205" s="151" t="s">
        <v>9021</v>
      </c>
    </row>
    <row r="3206" spans="8:12" x14ac:dyDescent="0.25">
      <c r="H3206" s="151" t="s">
        <v>4954</v>
      </c>
      <c r="I3206" s="151" t="s">
        <v>6962</v>
      </c>
      <c r="J3206" s="151" t="s">
        <v>6962</v>
      </c>
      <c r="K3206" s="151">
        <f t="shared" si="80"/>
        <v>0</v>
      </c>
      <c r="L3206" s="151" t="s">
        <v>9021</v>
      </c>
    </row>
    <row r="3207" spans="8:12" x14ac:dyDescent="0.25">
      <c r="H3207" s="151" t="s">
        <v>4954</v>
      </c>
      <c r="I3207" s="151" t="s">
        <v>391</v>
      </c>
      <c r="J3207" s="151" t="s">
        <v>8068</v>
      </c>
      <c r="K3207" s="151">
        <f t="shared" si="80"/>
        <v>650000000000828</v>
      </c>
      <c r="L3207" s="151" t="s">
        <v>9021</v>
      </c>
    </row>
    <row r="3208" spans="8:12" x14ac:dyDescent="0.25">
      <c r="H3208" s="151" t="s">
        <v>4955</v>
      </c>
      <c r="I3208" s="151" t="s">
        <v>6962</v>
      </c>
      <c r="J3208" s="151" t="s">
        <v>6962</v>
      </c>
      <c r="K3208" s="151">
        <f t="shared" si="80"/>
        <v>0</v>
      </c>
      <c r="L3208" s="151" t="s">
        <v>9021</v>
      </c>
    </row>
    <row r="3209" spans="8:12" x14ac:dyDescent="0.25">
      <c r="H3209" s="151" t="s">
        <v>4955</v>
      </c>
      <c r="I3209" s="151" t="s">
        <v>391</v>
      </c>
      <c r="J3209" s="151" t="s">
        <v>8069</v>
      </c>
      <c r="K3209" s="151">
        <f t="shared" si="80"/>
        <v>650000000001852</v>
      </c>
      <c r="L3209" s="151" t="s">
        <v>9021</v>
      </c>
    </row>
    <row r="3210" spans="8:12" x14ac:dyDescent="0.25">
      <c r="H3210" s="151" t="s">
        <v>6889</v>
      </c>
      <c r="I3210" s="151" t="s">
        <v>6962</v>
      </c>
      <c r="J3210" s="151" t="s">
        <v>6962</v>
      </c>
      <c r="K3210" s="151">
        <f t="shared" si="80"/>
        <v>0</v>
      </c>
      <c r="L3210" s="151" t="s">
        <v>9021</v>
      </c>
    </row>
    <row r="3211" spans="8:12" x14ac:dyDescent="0.25">
      <c r="H3211" s="151" t="s">
        <v>4956</v>
      </c>
      <c r="I3211" s="151" t="s">
        <v>6962</v>
      </c>
      <c r="J3211" s="151" t="s">
        <v>6962</v>
      </c>
      <c r="K3211" s="151">
        <f t="shared" si="80"/>
        <v>0</v>
      </c>
      <c r="L3211" s="151" t="s">
        <v>9021</v>
      </c>
    </row>
    <row r="3212" spans="8:12" x14ac:dyDescent="0.25">
      <c r="H3212" s="151" t="s">
        <v>4956</v>
      </c>
      <c r="I3212" s="151" t="s">
        <v>391</v>
      </c>
      <c r="J3212" s="151" t="s">
        <v>8070</v>
      </c>
      <c r="K3212" s="151">
        <f t="shared" si="80"/>
        <v>650000000000829</v>
      </c>
      <c r="L3212" s="151" t="s">
        <v>9021</v>
      </c>
    </row>
    <row r="3213" spans="8:12" x14ac:dyDescent="0.25">
      <c r="H3213" s="151" t="s">
        <v>4957</v>
      </c>
      <c r="I3213" s="151" t="s">
        <v>6962</v>
      </c>
      <c r="J3213" s="151" t="s">
        <v>6962</v>
      </c>
      <c r="K3213" s="151">
        <f t="shared" si="80"/>
        <v>0</v>
      </c>
      <c r="L3213" s="151" t="s">
        <v>9021</v>
      </c>
    </row>
    <row r="3214" spans="8:12" x14ac:dyDescent="0.25">
      <c r="H3214" s="151" t="s">
        <v>4957</v>
      </c>
      <c r="I3214" s="151" t="s">
        <v>391</v>
      </c>
      <c r="J3214" s="151" t="s">
        <v>8071</v>
      </c>
      <c r="K3214" s="151">
        <f t="shared" si="80"/>
        <v>650000000000830</v>
      </c>
      <c r="L3214" s="151" t="s">
        <v>9021</v>
      </c>
    </row>
    <row r="3215" spans="8:12" x14ac:dyDescent="0.25">
      <c r="H3215" s="151" t="s">
        <v>4958</v>
      </c>
      <c r="I3215" s="151" t="s">
        <v>6962</v>
      </c>
      <c r="J3215" s="151" t="s">
        <v>6962</v>
      </c>
      <c r="K3215" s="151">
        <f t="shared" si="80"/>
        <v>0</v>
      </c>
      <c r="L3215" s="151" t="s">
        <v>9021</v>
      </c>
    </row>
    <row r="3216" spans="8:12" x14ac:dyDescent="0.25">
      <c r="H3216" s="151" t="s">
        <v>4958</v>
      </c>
      <c r="I3216" s="151" t="s">
        <v>391</v>
      </c>
      <c r="J3216" s="151" t="s">
        <v>8072</v>
      </c>
      <c r="K3216" s="151">
        <f t="shared" si="80"/>
        <v>650000000000831</v>
      </c>
      <c r="L3216" s="151" t="s">
        <v>9021</v>
      </c>
    </row>
    <row r="3217" spans="8:12" x14ac:dyDescent="0.25">
      <c r="H3217" s="151" t="s">
        <v>4959</v>
      </c>
      <c r="I3217" s="151" t="s">
        <v>6962</v>
      </c>
      <c r="J3217" s="151" t="s">
        <v>6962</v>
      </c>
      <c r="K3217" s="151">
        <f t="shared" si="80"/>
        <v>0</v>
      </c>
      <c r="L3217" s="151" t="s">
        <v>9021</v>
      </c>
    </row>
    <row r="3218" spans="8:12" x14ac:dyDescent="0.25">
      <c r="H3218" s="151" t="s">
        <v>4959</v>
      </c>
      <c r="I3218" s="151" t="s">
        <v>391</v>
      </c>
      <c r="J3218" s="151" t="s">
        <v>8073</v>
      </c>
      <c r="K3218" s="151">
        <f t="shared" si="80"/>
        <v>650000000001853</v>
      </c>
      <c r="L3218" s="151" t="s">
        <v>9021</v>
      </c>
    </row>
    <row r="3219" spans="8:12" x14ac:dyDescent="0.25">
      <c r="H3219" s="151" t="s">
        <v>4960</v>
      </c>
      <c r="I3219" s="151" t="s">
        <v>6962</v>
      </c>
      <c r="J3219" s="151" t="s">
        <v>6962</v>
      </c>
      <c r="K3219" s="151">
        <f t="shared" si="80"/>
        <v>0</v>
      </c>
      <c r="L3219" s="151" t="s">
        <v>9021</v>
      </c>
    </row>
    <row r="3220" spans="8:12" x14ac:dyDescent="0.25">
      <c r="H3220" s="151" t="s">
        <v>4960</v>
      </c>
      <c r="I3220" s="151" t="s">
        <v>391</v>
      </c>
      <c r="J3220" s="151" t="s">
        <v>8074</v>
      </c>
      <c r="K3220" s="151">
        <f t="shared" si="80"/>
        <v>650000000000832</v>
      </c>
      <c r="L3220" s="151" t="s">
        <v>9021</v>
      </c>
    </row>
    <row r="3221" spans="8:12" x14ac:dyDescent="0.25">
      <c r="H3221" s="151" t="s">
        <v>4961</v>
      </c>
      <c r="I3221" s="151" t="s">
        <v>6962</v>
      </c>
      <c r="J3221" s="151" t="s">
        <v>6962</v>
      </c>
      <c r="K3221" s="151">
        <f t="shared" si="80"/>
        <v>0</v>
      </c>
      <c r="L3221" s="151" t="s">
        <v>9021</v>
      </c>
    </row>
    <row r="3222" spans="8:12" x14ac:dyDescent="0.25">
      <c r="H3222" s="151" t="s">
        <v>4961</v>
      </c>
      <c r="I3222" s="151" t="s">
        <v>391</v>
      </c>
      <c r="J3222" s="151" t="s">
        <v>8075</v>
      </c>
      <c r="K3222" s="151">
        <f t="shared" si="80"/>
        <v>650000000000833</v>
      </c>
      <c r="L3222" s="151" t="s">
        <v>9021</v>
      </c>
    </row>
    <row r="3223" spans="8:12" x14ac:dyDescent="0.25">
      <c r="H3223" s="151" t="s">
        <v>4962</v>
      </c>
      <c r="I3223" s="151" t="s">
        <v>6962</v>
      </c>
      <c r="J3223" s="151" t="s">
        <v>6962</v>
      </c>
      <c r="K3223" s="151">
        <f t="shared" si="80"/>
        <v>0</v>
      </c>
      <c r="L3223" s="151" t="s">
        <v>9021</v>
      </c>
    </row>
    <row r="3224" spans="8:12" x14ac:dyDescent="0.25">
      <c r="H3224" s="151" t="s">
        <v>4962</v>
      </c>
      <c r="I3224" s="151" t="s">
        <v>391</v>
      </c>
      <c r="J3224" s="151" t="s">
        <v>8076</v>
      </c>
      <c r="K3224" s="151">
        <f t="shared" si="80"/>
        <v>650000000000834</v>
      </c>
      <c r="L3224" s="151" t="s">
        <v>9021</v>
      </c>
    </row>
    <row r="3225" spans="8:12" x14ac:dyDescent="0.25">
      <c r="H3225" s="151" t="s">
        <v>4963</v>
      </c>
      <c r="I3225" s="151" t="s">
        <v>6962</v>
      </c>
      <c r="J3225" s="151" t="s">
        <v>6962</v>
      </c>
      <c r="K3225" s="151">
        <f t="shared" si="80"/>
        <v>0</v>
      </c>
      <c r="L3225" s="151" t="s">
        <v>9021</v>
      </c>
    </row>
    <row r="3226" spans="8:12" x14ac:dyDescent="0.25">
      <c r="H3226" s="151" t="s">
        <v>4963</v>
      </c>
      <c r="I3226" s="151" t="s">
        <v>391</v>
      </c>
      <c r="J3226" s="151" t="s">
        <v>8077</v>
      </c>
      <c r="K3226" s="151">
        <f t="shared" si="80"/>
        <v>650000000000835</v>
      </c>
      <c r="L3226" s="151" t="s">
        <v>9021</v>
      </c>
    </row>
    <row r="3227" spans="8:12" x14ac:dyDescent="0.25">
      <c r="H3227" s="151" t="s">
        <v>4964</v>
      </c>
      <c r="I3227" s="151" t="s">
        <v>6962</v>
      </c>
      <c r="J3227" s="151" t="s">
        <v>6962</v>
      </c>
      <c r="K3227" s="151">
        <f t="shared" si="80"/>
        <v>0</v>
      </c>
      <c r="L3227" s="151" t="s">
        <v>9021</v>
      </c>
    </row>
    <row r="3228" spans="8:12" x14ac:dyDescent="0.25">
      <c r="H3228" s="151" t="s">
        <v>4964</v>
      </c>
      <c r="I3228" s="151" t="s">
        <v>391</v>
      </c>
      <c r="J3228" s="151" t="s">
        <v>8078</v>
      </c>
      <c r="K3228" s="151">
        <f t="shared" si="80"/>
        <v>650000000000836</v>
      </c>
      <c r="L3228" s="151" t="s">
        <v>9021</v>
      </c>
    </row>
    <row r="3229" spans="8:12" x14ac:dyDescent="0.25">
      <c r="H3229" s="151" t="s">
        <v>4965</v>
      </c>
      <c r="I3229" s="151" t="s">
        <v>6962</v>
      </c>
      <c r="J3229" s="151" t="s">
        <v>6962</v>
      </c>
      <c r="K3229" s="151">
        <f t="shared" si="80"/>
        <v>0</v>
      </c>
      <c r="L3229" s="151" t="s">
        <v>9021</v>
      </c>
    </row>
    <row r="3230" spans="8:12" x14ac:dyDescent="0.25">
      <c r="H3230" s="151" t="s">
        <v>4965</v>
      </c>
      <c r="I3230" s="151" t="s">
        <v>391</v>
      </c>
      <c r="J3230" s="151" t="s">
        <v>8079</v>
      </c>
      <c r="K3230" s="151">
        <f t="shared" si="80"/>
        <v>650000000001854</v>
      </c>
      <c r="L3230" s="151" t="s">
        <v>9021</v>
      </c>
    </row>
    <row r="3231" spans="8:12" x14ac:dyDescent="0.25">
      <c r="H3231" s="151" t="s">
        <v>4966</v>
      </c>
      <c r="I3231" s="151" t="s">
        <v>6962</v>
      </c>
      <c r="J3231" s="151" t="s">
        <v>6962</v>
      </c>
      <c r="K3231" s="151">
        <f t="shared" si="80"/>
        <v>0</v>
      </c>
      <c r="L3231" s="151" t="s">
        <v>9021</v>
      </c>
    </row>
    <row r="3232" spans="8:12" x14ac:dyDescent="0.25">
      <c r="H3232" s="151" t="s">
        <v>4966</v>
      </c>
      <c r="I3232" s="151" t="s">
        <v>391</v>
      </c>
      <c r="J3232" s="151" t="s">
        <v>8080</v>
      </c>
      <c r="K3232" s="151">
        <f t="shared" si="80"/>
        <v>650000000000837</v>
      </c>
      <c r="L3232" s="151" t="s">
        <v>9021</v>
      </c>
    </row>
    <row r="3233" spans="8:12" x14ac:dyDescent="0.25">
      <c r="H3233" s="151" t="s">
        <v>4967</v>
      </c>
      <c r="I3233" s="151" t="s">
        <v>6962</v>
      </c>
      <c r="J3233" s="151" t="s">
        <v>6962</v>
      </c>
      <c r="K3233" s="151">
        <f t="shared" si="80"/>
        <v>0</v>
      </c>
      <c r="L3233" s="151" t="s">
        <v>9021</v>
      </c>
    </row>
    <row r="3234" spans="8:12" x14ac:dyDescent="0.25">
      <c r="H3234" s="151" t="s">
        <v>4967</v>
      </c>
      <c r="I3234" s="151" t="s">
        <v>391</v>
      </c>
      <c r="J3234" s="151" t="s">
        <v>8081</v>
      </c>
      <c r="K3234" s="151">
        <f t="shared" si="80"/>
        <v>650000000000838</v>
      </c>
      <c r="L3234" s="151" t="s">
        <v>9021</v>
      </c>
    </row>
    <row r="3235" spans="8:12" x14ac:dyDescent="0.25">
      <c r="H3235" s="151" t="s">
        <v>4968</v>
      </c>
      <c r="I3235" s="151" t="s">
        <v>6962</v>
      </c>
      <c r="J3235" s="151" t="s">
        <v>6962</v>
      </c>
      <c r="K3235" s="151">
        <f t="shared" si="80"/>
        <v>0</v>
      </c>
      <c r="L3235" s="151" t="s">
        <v>9021</v>
      </c>
    </row>
    <row r="3236" spans="8:12" x14ac:dyDescent="0.25">
      <c r="H3236" s="151" t="s">
        <v>4968</v>
      </c>
      <c r="I3236" s="151" t="s">
        <v>391</v>
      </c>
      <c r="J3236" s="151" t="s">
        <v>8082</v>
      </c>
      <c r="K3236" s="151">
        <f t="shared" si="80"/>
        <v>650000000001855</v>
      </c>
      <c r="L3236" s="151" t="s">
        <v>9021</v>
      </c>
    </row>
    <row r="3237" spans="8:12" x14ac:dyDescent="0.25">
      <c r="H3237" s="151" t="s">
        <v>4969</v>
      </c>
      <c r="I3237" s="151" t="s">
        <v>6962</v>
      </c>
      <c r="J3237" s="151" t="s">
        <v>6962</v>
      </c>
      <c r="K3237" s="151">
        <f t="shared" si="80"/>
        <v>0</v>
      </c>
      <c r="L3237" s="151" t="s">
        <v>9021</v>
      </c>
    </row>
    <row r="3238" spans="8:12" x14ac:dyDescent="0.25">
      <c r="H3238" s="151" t="s">
        <v>4969</v>
      </c>
      <c r="I3238" s="151" t="s">
        <v>391</v>
      </c>
      <c r="J3238" s="151" t="s">
        <v>8083</v>
      </c>
      <c r="K3238" s="151">
        <f t="shared" si="80"/>
        <v>650000000001856</v>
      </c>
      <c r="L3238" s="151" t="s">
        <v>9021</v>
      </c>
    </row>
    <row r="3239" spans="8:12" x14ac:dyDescent="0.25">
      <c r="H3239" s="151" t="s">
        <v>4970</v>
      </c>
      <c r="I3239" s="151" t="s">
        <v>6962</v>
      </c>
      <c r="J3239" s="151" t="s">
        <v>6962</v>
      </c>
      <c r="K3239" s="151">
        <f t="shared" si="80"/>
        <v>0</v>
      </c>
      <c r="L3239" s="151" t="s">
        <v>9021</v>
      </c>
    </row>
    <row r="3240" spans="8:12" x14ac:dyDescent="0.25">
      <c r="H3240" s="151" t="s">
        <v>4970</v>
      </c>
      <c r="I3240" s="151" t="s">
        <v>391</v>
      </c>
      <c r="J3240" s="151" t="s">
        <v>8084</v>
      </c>
      <c r="K3240" s="151">
        <f t="shared" si="80"/>
        <v>650000000000839</v>
      </c>
      <c r="L3240" s="151" t="s">
        <v>9021</v>
      </c>
    </row>
    <row r="3241" spans="8:12" x14ac:dyDescent="0.25">
      <c r="H3241" s="151" t="s">
        <v>4971</v>
      </c>
      <c r="I3241" s="151" t="s">
        <v>6962</v>
      </c>
      <c r="J3241" s="151" t="s">
        <v>6962</v>
      </c>
      <c r="K3241" s="151">
        <f t="shared" si="80"/>
        <v>0</v>
      </c>
      <c r="L3241" s="151" t="s">
        <v>9021</v>
      </c>
    </row>
    <row r="3242" spans="8:12" x14ac:dyDescent="0.25">
      <c r="H3242" s="151" t="s">
        <v>4971</v>
      </c>
      <c r="I3242" s="151" t="s">
        <v>391</v>
      </c>
      <c r="J3242" s="151" t="s">
        <v>8085</v>
      </c>
      <c r="K3242" s="151">
        <f t="shared" si="80"/>
        <v>650000000000840</v>
      </c>
      <c r="L3242" s="151" t="s">
        <v>9021</v>
      </c>
    </row>
    <row r="3243" spans="8:12" x14ac:dyDescent="0.25">
      <c r="H3243" s="151" t="s">
        <v>4972</v>
      </c>
      <c r="I3243" s="151" t="s">
        <v>6962</v>
      </c>
      <c r="J3243" s="151" t="s">
        <v>6962</v>
      </c>
      <c r="K3243" s="151">
        <f t="shared" si="80"/>
        <v>0</v>
      </c>
      <c r="L3243" s="151" t="s">
        <v>9021</v>
      </c>
    </row>
    <row r="3244" spans="8:12" x14ac:dyDescent="0.25">
      <c r="H3244" s="151" t="s">
        <v>4972</v>
      </c>
      <c r="I3244" s="151" t="s">
        <v>391</v>
      </c>
      <c r="J3244" s="151" t="s">
        <v>8086</v>
      </c>
      <c r="K3244" s="151">
        <f t="shared" si="80"/>
        <v>650000000001857</v>
      </c>
      <c r="L3244" s="151" t="s">
        <v>9021</v>
      </c>
    </row>
    <row r="3245" spans="8:12" x14ac:dyDescent="0.25">
      <c r="H3245" s="151" t="s">
        <v>4973</v>
      </c>
      <c r="I3245" s="151" t="s">
        <v>6962</v>
      </c>
      <c r="J3245" s="151" t="s">
        <v>6962</v>
      </c>
      <c r="K3245" s="151">
        <f t="shared" si="80"/>
        <v>0</v>
      </c>
      <c r="L3245" s="151" t="s">
        <v>9021</v>
      </c>
    </row>
    <row r="3246" spans="8:12" x14ac:dyDescent="0.25">
      <c r="H3246" s="151" t="s">
        <v>4973</v>
      </c>
      <c r="I3246" s="151" t="s">
        <v>391</v>
      </c>
      <c r="J3246" s="151" t="s">
        <v>8087</v>
      </c>
      <c r="K3246" s="151">
        <f t="shared" si="80"/>
        <v>650000000000841</v>
      </c>
      <c r="L3246" s="151" t="s">
        <v>9021</v>
      </c>
    </row>
    <row r="3247" spans="8:12" x14ac:dyDescent="0.25">
      <c r="H3247" s="151" t="s">
        <v>4974</v>
      </c>
      <c r="I3247" s="151" t="s">
        <v>6962</v>
      </c>
      <c r="J3247" s="151" t="s">
        <v>6962</v>
      </c>
      <c r="K3247" s="151">
        <f t="shared" si="80"/>
        <v>0</v>
      </c>
      <c r="L3247" s="151" t="s">
        <v>9021</v>
      </c>
    </row>
    <row r="3248" spans="8:12" x14ac:dyDescent="0.25">
      <c r="H3248" s="151" t="s">
        <v>4974</v>
      </c>
      <c r="I3248" s="151" t="s">
        <v>391</v>
      </c>
      <c r="J3248" s="151" t="s">
        <v>8088</v>
      </c>
      <c r="K3248" s="151">
        <f t="shared" si="80"/>
        <v>650000000000842</v>
      </c>
      <c r="L3248" s="151" t="s">
        <v>9021</v>
      </c>
    </row>
    <row r="3249" spans="8:12" x14ac:dyDescent="0.25">
      <c r="H3249" s="151" t="s">
        <v>4975</v>
      </c>
      <c r="I3249" s="151" t="s">
        <v>6962</v>
      </c>
      <c r="J3249" s="151" t="s">
        <v>6962</v>
      </c>
      <c r="K3249" s="151">
        <f t="shared" si="80"/>
        <v>0</v>
      </c>
      <c r="L3249" s="151" t="s">
        <v>9021</v>
      </c>
    </row>
    <row r="3250" spans="8:12" x14ac:dyDescent="0.25">
      <c r="H3250" s="151" t="s">
        <v>4975</v>
      </c>
      <c r="I3250" s="151" t="s">
        <v>391</v>
      </c>
      <c r="J3250" s="151" t="s">
        <v>8089</v>
      </c>
      <c r="K3250" s="151">
        <f t="shared" si="80"/>
        <v>650000000000843</v>
      </c>
      <c r="L3250" s="151" t="s">
        <v>9021</v>
      </c>
    </row>
    <row r="3251" spans="8:12" x14ac:dyDescent="0.25">
      <c r="H3251" s="151" t="s">
        <v>4976</v>
      </c>
      <c r="I3251" s="151" t="s">
        <v>6962</v>
      </c>
      <c r="J3251" s="151" t="s">
        <v>6962</v>
      </c>
      <c r="K3251" s="151">
        <f t="shared" si="80"/>
        <v>0</v>
      </c>
      <c r="L3251" s="151" t="s">
        <v>9021</v>
      </c>
    </row>
    <row r="3252" spans="8:12" x14ac:dyDescent="0.25">
      <c r="H3252" s="151" t="s">
        <v>4976</v>
      </c>
      <c r="I3252" s="151" t="s">
        <v>391</v>
      </c>
      <c r="J3252" s="151" t="s">
        <v>8090</v>
      </c>
      <c r="K3252" s="151">
        <f t="shared" si="80"/>
        <v>650000000000844</v>
      </c>
      <c r="L3252" s="151" t="s">
        <v>9021</v>
      </c>
    </row>
    <row r="3253" spans="8:12" x14ac:dyDescent="0.25">
      <c r="H3253" s="151" t="s">
        <v>4977</v>
      </c>
      <c r="I3253" s="151" t="s">
        <v>6962</v>
      </c>
      <c r="J3253" s="151" t="s">
        <v>6962</v>
      </c>
      <c r="K3253" s="151">
        <f t="shared" si="80"/>
        <v>0</v>
      </c>
      <c r="L3253" s="151" t="s">
        <v>9021</v>
      </c>
    </row>
    <row r="3254" spans="8:12" x14ac:dyDescent="0.25">
      <c r="H3254" s="151" t="s">
        <v>4977</v>
      </c>
      <c r="I3254" s="151" t="s">
        <v>391</v>
      </c>
      <c r="J3254" s="151" t="s">
        <v>8091</v>
      </c>
      <c r="K3254" s="151">
        <f t="shared" si="80"/>
        <v>650000000000845</v>
      </c>
      <c r="L3254" s="151" t="s">
        <v>9021</v>
      </c>
    </row>
    <row r="3255" spans="8:12" x14ac:dyDescent="0.25">
      <c r="H3255" s="151" t="s">
        <v>4978</v>
      </c>
      <c r="I3255" s="151" t="s">
        <v>6962</v>
      </c>
      <c r="J3255" s="151" t="s">
        <v>6962</v>
      </c>
      <c r="K3255" s="151">
        <f t="shared" si="80"/>
        <v>0</v>
      </c>
      <c r="L3255" s="151" t="s">
        <v>9021</v>
      </c>
    </row>
    <row r="3256" spans="8:12" x14ac:dyDescent="0.25">
      <c r="H3256" s="151" t="s">
        <v>4978</v>
      </c>
      <c r="I3256" s="151" t="s">
        <v>391</v>
      </c>
      <c r="J3256" s="151" t="s">
        <v>8092</v>
      </c>
      <c r="K3256" s="151">
        <f t="shared" si="80"/>
        <v>650000000001858</v>
      </c>
      <c r="L3256" s="151" t="s">
        <v>9021</v>
      </c>
    </row>
    <row r="3257" spans="8:12" x14ac:dyDescent="0.25">
      <c r="H3257" s="151" t="s">
        <v>4979</v>
      </c>
      <c r="I3257" s="151" t="s">
        <v>6962</v>
      </c>
      <c r="J3257" s="151" t="s">
        <v>6962</v>
      </c>
      <c r="K3257" s="151">
        <f t="shared" si="80"/>
        <v>0</v>
      </c>
      <c r="L3257" s="151" t="s">
        <v>9021</v>
      </c>
    </row>
    <row r="3258" spans="8:12" x14ac:dyDescent="0.25">
      <c r="H3258" s="151" t="s">
        <v>4979</v>
      </c>
      <c r="I3258" s="151" t="s">
        <v>391</v>
      </c>
      <c r="J3258" s="151" t="s">
        <v>8093</v>
      </c>
      <c r="K3258" s="151">
        <f t="shared" si="80"/>
        <v>650000000000846</v>
      </c>
      <c r="L3258" s="151" t="s">
        <v>9021</v>
      </c>
    </row>
    <row r="3259" spans="8:12" x14ac:dyDescent="0.25">
      <c r="H3259" s="151" t="s">
        <v>4980</v>
      </c>
      <c r="I3259" s="151" t="s">
        <v>6962</v>
      </c>
      <c r="J3259" s="151" t="s">
        <v>6962</v>
      </c>
      <c r="K3259" s="151">
        <f t="shared" si="80"/>
        <v>0</v>
      </c>
      <c r="L3259" s="151" t="s">
        <v>9021</v>
      </c>
    </row>
    <row r="3260" spans="8:12" x14ac:dyDescent="0.25">
      <c r="H3260" s="151" t="s">
        <v>4980</v>
      </c>
      <c r="I3260" s="151" t="s">
        <v>391</v>
      </c>
      <c r="J3260" s="151" t="s">
        <v>8094</v>
      </c>
      <c r="K3260" s="151">
        <f t="shared" si="80"/>
        <v>650000000001859</v>
      </c>
      <c r="L3260" s="151" t="s">
        <v>9021</v>
      </c>
    </row>
    <row r="3261" spans="8:12" x14ac:dyDescent="0.25">
      <c r="H3261" s="151" t="s">
        <v>4981</v>
      </c>
      <c r="I3261" s="151" t="s">
        <v>6962</v>
      </c>
      <c r="J3261" s="151" t="s">
        <v>6962</v>
      </c>
      <c r="K3261" s="151">
        <f t="shared" si="80"/>
        <v>0</v>
      </c>
      <c r="L3261" s="151" t="s">
        <v>9021</v>
      </c>
    </row>
    <row r="3262" spans="8:12" x14ac:dyDescent="0.25">
      <c r="H3262" s="151" t="s">
        <v>4981</v>
      </c>
      <c r="I3262" s="151" t="s">
        <v>391</v>
      </c>
      <c r="J3262" s="151" t="s">
        <v>8095</v>
      </c>
      <c r="K3262" s="151">
        <f t="shared" si="80"/>
        <v>650000000001860</v>
      </c>
      <c r="L3262" s="151" t="s">
        <v>9021</v>
      </c>
    </row>
    <row r="3263" spans="8:12" x14ac:dyDescent="0.25">
      <c r="H3263" s="151" t="s">
        <v>4982</v>
      </c>
      <c r="I3263" s="151" t="s">
        <v>6962</v>
      </c>
      <c r="J3263" s="151" t="s">
        <v>6962</v>
      </c>
      <c r="K3263" s="151">
        <f t="shared" si="80"/>
        <v>0</v>
      </c>
      <c r="L3263" s="151" t="s">
        <v>9021</v>
      </c>
    </row>
    <row r="3264" spans="8:12" x14ac:dyDescent="0.25">
      <c r="H3264" s="151" t="s">
        <v>4982</v>
      </c>
      <c r="I3264" s="151" t="s">
        <v>391</v>
      </c>
      <c r="J3264" s="151" t="s">
        <v>8096</v>
      </c>
      <c r="K3264" s="151">
        <f t="shared" si="80"/>
        <v>650000000001861</v>
      </c>
      <c r="L3264" s="151" t="s">
        <v>9021</v>
      </c>
    </row>
    <row r="3265" spans="8:12" x14ac:dyDescent="0.25">
      <c r="H3265" s="151" t="s">
        <v>4983</v>
      </c>
      <c r="I3265" s="151" t="s">
        <v>6962</v>
      </c>
      <c r="J3265" s="151" t="s">
        <v>6962</v>
      </c>
      <c r="K3265" s="151">
        <f t="shared" si="80"/>
        <v>0</v>
      </c>
      <c r="L3265" s="151" t="s">
        <v>9021</v>
      </c>
    </row>
    <row r="3266" spans="8:12" x14ac:dyDescent="0.25">
      <c r="H3266" s="151" t="s">
        <v>4983</v>
      </c>
      <c r="I3266" s="151" t="s">
        <v>391</v>
      </c>
      <c r="J3266" s="151" t="s">
        <v>8097</v>
      </c>
      <c r="K3266" s="151">
        <f t="shared" si="80"/>
        <v>650000000000847</v>
      </c>
      <c r="L3266" s="151" t="s">
        <v>9021</v>
      </c>
    </row>
    <row r="3267" spans="8:12" x14ac:dyDescent="0.25">
      <c r="H3267" s="151" t="s">
        <v>4984</v>
      </c>
      <c r="I3267" s="151" t="s">
        <v>6962</v>
      </c>
      <c r="J3267" s="151" t="s">
        <v>6962</v>
      </c>
      <c r="K3267" s="151">
        <f t="shared" ref="K3267:K3330" si="81">+IFERROR(J3267*1,0)</f>
        <v>0</v>
      </c>
      <c r="L3267" s="151" t="s">
        <v>9021</v>
      </c>
    </row>
    <row r="3268" spans="8:12" x14ac:dyDescent="0.25">
      <c r="H3268" s="151" t="s">
        <v>4984</v>
      </c>
      <c r="I3268" s="151" t="s">
        <v>391</v>
      </c>
      <c r="J3268" s="151" t="s">
        <v>8098</v>
      </c>
      <c r="K3268" s="151">
        <f t="shared" si="81"/>
        <v>650000000000848</v>
      </c>
      <c r="L3268" s="151" t="s">
        <v>9021</v>
      </c>
    </row>
    <row r="3269" spans="8:12" x14ac:dyDescent="0.25">
      <c r="H3269" s="151" t="s">
        <v>4985</v>
      </c>
      <c r="I3269" s="151" t="s">
        <v>6962</v>
      </c>
      <c r="J3269" s="151" t="s">
        <v>6962</v>
      </c>
      <c r="K3269" s="151">
        <f t="shared" si="81"/>
        <v>0</v>
      </c>
      <c r="L3269" s="151" t="s">
        <v>9021</v>
      </c>
    </row>
    <row r="3270" spans="8:12" x14ac:dyDescent="0.25">
      <c r="H3270" s="151" t="s">
        <v>4985</v>
      </c>
      <c r="I3270" s="151" t="s">
        <v>391</v>
      </c>
      <c r="J3270" s="151" t="s">
        <v>8099</v>
      </c>
      <c r="K3270" s="151">
        <f t="shared" si="81"/>
        <v>650000000000849</v>
      </c>
      <c r="L3270" s="151" t="s">
        <v>9021</v>
      </c>
    </row>
    <row r="3271" spans="8:12" x14ac:dyDescent="0.25">
      <c r="H3271" s="151" t="s">
        <v>4986</v>
      </c>
      <c r="I3271" s="151" t="s">
        <v>6962</v>
      </c>
      <c r="J3271" s="151" t="s">
        <v>6962</v>
      </c>
      <c r="K3271" s="151">
        <f t="shared" si="81"/>
        <v>0</v>
      </c>
      <c r="L3271" s="151" t="s">
        <v>9021</v>
      </c>
    </row>
    <row r="3272" spans="8:12" x14ac:dyDescent="0.25">
      <c r="H3272" s="151" t="s">
        <v>4986</v>
      </c>
      <c r="I3272" s="151" t="s">
        <v>391</v>
      </c>
      <c r="J3272" s="151" t="s">
        <v>8100</v>
      </c>
      <c r="K3272" s="151">
        <f t="shared" si="81"/>
        <v>650000000000850</v>
      </c>
      <c r="L3272" s="151" t="s">
        <v>9021</v>
      </c>
    </row>
    <row r="3273" spans="8:12" x14ac:dyDescent="0.25">
      <c r="H3273" s="151" t="s">
        <v>4987</v>
      </c>
      <c r="I3273" s="151" t="s">
        <v>6962</v>
      </c>
      <c r="J3273" s="151" t="s">
        <v>6962</v>
      </c>
      <c r="K3273" s="151">
        <f t="shared" si="81"/>
        <v>0</v>
      </c>
      <c r="L3273" s="151" t="s">
        <v>9021</v>
      </c>
    </row>
    <row r="3274" spans="8:12" x14ac:dyDescent="0.25">
      <c r="H3274" s="151" t="s">
        <v>4987</v>
      </c>
      <c r="I3274" s="151" t="s">
        <v>391</v>
      </c>
      <c r="J3274" s="151" t="s">
        <v>8101</v>
      </c>
      <c r="K3274" s="151">
        <f t="shared" si="81"/>
        <v>650000000000851</v>
      </c>
      <c r="L3274" s="151" t="s">
        <v>9021</v>
      </c>
    </row>
    <row r="3275" spans="8:12" x14ac:dyDescent="0.25">
      <c r="H3275" s="151" t="s">
        <v>4988</v>
      </c>
      <c r="I3275" s="151" t="s">
        <v>6962</v>
      </c>
      <c r="J3275" s="151" t="s">
        <v>6962</v>
      </c>
      <c r="K3275" s="151">
        <f t="shared" si="81"/>
        <v>0</v>
      </c>
      <c r="L3275" s="151" t="s">
        <v>9021</v>
      </c>
    </row>
    <row r="3276" spans="8:12" x14ac:dyDescent="0.25">
      <c r="H3276" s="151" t="s">
        <v>4988</v>
      </c>
      <c r="I3276" s="151" t="s">
        <v>391</v>
      </c>
      <c r="J3276" s="151" t="s">
        <v>8102</v>
      </c>
      <c r="K3276" s="151">
        <f t="shared" si="81"/>
        <v>650000000000852</v>
      </c>
      <c r="L3276" s="151" t="s">
        <v>9021</v>
      </c>
    </row>
    <row r="3277" spans="8:12" x14ac:dyDescent="0.25">
      <c r="H3277" s="151" t="s">
        <v>4989</v>
      </c>
      <c r="I3277" s="151" t="s">
        <v>6962</v>
      </c>
      <c r="J3277" s="151" t="s">
        <v>6962</v>
      </c>
      <c r="K3277" s="151">
        <f t="shared" si="81"/>
        <v>0</v>
      </c>
      <c r="L3277" s="151" t="s">
        <v>9021</v>
      </c>
    </row>
    <row r="3278" spans="8:12" x14ac:dyDescent="0.25">
      <c r="H3278" s="151" t="s">
        <v>4989</v>
      </c>
      <c r="I3278" s="151" t="s">
        <v>391</v>
      </c>
      <c r="J3278" s="151" t="s">
        <v>8103</v>
      </c>
      <c r="K3278" s="151">
        <f t="shared" si="81"/>
        <v>650000000001862</v>
      </c>
      <c r="L3278" s="151" t="s">
        <v>9021</v>
      </c>
    </row>
    <row r="3279" spans="8:12" x14ac:dyDescent="0.25">
      <c r="H3279" s="151" t="s">
        <v>4990</v>
      </c>
      <c r="I3279" s="151" t="s">
        <v>6962</v>
      </c>
      <c r="J3279" s="151" t="s">
        <v>6962</v>
      </c>
      <c r="K3279" s="151">
        <f t="shared" si="81"/>
        <v>0</v>
      </c>
      <c r="L3279" s="151" t="s">
        <v>9021</v>
      </c>
    </row>
    <row r="3280" spans="8:12" x14ac:dyDescent="0.25">
      <c r="H3280" s="151" t="s">
        <v>4990</v>
      </c>
      <c r="I3280" s="151" t="s">
        <v>391</v>
      </c>
      <c r="J3280" s="151" t="s">
        <v>8104</v>
      </c>
      <c r="K3280" s="151">
        <f t="shared" si="81"/>
        <v>650000000000853</v>
      </c>
      <c r="L3280" s="151" t="s">
        <v>9021</v>
      </c>
    </row>
    <row r="3281" spans="8:12" x14ac:dyDescent="0.25">
      <c r="H3281" s="151" t="s">
        <v>4991</v>
      </c>
      <c r="I3281" s="151" t="s">
        <v>6962</v>
      </c>
      <c r="J3281" s="151" t="s">
        <v>6962</v>
      </c>
      <c r="K3281" s="151">
        <f t="shared" si="81"/>
        <v>0</v>
      </c>
      <c r="L3281" s="151" t="s">
        <v>9021</v>
      </c>
    </row>
    <row r="3282" spans="8:12" x14ac:dyDescent="0.25">
      <c r="H3282" s="151" t="s">
        <v>4991</v>
      </c>
      <c r="I3282" s="151" t="s">
        <v>391</v>
      </c>
      <c r="J3282" s="151" t="s">
        <v>8105</v>
      </c>
      <c r="K3282" s="151">
        <f t="shared" si="81"/>
        <v>650000000000854</v>
      </c>
      <c r="L3282" s="151" t="s">
        <v>9021</v>
      </c>
    </row>
    <row r="3283" spans="8:12" x14ac:dyDescent="0.25">
      <c r="H3283" s="151" t="s">
        <v>4992</v>
      </c>
      <c r="I3283" s="151" t="s">
        <v>6962</v>
      </c>
      <c r="J3283" s="151" t="s">
        <v>6962</v>
      </c>
      <c r="K3283" s="151">
        <f t="shared" si="81"/>
        <v>0</v>
      </c>
      <c r="L3283" s="151" t="s">
        <v>9021</v>
      </c>
    </row>
    <row r="3284" spans="8:12" x14ac:dyDescent="0.25">
      <c r="H3284" s="151" t="s">
        <v>4992</v>
      </c>
      <c r="I3284" s="151" t="s">
        <v>391</v>
      </c>
      <c r="J3284" s="151" t="s">
        <v>8106</v>
      </c>
      <c r="K3284" s="151">
        <f t="shared" si="81"/>
        <v>650000000001863</v>
      </c>
      <c r="L3284" s="151" t="s">
        <v>9021</v>
      </c>
    </row>
    <row r="3285" spans="8:12" x14ac:dyDescent="0.25">
      <c r="H3285" s="151" t="s">
        <v>4993</v>
      </c>
      <c r="I3285" s="151" t="s">
        <v>6962</v>
      </c>
      <c r="J3285" s="151" t="s">
        <v>6962</v>
      </c>
      <c r="K3285" s="151">
        <f t="shared" si="81"/>
        <v>0</v>
      </c>
      <c r="L3285" s="151" t="s">
        <v>9021</v>
      </c>
    </row>
    <row r="3286" spans="8:12" x14ac:dyDescent="0.25">
      <c r="H3286" s="151" t="s">
        <v>4993</v>
      </c>
      <c r="I3286" s="151" t="s">
        <v>391</v>
      </c>
      <c r="J3286" s="151" t="s">
        <v>8107</v>
      </c>
      <c r="K3286" s="151">
        <f t="shared" si="81"/>
        <v>650000000000855</v>
      </c>
      <c r="L3286" s="151" t="s">
        <v>9021</v>
      </c>
    </row>
    <row r="3287" spans="8:12" x14ac:dyDescent="0.25">
      <c r="H3287" s="151" t="s">
        <v>4994</v>
      </c>
      <c r="I3287" s="151" t="s">
        <v>6962</v>
      </c>
      <c r="J3287" s="151" t="s">
        <v>6962</v>
      </c>
      <c r="K3287" s="151">
        <f t="shared" si="81"/>
        <v>0</v>
      </c>
      <c r="L3287" s="151" t="s">
        <v>9021</v>
      </c>
    </row>
    <row r="3288" spans="8:12" x14ac:dyDescent="0.25">
      <c r="H3288" s="151" t="s">
        <v>4994</v>
      </c>
      <c r="I3288" s="151" t="s">
        <v>391</v>
      </c>
      <c r="J3288" s="151" t="s">
        <v>8108</v>
      </c>
      <c r="K3288" s="151">
        <f t="shared" si="81"/>
        <v>650000000001864</v>
      </c>
      <c r="L3288" s="151" t="s">
        <v>9021</v>
      </c>
    </row>
    <row r="3289" spans="8:12" x14ac:dyDescent="0.25">
      <c r="H3289" s="151" t="s">
        <v>4995</v>
      </c>
      <c r="I3289" s="151" t="s">
        <v>6962</v>
      </c>
      <c r="J3289" s="151" t="s">
        <v>6962</v>
      </c>
      <c r="K3289" s="151">
        <f t="shared" si="81"/>
        <v>0</v>
      </c>
      <c r="L3289" s="151" t="s">
        <v>9021</v>
      </c>
    </row>
    <row r="3290" spans="8:12" x14ac:dyDescent="0.25">
      <c r="H3290" s="151" t="s">
        <v>4995</v>
      </c>
      <c r="I3290" s="151" t="s">
        <v>391</v>
      </c>
      <c r="J3290" s="151" t="s">
        <v>8109</v>
      </c>
      <c r="K3290" s="151">
        <f t="shared" si="81"/>
        <v>650000000000856</v>
      </c>
      <c r="L3290" s="151" t="s">
        <v>9021</v>
      </c>
    </row>
    <row r="3291" spans="8:12" x14ac:dyDescent="0.25">
      <c r="H3291" s="151" t="s">
        <v>4996</v>
      </c>
      <c r="I3291" s="151" t="s">
        <v>6962</v>
      </c>
      <c r="J3291" s="151" t="s">
        <v>6962</v>
      </c>
      <c r="K3291" s="151">
        <f t="shared" si="81"/>
        <v>0</v>
      </c>
      <c r="L3291" s="151" t="s">
        <v>9021</v>
      </c>
    </row>
    <row r="3292" spans="8:12" x14ac:dyDescent="0.25">
      <c r="H3292" s="151" t="s">
        <v>4996</v>
      </c>
      <c r="I3292" s="151" t="s">
        <v>391</v>
      </c>
      <c r="J3292" s="151" t="s">
        <v>8110</v>
      </c>
      <c r="K3292" s="151">
        <f t="shared" si="81"/>
        <v>650000000000857</v>
      </c>
      <c r="L3292" s="151" t="s">
        <v>9021</v>
      </c>
    </row>
    <row r="3293" spans="8:12" x14ac:dyDescent="0.25">
      <c r="H3293" s="151" t="s">
        <v>4997</v>
      </c>
      <c r="I3293" s="151" t="s">
        <v>6962</v>
      </c>
      <c r="J3293" s="151" t="s">
        <v>6962</v>
      </c>
      <c r="K3293" s="151">
        <f t="shared" si="81"/>
        <v>0</v>
      </c>
      <c r="L3293" s="151" t="s">
        <v>9021</v>
      </c>
    </row>
    <row r="3294" spans="8:12" x14ac:dyDescent="0.25">
      <c r="H3294" s="151" t="s">
        <v>4997</v>
      </c>
      <c r="I3294" s="151" t="s">
        <v>391</v>
      </c>
      <c r="J3294" s="151" t="s">
        <v>8111</v>
      </c>
      <c r="K3294" s="151">
        <f t="shared" si="81"/>
        <v>650000000001865</v>
      </c>
      <c r="L3294" s="151" t="s">
        <v>9021</v>
      </c>
    </row>
    <row r="3295" spans="8:12" x14ac:dyDescent="0.25">
      <c r="H3295" s="151" t="s">
        <v>4998</v>
      </c>
      <c r="I3295" s="151" t="s">
        <v>6962</v>
      </c>
      <c r="J3295" s="151" t="s">
        <v>6962</v>
      </c>
      <c r="K3295" s="151">
        <f t="shared" si="81"/>
        <v>0</v>
      </c>
      <c r="L3295" s="151" t="s">
        <v>9021</v>
      </c>
    </row>
    <row r="3296" spans="8:12" x14ac:dyDescent="0.25">
      <c r="H3296" s="151" t="s">
        <v>4998</v>
      </c>
      <c r="I3296" s="151" t="s">
        <v>391</v>
      </c>
      <c r="J3296" s="151" t="s">
        <v>8112</v>
      </c>
      <c r="K3296" s="151">
        <f t="shared" si="81"/>
        <v>650000000001866</v>
      </c>
      <c r="L3296" s="151" t="s">
        <v>9021</v>
      </c>
    </row>
    <row r="3297" spans="8:12" x14ac:dyDescent="0.25">
      <c r="H3297" s="151" t="s">
        <v>4999</v>
      </c>
      <c r="I3297" s="151" t="s">
        <v>6962</v>
      </c>
      <c r="J3297" s="151" t="s">
        <v>6962</v>
      </c>
      <c r="K3297" s="151">
        <f t="shared" si="81"/>
        <v>0</v>
      </c>
      <c r="L3297" s="151" t="s">
        <v>9021</v>
      </c>
    </row>
    <row r="3298" spans="8:12" x14ac:dyDescent="0.25">
      <c r="H3298" s="151" t="s">
        <v>4999</v>
      </c>
      <c r="I3298" s="151" t="s">
        <v>391</v>
      </c>
      <c r="J3298" s="151" t="s">
        <v>8113</v>
      </c>
      <c r="K3298" s="151">
        <f t="shared" si="81"/>
        <v>650000000000858</v>
      </c>
      <c r="L3298" s="151" t="s">
        <v>9021</v>
      </c>
    </row>
    <row r="3299" spans="8:12" x14ac:dyDescent="0.25">
      <c r="H3299" s="151" t="s">
        <v>5000</v>
      </c>
      <c r="I3299" s="151" t="s">
        <v>6962</v>
      </c>
      <c r="J3299" s="151" t="s">
        <v>6962</v>
      </c>
      <c r="K3299" s="151">
        <f t="shared" si="81"/>
        <v>0</v>
      </c>
      <c r="L3299" s="151" t="s">
        <v>9021</v>
      </c>
    </row>
    <row r="3300" spans="8:12" x14ac:dyDescent="0.25">
      <c r="H3300" s="151" t="s">
        <v>5000</v>
      </c>
      <c r="I3300" s="151" t="s">
        <v>391</v>
      </c>
      <c r="J3300" s="151" t="s">
        <v>8114</v>
      </c>
      <c r="K3300" s="151">
        <f t="shared" si="81"/>
        <v>650000000000859</v>
      </c>
      <c r="L3300" s="151" t="s">
        <v>9021</v>
      </c>
    </row>
    <row r="3301" spans="8:12" x14ac:dyDescent="0.25">
      <c r="H3301" s="151" t="s">
        <v>5001</v>
      </c>
      <c r="I3301" s="151" t="s">
        <v>6962</v>
      </c>
      <c r="J3301" s="151" t="s">
        <v>6962</v>
      </c>
      <c r="K3301" s="151">
        <f t="shared" si="81"/>
        <v>0</v>
      </c>
      <c r="L3301" s="151" t="s">
        <v>9021</v>
      </c>
    </row>
    <row r="3302" spans="8:12" x14ac:dyDescent="0.25">
      <c r="H3302" s="151" t="s">
        <v>5001</v>
      </c>
      <c r="I3302" s="151" t="s">
        <v>391</v>
      </c>
      <c r="J3302" s="151" t="s">
        <v>8115</v>
      </c>
      <c r="K3302" s="151">
        <f t="shared" si="81"/>
        <v>650000000000860</v>
      </c>
      <c r="L3302" s="151" t="s">
        <v>9021</v>
      </c>
    </row>
    <row r="3303" spans="8:12" x14ac:dyDescent="0.25">
      <c r="H3303" s="151" t="s">
        <v>5002</v>
      </c>
      <c r="I3303" s="151" t="s">
        <v>6962</v>
      </c>
      <c r="J3303" s="151" t="s">
        <v>6962</v>
      </c>
      <c r="K3303" s="151">
        <f t="shared" si="81"/>
        <v>0</v>
      </c>
      <c r="L3303" s="151" t="s">
        <v>9021</v>
      </c>
    </row>
    <row r="3304" spans="8:12" x14ac:dyDescent="0.25">
      <c r="H3304" s="151" t="s">
        <v>5002</v>
      </c>
      <c r="I3304" s="151" t="s">
        <v>391</v>
      </c>
      <c r="J3304" s="151" t="s">
        <v>8116</v>
      </c>
      <c r="K3304" s="151">
        <f t="shared" si="81"/>
        <v>650000000000861</v>
      </c>
      <c r="L3304" s="151" t="s">
        <v>9021</v>
      </c>
    </row>
    <row r="3305" spans="8:12" x14ac:dyDescent="0.25">
      <c r="H3305" s="151" t="s">
        <v>5003</v>
      </c>
      <c r="I3305" s="151" t="s">
        <v>6962</v>
      </c>
      <c r="J3305" s="151" t="s">
        <v>6962</v>
      </c>
      <c r="K3305" s="151">
        <f t="shared" si="81"/>
        <v>0</v>
      </c>
      <c r="L3305" s="151" t="s">
        <v>9021</v>
      </c>
    </row>
    <row r="3306" spans="8:12" x14ac:dyDescent="0.25">
      <c r="H3306" s="151" t="s">
        <v>5003</v>
      </c>
      <c r="I3306" s="151" t="s">
        <v>391</v>
      </c>
      <c r="J3306" s="151" t="s">
        <v>8117</v>
      </c>
      <c r="K3306" s="151">
        <f t="shared" si="81"/>
        <v>650000000001867</v>
      </c>
      <c r="L3306" s="151" t="s">
        <v>9021</v>
      </c>
    </row>
    <row r="3307" spans="8:12" x14ac:dyDescent="0.25">
      <c r="H3307" s="151" t="s">
        <v>5004</v>
      </c>
      <c r="I3307" s="151" t="s">
        <v>6962</v>
      </c>
      <c r="J3307" s="151" t="s">
        <v>6962</v>
      </c>
      <c r="K3307" s="151">
        <f t="shared" si="81"/>
        <v>0</v>
      </c>
      <c r="L3307" s="151" t="s">
        <v>9021</v>
      </c>
    </row>
    <row r="3308" spans="8:12" x14ac:dyDescent="0.25">
      <c r="H3308" s="151" t="s">
        <v>5004</v>
      </c>
      <c r="I3308" s="151" t="s">
        <v>391</v>
      </c>
      <c r="J3308" s="151" t="s">
        <v>8118</v>
      </c>
      <c r="K3308" s="151">
        <f t="shared" si="81"/>
        <v>650000000001868</v>
      </c>
      <c r="L3308" s="151" t="s">
        <v>9021</v>
      </c>
    </row>
    <row r="3309" spans="8:12" x14ac:dyDescent="0.25">
      <c r="H3309" s="151" t="s">
        <v>5005</v>
      </c>
      <c r="I3309" s="151" t="s">
        <v>6962</v>
      </c>
      <c r="J3309" s="151" t="s">
        <v>6962</v>
      </c>
      <c r="K3309" s="151">
        <f t="shared" si="81"/>
        <v>0</v>
      </c>
      <c r="L3309" s="151" t="s">
        <v>9021</v>
      </c>
    </row>
    <row r="3310" spans="8:12" x14ac:dyDescent="0.25">
      <c r="H3310" s="151" t="s">
        <v>5005</v>
      </c>
      <c r="I3310" s="151" t="s">
        <v>391</v>
      </c>
      <c r="J3310" s="151" t="s">
        <v>8119</v>
      </c>
      <c r="K3310" s="151">
        <f t="shared" si="81"/>
        <v>650000000000862</v>
      </c>
      <c r="L3310" s="151" t="s">
        <v>9021</v>
      </c>
    </row>
    <row r="3311" spans="8:12" x14ac:dyDescent="0.25">
      <c r="H3311" s="151" t="s">
        <v>5006</v>
      </c>
      <c r="I3311" s="151" t="s">
        <v>6962</v>
      </c>
      <c r="J3311" s="151" t="s">
        <v>6962</v>
      </c>
      <c r="K3311" s="151">
        <f t="shared" si="81"/>
        <v>0</v>
      </c>
      <c r="L3311" s="151" t="s">
        <v>9021</v>
      </c>
    </row>
    <row r="3312" spans="8:12" x14ac:dyDescent="0.25">
      <c r="H3312" s="151" t="s">
        <v>5006</v>
      </c>
      <c r="I3312" s="151" t="s">
        <v>391</v>
      </c>
      <c r="J3312" s="151" t="s">
        <v>8120</v>
      </c>
      <c r="K3312" s="151">
        <f t="shared" si="81"/>
        <v>650000000000863</v>
      </c>
      <c r="L3312" s="151" t="s">
        <v>9021</v>
      </c>
    </row>
    <row r="3313" spans="8:12" x14ac:dyDescent="0.25">
      <c r="H3313" s="151" t="s">
        <v>5007</v>
      </c>
      <c r="I3313" s="151" t="s">
        <v>6962</v>
      </c>
      <c r="J3313" s="151" t="s">
        <v>6962</v>
      </c>
      <c r="K3313" s="151">
        <f t="shared" si="81"/>
        <v>0</v>
      </c>
      <c r="L3313" s="151" t="s">
        <v>9021</v>
      </c>
    </row>
    <row r="3314" spans="8:12" x14ac:dyDescent="0.25">
      <c r="H3314" s="151" t="s">
        <v>5007</v>
      </c>
      <c r="I3314" s="151" t="s">
        <v>391</v>
      </c>
      <c r="J3314" s="151" t="s">
        <v>8121</v>
      </c>
      <c r="K3314" s="151">
        <f t="shared" si="81"/>
        <v>650000000000864</v>
      </c>
      <c r="L3314" s="151" t="s">
        <v>9021</v>
      </c>
    </row>
    <row r="3315" spans="8:12" x14ac:dyDescent="0.25">
      <c r="H3315" s="151" t="s">
        <v>5008</v>
      </c>
      <c r="I3315" s="151" t="s">
        <v>6962</v>
      </c>
      <c r="J3315" s="151" t="s">
        <v>6962</v>
      </c>
      <c r="K3315" s="151">
        <f t="shared" si="81"/>
        <v>0</v>
      </c>
      <c r="L3315" s="151" t="s">
        <v>9021</v>
      </c>
    </row>
    <row r="3316" spans="8:12" x14ac:dyDescent="0.25">
      <c r="H3316" s="151" t="s">
        <v>5008</v>
      </c>
      <c r="I3316" s="151" t="s">
        <v>391</v>
      </c>
      <c r="J3316" s="151" t="s">
        <v>8122</v>
      </c>
      <c r="K3316" s="151">
        <f t="shared" si="81"/>
        <v>650000000000865</v>
      </c>
      <c r="L3316" s="151" t="s">
        <v>9021</v>
      </c>
    </row>
    <row r="3317" spans="8:12" x14ac:dyDescent="0.25">
      <c r="H3317" s="151" t="s">
        <v>5009</v>
      </c>
      <c r="I3317" s="151" t="s">
        <v>6962</v>
      </c>
      <c r="J3317" s="151" t="s">
        <v>6962</v>
      </c>
      <c r="K3317" s="151">
        <f t="shared" si="81"/>
        <v>0</v>
      </c>
      <c r="L3317" s="151" t="s">
        <v>9021</v>
      </c>
    </row>
    <row r="3318" spans="8:12" x14ac:dyDescent="0.25">
      <c r="H3318" s="151" t="s">
        <v>5009</v>
      </c>
      <c r="I3318" s="151" t="s">
        <v>391</v>
      </c>
      <c r="J3318" s="151" t="s">
        <v>8123</v>
      </c>
      <c r="K3318" s="151">
        <f t="shared" si="81"/>
        <v>650000000001869</v>
      </c>
      <c r="L3318" s="151" t="s">
        <v>9021</v>
      </c>
    </row>
    <row r="3319" spans="8:12" x14ac:dyDescent="0.25">
      <c r="H3319" s="151" t="s">
        <v>6890</v>
      </c>
      <c r="I3319" s="151" t="s">
        <v>6962</v>
      </c>
      <c r="J3319" s="151" t="s">
        <v>6962</v>
      </c>
      <c r="K3319" s="151">
        <f t="shared" si="81"/>
        <v>0</v>
      </c>
      <c r="L3319" s="151" t="s">
        <v>9021</v>
      </c>
    </row>
    <row r="3320" spans="8:12" x14ac:dyDescent="0.25">
      <c r="H3320" s="151" t="s">
        <v>5010</v>
      </c>
      <c r="I3320" s="151" t="s">
        <v>6962</v>
      </c>
      <c r="J3320" s="151" t="s">
        <v>6962</v>
      </c>
      <c r="K3320" s="151">
        <f t="shared" si="81"/>
        <v>0</v>
      </c>
      <c r="L3320" s="151" t="s">
        <v>9021</v>
      </c>
    </row>
    <row r="3321" spans="8:12" x14ac:dyDescent="0.25">
      <c r="H3321" s="151" t="s">
        <v>5010</v>
      </c>
      <c r="I3321" s="151" t="s">
        <v>391</v>
      </c>
      <c r="J3321" s="151" t="s">
        <v>8124</v>
      </c>
      <c r="K3321" s="151">
        <f t="shared" si="81"/>
        <v>650000000001870</v>
      </c>
      <c r="L3321" s="151" t="s">
        <v>9021</v>
      </c>
    </row>
    <row r="3322" spans="8:12" x14ac:dyDescent="0.25">
      <c r="H3322" s="151" t="s">
        <v>5011</v>
      </c>
      <c r="I3322" s="151" t="s">
        <v>6962</v>
      </c>
      <c r="J3322" s="151" t="s">
        <v>6962</v>
      </c>
      <c r="K3322" s="151">
        <f t="shared" si="81"/>
        <v>0</v>
      </c>
      <c r="L3322" s="151" t="s">
        <v>9021</v>
      </c>
    </row>
    <row r="3323" spans="8:12" x14ac:dyDescent="0.25">
      <c r="H3323" s="151" t="s">
        <v>5011</v>
      </c>
      <c r="I3323" s="151" t="s">
        <v>391</v>
      </c>
      <c r="J3323" s="151" t="s">
        <v>8125</v>
      </c>
      <c r="K3323" s="151">
        <f t="shared" si="81"/>
        <v>650000000001871</v>
      </c>
      <c r="L3323" s="151" t="s">
        <v>9021</v>
      </c>
    </row>
    <row r="3324" spans="8:12" x14ac:dyDescent="0.25">
      <c r="H3324" s="151" t="s">
        <v>5012</v>
      </c>
      <c r="I3324" s="151" t="s">
        <v>6962</v>
      </c>
      <c r="J3324" s="151" t="s">
        <v>6962</v>
      </c>
      <c r="K3324" s="151">
        <f t="shared" si="81"/>
        <v>0</v>
      </c>
      <c r="L3324" s="151" t="s">
        <v>9021</v>
      </c>
    </row>
    <row r="3325" spans="8:12" x14ac:dyDescent="0.25">
      <c r="H3325" s="151" t="s">
        <v>5012</v>
      </c>
      <c r="I3325" s="151" t="s">
        <v>391</v>
      </c>
      <c r="J3325" s="151" t="s">
        <v>8126</v>
      </c>
      <c r="K3325" s="151">
        <f t="shared" si="81"/>
        <v>650000000000866</v>
      </c>
      <c r="L3325" s="151" t="s">
        <v>9021</v>
      </c>
    </row>
    <row r="3326" spans="8:12" x14ac:dyDescent="0.25">
      <c r="H3326" s="151" t="s">
        <v>5013</v>
      </c>
      <c r="I3326" s="151" t="s">
        <v>6962</v>
      </c>
      <c r="J3326" s="151" t="s">
        <v>6962</v>
      </c>
      <c r="K3326" s="151">
        <f t="shared" si="81"/>
        <v>0</v>
      </c>
      <c r="L3326" s="151" t="s">
        <v>9021</v>
      </c>
    </row>
    <row r="3327" spans="8:12" x14ac:dyDescent="0.25">
      <c r="H3327" s="151" t="s">
        <v>5013</v>
      </c>
      <c r="I3327" s="151" t="s">
        <v>391</v>
      </c>
      <c r="J3327" s="151" t="s">
        <v>8127</v>
      </c>
      <c r="K3327" s="151">
        <f t="shared" si="81"/>
        <v>650000000000867</v>
      </c>
      <c r="L3327" s="151" t="s">
        <v>9021</v>
      </c>
    </row>
    <row r="3328" spans="8:12" x14ac:dyDescent="0.25">
      <c r="H3328" s="151" t="s">
        <v>5014</v>
      </c>
      <c r="I3328" s="151" t="s">
        <v>6962</v>
      </c>
      <c r="J3328" s="151" t="s">
        <v>6962</v>
      </c>
      <c r="K3328" s="151">
        <f t="shared" si="81"/>
        <v>0</v>
      </c>
      <c r="L3328" s="151" t="s">
        <v>9021</v>
      </c>
    </row>
    <row r="3329" spans="8:12" x14ac:dyDescent="0.25">
      <c r="H3329" s="151" t="s">
        <v>5014</v>
      </c>
      <c r="I3329" s="151" t="s">
        <v>391</v>
      </c>
      <c r="J3329" s="151" t="s">
        <v>8128</v>
      </c>
      <c r="K3329" s="151">
        <f t="shared" si="81"/>
        <v>650000000001872</v>
      </c>
      <c r="L3329" s="151" t="s">
        <v>9021</v>
      </c>
    </row>
    <row r="3330" spans="8:12" x14ac:dyDescent="0.25">
      <c r="H3330" s="151" t="s">
        <v>5015</v>
      </c>
      <c r="I3330" s="151" t="s">
        <v>6962</v>
      </c>
      <c r="J3330" s="151" t="s">
        <v>6962</v>
      </c>
      <c r="K3330" s="151">
        <f t="shared" si="81"/>
        <v>0</v>
      </c>
      <c r="L3330" s="151" t="s">
        <v>9021</v>
      </c>
    </row>
    <row r="3331" spans="8:12" x14ac:dyDescent="0.25">
      <c r="H3331" s="151" t="s">
        <v>5015</v>
      </c>
      <c r="I3331" s="151" t="s">
        <v>391</v>
      </c>
      <c r="J3331" s="151" t="s">
        <v>8129</v>
      </c>
      <c r="K3331" s="151">
        <f t="shared" ref="K3331:K3394" si="82">+IFERROR(J3331*1,0)</f>
        <v>650000000001873</v>
      </c>
      <c r="L3331" s="151" t="s">
        <v>9021</v>
      </c>
    </row>
    <row r="3332" spans="8:12" x14ac:dyDescent="0.25">
      <c r="H3332" s="151" t="s">
        <v>5016</v>
      </c>
      <c r="I3332" s="151" t="s">
        <v>6962</v>
      </c>
      <c r="J3332" s="151" t="s">
        <v>6962</v>
      </c>
      <c r="K3332" s="151">
        <f t="shared" si="82"/>
        <v>0</v>
      </c>
      <c r="L3332" s="151" t="s">
        <v>9021</v>
      </c>
    </row>
    <row r="3333" spans="8:12" x14ac:dyDescent="0.25">
      <c r="H3333" s="151" t="s">
        <v>5016</v>
      </c>
      <c r="I3333" s="151" t="s">
        <v>391</v>
      </c>
      <c r="J3333" s="151" t="s">
        <v>8130</v>
      </c>
      <c r="K3333" s="151">
        <f t="shared" si="82"/>
        <v>650000000001874</v>
      </c>
      <c r="L3333" s="151" t="s">
        <v>9021</v>
      </c>
    </row>
    <row r="3334" spans="8:12" x14ac:dyDescent="0.25">
      <c r="H3334" s="151" t="s">
        <v>5017</v>
      </c>
      <c r="I3334" s="151" t="s">
        <v>6962</v>
      </c>
      <c r="J3334" s="151" t="s">
        <v>6962</v>
      </c>
      <c r="K3334" s="151">
        <f t="shared" si="82"/>
        <v>0</v>
      </c>
      <c r="L3334" s="151" t="s">
        <v>9021</v>
      </c>
    </row>
    <row r="3335" spans="8:12" x14ac:dyDescent="0.25">
      <c r="H3335" s="151" t="s">
        <v>5017</v>
      </c>
      <c r="I3335" s="151" t="s">
        <v>391</v>
      </c>
      <c r="J3335" s="151" t="s">
        <v>8131</v>
      </c>
      <c r="K3335" s="151">
        <f t="shared" si="82"/>
        <v>650000000000868</v>
      </c>
      <c r="L3335" s="151" t="s">
        <v>9021</v>
      </c>
    </row>
    <row r="3336" spans="8:12" x14ac:dyDescent="0.25">
      <c r="H3336" s="151" t="s">
        <v>5018</v>
      </c>
      <c r="I3336" s="151" t="s">
        <v>6962</v>
      </c>
      <c r="J3336" s="151" t="s">
        <v>6962</v>
      </c>
      <c r="K3336" s="151">
        <f t="shared" si="82"/>
        <v>0</v>
      </c>
      <c r="L3336" s="151" t="s">
        <v>9021</v>
      </c>
    </row>
    <row r="3337" spans="8:12" x14ac:dyDescent="0.25">
      <c r="H3337" s="151" t="s">
        <v>5018</v>
      </c>
      <c r="I3337" s="151" t="s">
        <v>391</v>
      </c>
      <c r="J3337" s="151" t="s">
        <v>8132</v>
      </c>
      <c r="K3337" s="151">
        <f t="shared" si="82"/>
        <v>650000000000869</v>
      </c>
      <c r="L3337" s="151" t="s">
        <v>9021</v>
      </c>
    </row>
    <row r="3338" spans="8:12" x14ac:dyDescent="0.25">
      <c r="H3338" s="151" t="s">
        <v>5019</v>
      </c>
      <c r="I3338" s="151" t="s">
        <v>6962</v>
      </c>
      <c r="J3338" s="151" t="s">
        <v>6962</v>
      </c>
      <c r="K3338" s="151">
        <f t="shared" si="82"/>
        <v>0</v>
      </c>
      <c r="L3338" s="151" t="s">
        <v>9021</v>
      </c>
    </row>
    <row r="3339" spans="8:12" x14ac:dyDescent="0.25">
      <c r="H3339" s="151" t="s">
        <v>5019</v>
      </c>
      <c r="I3339" s="151" t="s">
        <v>391</v>
      </c>
      <c r="J3339" s="151" t="s">
        <v>8133</v>
      </c>
      <c r="K3339" s="151">
        <f t="shared" si="82"/>
        <v>650000000001875</v>
      </c>
      <c r="L3339" s="151" t="s">
        <v>9021</v>
      </c>
    </row>
    <row r="3340" spans="8:12" x14ac:dyDescent="0.25">
      <c r="H3340" s="151" t="s">
        <v>5020</v>
      </c>
      <c r="I3340" s="151" t="s">
        <v>6962</v>
      </c>
      <c r="J3340" s="151" t="s">
        <v>6962</v>
      </c>
      <c r="K3340" s="151">
        <f t="shared" si="82"/>
        <v>0</v>
      </c>
      <c r="L3340" s="151" t="s">
        <v>9021</v>
      </c>
    </row>
    <row r="3341" spans="8:12" x14ac:dyDescent="0.25">
      <c r="H3341" s="151" t="s">
        <v>5020</v>
      </c>
      <c r="I3341" s="151" t="s">
        <v>391</v>
      </c>
      <c r="J3341" s="151" t="s">
        <v>8134</v>
      </c>
      <c r="K3341" s="151">
        <f t="shared" si="82"/>
        <v>650000000001876</v>
      </c>
      <c r="L3341" s="151" t="s">
        <v>9021</v>
      </c>
    </row>
    <row r="3342" spans="8:12" x14ac:dyDescent="0.25">
      <c r="H3342" s="151" t="s">
        <v>5021</v>
      </c>
      <c r="I3342" s="151" t="s">
        <v>6962</v>
      </c>
      <c r="J3342" s="151" t="s">
        <v>6962</v>
      </c>
      <c r="K3342" s="151">
        <f t="shared" si="82"/>
        <v>0</v>
      </c>
      <c r="L3342" s="151" t="s">
        <v>9021</v>
      </c>
    </row>
    <row r="3343" spans="8:12" x14ac:dyDescent="0.25">
      <c r="H3343" s="151" t="s">
        <v>5021</v>
      </c>
      <c r="I3343" s="151" t="s">
        <v>391</v>
      </c>
      <c r="J3343" s="151" t="s">
        <v>8135</v>
      </c>
      <c r="K3343" s="151">
        <f t="shared" si="82"/>
        <v>650000000000870</v>
      </c>
      <c r="L3343" s="151" t="s">
        <v>9021</v>
      </c>
    </row>
    <row r="3344" spans="8:12" x14ac:dyDescent="0.25">
      <c r="H3344" s="151" t="s">
        <v>5022</v>
      </c>
      <c r="I3344" s="151" t="s">
        <v>6962</v>
      </c>
      <c r="J3344" s="151" t="s">
        <v>6962</v>
      </c>
      <c r="K3344" s="151">
        <f t="shared" si="82"/>
        <v>0</v>
      </c>
      <c r="L3344" s="151" t="s">
        <v>9021</v>
      </c>
    </row>
    <row r="3345" spans="8:12" x14ac:dyDescent="0.25">
      <c r="H3345" s="151" t="s">
        <v>5022</v>
      </c>
      <c r="I3345" s="151" t="s">
        <v>391</v>
      </c>
      <c r="J3345" s="151" t="s">
        <v>8136</v>
      </c>
      <c r="K3345" s="151">
        <f t="shared" si="82"/>
        <v>650000000000871</v>
      </c>
      <c r="L3345" s="151" t="s">
        <v>9021</v>
      </c>
    </row>
    <row r="3346" spans="8:12" x14ac:dyDescent="0.25">
      <c r="H3346" s="151" t="s">
        <v>5023</v>
      </c>
      <c r="I3346" s="151" t="s">
        <v>6962</v>
      </c>
      <c r="J3346" s="151" t="s">
        <v>6962</v>
      </c>
      <c r="K3346" s="151">
        <f t="shared" si="82"/>
        <v>0</v>
      </c>
      <c r="L3346" s="151" t="s">
        <v>9021</v>
      </c>
    </row>
    <row r="3347" spans="8:12" x14ac:dyDescent="0.25">
      <c r="H3347" s="151" t="s">
        <v>5023</v>
      </c>
      <c r="I3347" s="151" t="s">
        <v>391</v>
      </c>
      <c r="J3347" s="151" t="s">
        <v>8137</v>
      </c>
      <c r="K3347" s="151">
        <f t="shared" si="82"/>
        <v>650000000001877</v>
      </c>
      <c r="L3347" s="151" t="s">
        <v>9021</v>
      </c>
    </row>
    <row r="3348" spans="8:12" x14ac:dyDescent="0.25">
      <c r="H3348" s="151" t="s">
        <v>5024</v>
      </c>
      <c r="I3348" s="151" t="s">
        <v>6962</v>
      </c>
      <c r="J3348" s="151" t="s">
        <v>6962</v>
      </c>
      <c r="K3348" s="151">
        <f t="shared" si="82"/>
        <v>0</v>
      </c>
      <c r="L3348" s="151" t="s">
        <v>9021</v>
      </c>
    </row>
    <row r="3349" spans="8:12" x14ac:dyDescent="0.25">
      <c r="H3349" s="151" t="s">
        <v>5024</v>
      </c>
      <c r="I3349" s="151" t="s">
        <v>391</v>
      </c>
      <c r="J3349" s="151" t="s">
        <v>8138</v>
      </c>
      <c r="K3349" s="151">
        <f t="shared" si="82"/>
        <v>650000000001878</v>
      </c>
      <c r="L3349" s="151" t="s">
        <v>9021</v>
      </c>
    </row>
    <row r="3350" spans="8:12" x14ac:dyDescent="0.25">
      <c r="H3350" s="151" t="s">
        <v>5025</v>
      </c>
      <c r="I3350" s="151" t="s">
        <v>6962</v>
      </c>
      <c r="J3350" s="151" t="s">
        <v>6962</v>
      </c>
      <c r="K3350" s="151">
        <f t="shared" si="82"/>
        <v>0</v>
      </c>
      <c r="L3350" s="151" t="s">
        <v>9026</v>
      </c>
    </row>
    <row r="3351" spans="8:12" x14ac:dyDescent="0.25">
      <c r="H3351" s="151" t="s">
        <v>5025</v>
      </c>
      <c r="I3351" s="151" t="s">
        <v>391</v>
      </c>
      <c r="J3351" s="151" t="s">
        <v>8139</v>
      </c>
      <c r="K3351" s="151">
        <f t="shared" si="82"/>
        <v>650000000001879</v>
      </c>
      <c r="L3351" s="151" t="s">
        <v>9026</v>
      </c>
    </row>
    <row r="3352" spans="8:12" x14ac:dyDescent="0.25">
      <c r="H3352" s="151" t="s">
        <v>5026</v>
      </c>
      <c r="I3352" s="151" t="s">
        <v>6962</v>
      </c>
      <c r="J3352" s="151" t="s">
        <v>6962</v>
      </c>
      <c r="K3352" s="151">
        <f t="shared" si="82"/>
        <v>0</v>
      </c>
      <c r="L3352" s="151" t="s">
        <v>9021</v>
      </c>
    </row>
    <row r="3353" spans="8:12" x14ac:dyDescent="0.25">
      <c r="H3353" s="151" t="s">
        <v>5026</v>
      </c>
      <c r="I3353" s="151" t="s">
        <v>391</v>
      </c>
      <c r="J3353" s="151" t="s">
        <v>8140</v>
      </c>
      <c r="K3353" s="151">
        <f t="shared" si="82"/>
        <v>650000000000872</v>
      </c>
      <c r="L3353" s="151" t="s">
        <v>9021</v>
      </c>
    </row>
    <row r="3354" spans="8:12" x14ac:dyDescent="0.25">
      <c r="H3354" s="151" t="s">
        <v>5027</v>
      </c>
      <c r="I3354" s="151" t="s">
        <v>6962</v>
      </c>
      <c r="J3354" s="151" t="s">
        <v>6962</v>
      </c>
      <c r="K3354" s="151">
        <f t="shared" si="82"/>
        <v>0</v>
      </c>
      <c r="L3354" s="151" t="s">
        <v>9021</v>
      </c>
    </row>
    <row r="3355" spans="8:12" x14ac:dyDescent="0.25">
      <c r="H3355" s="151" t="s">
        <v>5027</v>
      </c>
      <c r="I3355" s="151" t="s">
        <v>391</v>
      </c>
      <c r="J3355" s="151" t="s">
        <v>8141</v>
      </c>
      <c r="K3355" s="151">
        <f t="shared" si="82"/>
        <v>650000000000873</v>
      </c>
      <c r="L3355" s="151" t="s">
        <v>9021</v>
      </c>
    </row>
    <row r="3356" spans="8:12" x14ac:dyDescent="0.25">
      <c r="H3356" s="151" t="s">
        <v>5028</v>
      </c>
      <c r="I3356" s="151" t="s">
        <v>6962</v>
      </c>
      <c r="J3356" s="151" t="s">
        <v>6962</v>
      </c>
      <c r="K3356" s="151">
        <f t="shared" si="82"/>
        <v>0</v>
      </c>
      <c r="L3356" s="151" t="s">
        <v>9021</v>
      </c>
    </row>
    <row r="3357" spans="8:12" x14ac:dyDescent="0.25">
      <c r="H3357" s="151" t="s">
        <v>5028</v>
      </c>
      <c r="I3357" s="151" t="s">
        <v>391</v>
      </c>
      <c r="J3357" s="151" t="s">
        <v>8142</v>
      </c>
      <c r="K3357" s="151">
        <f t="shared" si="82"/>
        <v>650000000000874</v>
      </c>
      <c r="L3357" s="151" t="s">
        <v>9021</v>
      </c>
    </row>
    <row r="3358" spans="8:12" x14ac:dyDescent="0.25">
      <c r="H3358" s="151" t="s">
        <v>5029</v>
      </c>
      <c r="I3358" s="151" t="s">
        <v>6962</v>
      </c>
      <c r="J3358" s="151" t="s">
        <v>6962</v>
      </c>
      <c r="K3358" s="151">
        <f t="shared" si="82"/>
        <v>0</v>
      </c>
      <c r="L3358" s="151" t="s">
        <v>9021</v>
      </c>
    </row>
    <row r="3359" spans="8:12" x14ac:dyDescent="0.25">
      <c r="H3359" s="151" t="s">
        <v>5029</v>
      </c>
      <c r="I3359" s="151" t="s">
        <v>391</v>
      </c>
      <c r="J3359" s="151" t="s">
        <v>8143</v>
      </c>
      <c r="K3359" s="151">
        <f t="shared" si="82"/>
        <v>650000000001880</v>
      </c>
      <c r="L3359" s="151" t="s">
        <v>9021</v>
      </c>
    </row>
    <row r="3360" spans="8:12" x14ac:dyDescent="0.25">
      <c r="H3360" s="151" t="s">
        <v>5030</v>
      </c>
      <c r="I3360" s="151" t="s">
        <v>6962</v>
      </c>
      <c r="J3360" s="151" t="s">
        <v>6962</v>
      </c>
      <c r="K3360" s="151">
        <f t="shared" si="82"/>
        <v>0</v>
      </c>
      <c r="L3360" s="151" t="s">
        <v>9021</v>
      </c>
    </row>
    <row r="3361" spans="8:12" x14ac:dyDescent="0.25">
      <c r="H3361" s="151" t="s">
        <v>5030</v>
      </c>
      <c r="I3361" s="151" t="s">
        <v>391</v>
      </c>
      <c r="J3361" s="151" t="s">
        <v>8144</v>
      </c>
      <c r="K3361" s="151">
        <f t="shared" si="82"/>
        <v>650000000000875</v>
      </c>
      <c r="L3361" s="151" t="s">
        <v>9021</v>
      </c>
    </row>
    <row r="3362" spans="8:12" x14ac:dyDescent="0.25">
      <c r="H3362" s="151" t="s">
        <v>5031</v>
      </c>
      <c r="I3362" s="151" t="s">
        <v>6962</v>
      </c>
      <c r="J3362" s="151" t="s">
        <v>6962</v>
      </c>
      <c r="K3362" s="151">
        <f t="shared" si="82"/>
        <v>0</v>
      </c>
      <c r="L3362" s="151" t="s">
        <v>9021</v>
      </c>
    </row>
    <row r="3363" spans="8:12" x14ac:dyDescent="0.25">
      <c r="H3363" s="151" t="s">
        <v>5031</v>
      </c>
      <c r="I3363" s="151" t="s">
        <v>391</v>
      </c>
      <c r="J3363" s="151" t="s">
        <v>8145</v>
      </c>
      <c r="K3363" s="151">
        <f t="shared" si="82"/>
        <v>650000000000876</v>
      </c>
      <c r="L3363" s="151" t="s">
        <v>9021</v>
      </c>
    </row>
    <row r="3364" spans="8:12" x14ac:dyDescent="0.25">
      <c r="H3364" s="151" t="s">
        <v>5032</v>
      </c>
      <c r="I3364" s="151" t="s">
        <v>6962</v>
      </c>
      <c r="J3364" s="151" t="s">
        <v>6962</v>
      </c>
      <c r="K3364" s="151">
        <f t="shared" si="82"/>
        <v>0</v>
      </c>
      <c r="L3364" s="151" t="s">
        <v>9021</v>
      </c>
    </row>
    <row r="3365" spans="8:12" x14ac:dyDescent="0.25">
      <c r="H3365" s="151" t="s">
        <v>5032</v>
      </c>
      <c r="I3365" s="151" t="s">
        <v>391</v>
      </c>
      <c r="J3365" s="151" t="s">
        <v>8146</v>
      </c>
      <c r="K3365" s="151">
        <f t="shared" si="82"/>
        <v>650000000000877</v>
      </c>
      <c r="L3365" s="151" t="s">
        <v>9021</v>
      </c>
    </row>
    <row r="3366" spans="8:12" x14ac:dyDescent="0.25">
      <c r="H3366" s="151" t="s">
        <v>5033</v>
      </c>
      <c r="I3366" s="151" t="s">
        <v>6962</v>
      </c>
      <c r="J3366" s="151" t="s">
        <v>6962</v>
      </c>
      <c r="K3366" s="151">
        <f t="shared" si="82"/>
        <v>0</v>
      </c>
      <c r="L3366" s="151" t="s">
        <v>9021</v>
      </c>
    </row>
    <row r="3367" spans="8:12" x14ac:dyDescent="0.25">
      <c r="H3367" s="151" t="s">
        <v>5033</v>
      </c>
      <c r="I3367" s="151" t="s">
        <v>391</v>
      </c>
      <c r="J3367" s="151" t="s">
        <v>8147</v>
      </c>
      <c r="K3367" s="151">
        <f t="shared" si="82"/>
        <v>650000000000878</v>
      </c>
      <c r="L3367" s="151" t="s">
        <v>9021</v>
      </c>
    </row>
    <row r="3368" spans="8:12" x14ac:dyDescent="0.25">
      <c r="H3368" s="151" t="s">
        <v>6891</v>
      </c>
      <c r="I3368" s="151" t="s">
        <v>6962</v>
      </c>
      <c r="J3368" s="151" t="s">
        <v>6962</v>
      </c>
      <c r="K3368" s="151">
        <f t="shared" si="82"/>
        <v>0</v>
      </c>
      <c r="L3368" s="151" t="s">
        <v>9021</v>
      </c>
    </row>
    <row r="3369" spans="8:12" x14ac:dyDescent="0.25">
      <c r="H3369" s="151" t="s">
        <v>5034</v>
      </c>
      <c r="I3369" s="151" t="s">
        <v>6962</v>
      </c>
      <c r="J3369" s="151" t="s">
        <v>6962</v>
      </c>
      <c r="K3369" s="151">
        <f t="shared" si="82"/>
        <v>0</v>
      </c>
      <c r="L3369" s="151" t="s">
        <v>9021</v>
      </c>
    </row>
    <row r="3370" spans="8:12" x14ac:dyDescent="0.25">
      <c r="H3370" s="151" t="s">
        <v>5034</v>
      </c>
      <c r="I3370" s="151" t="s">
        <v>391</v>
      </c>
      <c r="J3370" s="151" t="s">
        <v>8148</v>
      </c>
      <c r="K3370" s="151">
        <f t="shared" si="82"/>
        <v>650000000000879</v>
      </c>
      <c r="L3370" s="151" t="s">
        <v>9021</v>
      </c>
    </row>
    <row r="3371" spans="8:12" x14ac:dyDescent="0.25">
      <c r="H3371" s="151" t="s">
        <v>5035</v>
      </c>
      <c r="I3371" s="151" t="s">
        <v>6962</v>
      </c>
      <c r="J3371" s="151" t="s">
        <v>6962</v>
      </c>
      <c r="K3371" s="151">
        <f t="shared" si="82"/>
        <v>0</v>
      </c>
      <c r="L3371" s="151" t="s">
        <v>9021</v>
      </c>
    </row>
    <row r="3372" spans="8:12" x14ac:dyDescent="0.25">
      <c r="H3372" s="151" t="s">
        <v>5035</v>
      </c>
      <c r="I3372" s="151" t="s">
        <v>391</v>
      </c>
      <c r="J3372" s="151" t="s">
        <v>8149</v>
      </c>
      <c r="K3372" s="151">
        <f t="shared" si="82"/>
        <v>650000000000880</v>
      </c>
      <c r="L3372" s="151" t="s">
        <v>9021</v>
      </c>
    </row>
    <row r="3373" spans="8:12" x14ac:dyDescent="0.25">
      <c r="H3373" s="151" t="s">
        <v>5036</v>
      </c>
      <c r="I3373" s="151" t="s">
        <v>6962</v>
      </c>
      <c r="J3373" s="151" t="s">
        <v>6962</v>
      </c>
      <c r="K3373" s="151">
        <f t="shared" si="82"/>
        <v>0</v>
      </c>
      <c r="L3373" s="151" t="s">
        <v>9021</v>
      </c>
    </row>
    <row r="3374" spans="8:12" x14ac:dyDescent="0.25">
      <c r="H3374" s="151" t="s">
        <v>5036</v>
      </c>
      <c r="I3374" s="151" t="s">
        <v>391</v>
      </c>
      <c r="J3374" s="151" t="s">
        <v>8150</v>
      </c>
      <c r="K3374" s="151">
        <f t="shared" si="82"/>
        <v>650000000000881</v>
      </c>
      <c r="L3374" s="151" t="s">
        <v>9021</v>
      </c>
    </row>
    <row r="3375" spans="8:12" x14ac:dyDescent="0.25">
      <c r="H3375" s="151" t="s">
        <v>5037</v>
      </c>
      <c r="I3375" s="151" t="s">
        <v>6962</v>
      </c>
      <c r="J3375" s="151" t="s">
        <v>6962</v>
      </c>
      <c r="K3375" s="151">
        <f t="shared" si="82"/>
        <v>0</v>
      </c>
      <c r="L3375" s="151" t="s">
        <v>9021</v>
      </c>
    </row>
    <row r="3376" spans="8:12" x14ac:dyDescent="0.25">
      <c r="H3376" s="151" t="s">
        <v>5037</v>
      </c>
      <c r="I3376" s="151" t="s">
        <v>391</v>
      </c>
      <c r="J3376" s="151" t="s">
        <v>8151</v>
      </c>
      <c r="K3376" s="151">
        <f t="shared" si="82"/>
        <v>650000000001881</v>
      </c>
      <c r="L3376" s="151" t="s">
        <v>9021</v>
      </c>
    </row>
    <row r="3377" spans="8:12" x14ac:dyDescent="0.25">
      <c r="H3377" s="151" t="s">
        <v>5038</v>
      </c>
      <c r="I3377" s="151" t="s">
        <v>6962</v>
      </c>
      <c r="J3377" s="151" t="s">
        <v>6962</v>
      </c>
      <c r="K3377" s="151">
        <f t="shared" si="82"/>
        <v>0</v>
      </c>
      <c r="L3377" s="151" t="s">
        <v>9021</v>
      </c>
    </row>
    <row r="3378" spans="8:12" x14ac:dyDescent="0.25">
      <c r="H3378" s="151" t="s">
        <v>5038</v>
      </c>
      <c r="I3378" s="151" t="s">
        <v>391</v>
      </c>
      <c r="J3378" s="151" t="s">
        <v>8152</v>
      </c>
      <c r="K3378" s="151">
        <f t="shared" si="82"/>
        <v>650000000001882</v>
      </c>
      <c r="L3378" s="151" t="s">
        <v>9021</v>
      </c>
    </row>
    <row r="3379" spans="8:12" x14ac:dyDescent="0.25">
      <c r="H3379" s="151" t="s">
        <v>5039</v>
      </c>
      <c r="I3379" s="151" t="s">
        <v>6962</v>
      </c>
      <c r="J3379" s="151" t="s">
        <v>6962</v>
      </c>
      <c r="K3379" s="151">
        <f t="shared" si="82"/>
        <v>0</v>
      </c>
      <c r="L3379" s="151" t="s">
        <v>9021</v>
      </c>
    </row>
    <row r="3380" spans="8:12" x14ac:dyDescent="0.25">
      <c r="H3380" s="151" t="s">
        <v>5039</v>
      </c>
      <c r="I3380" s="151" t="s">
        <v>391</v>
      </c>
      <c r="J3380" s="151" t="s">
        <v>8153</v>
      </c>
      <c r="K3380" s="151">
        <f t="shared" si="82"/>
        <v>650000000000882</v>
      </c>
      <c r="L3380" s="151" t="s">
        <v>9021</v>
      </c>
    </row>
    <row r="3381" spans="8:12" x14ac:dyDescent="0.25">
      <c r="H3381" s="151" t="s">
        <v>5040</v>
      </c>
      <c r="I3381" s="151" t="s">
        <v>6962</v>
      </c>
      <c r="J3381" s="151" t="s">
        <v>6962</v>
      </c>
      <c r="K3381" s="151">
        <f t="shared" si="82"/>
        <v>0</v>
      </c>
      <c r="L3381" s="151" t="s">
        <v>9021</v>
      </c>
    </row>
    <row r="3382" spans="8:12" x14ac:dyDescent="0.25">
      <c r="H3382" s="151" t="s">
        <v>5040</v>
      </c>
      <c r="I3382" s="151" t="s">
        <v>391</v>
      </c>
      <c r="J3382" s="151" t="s">
        <v>8154</v>
      </c>
      <c r="K3382" s="151">
        <f t="shared" si="82"/>
        <v>650000000001883</v>
      </c>
      <c r="L3382" s="151" t="s">
        <v>9021</v>
      </c>
    </row>
    <row r="3383" spans="8:12" x14ac:dyDescent="0.25">
      <c r="H3383" s="151" t="s">
        <v>5041</v>
      </c>
      <c r="I3383" s="151" t="s">
        <v>6962</v>
      </c>
      <c r="J3383" s="151" t="s">
        <v>6962</v>
      </c>
      <c r="K3383" s="151">
        <f t="shared" si="82"/>
        <v>0</v>
      </c>
      <c r="L3383" s="151" t="s">
        <v>9021</v>
      </c>
    </row>
    <row r="3384" spans="8:12" x14ac:dyDescent="0.25">
      <c r="H3384" s="151" t="s">
        <v>5041</v>
      </c>
      <c r="I3384" s="151" t="s">
        <v>391</v>
      </c>
      <c r="J3384" s="151" t="s">
        <v>8155</v>
      </c>
      <c r="K3384" s="151">
        <f t="shared" si="82"/>
        <v>650000000000883</v>
      </c>
      <c r="L3384" s="151" t="s">
        <v>9021</v>
      </c>
    </row>
    <row r="3385" spans="8:12" x14ac:dyDescent="0.25">
      <c r="H3385" s="151" t="s">
        <v>5042</v>
      </c>
      <c r="I3385" s="151" t="s">
        <v>6962</v>
      </c>
      <c r="J3385" s="151" t="s">
        <v>6962</v>
      </c>
      <c r="K3385" s="151">
        <f t="shared" si="82"/>
        <v>0</v>
      </c>
      <c r="L3385" s="151" t="s">
        <v>9021</v>
      </c>
    </row>
    <row r="3386" spans="8:12" x14ac:dyDescent="0.25">
      <c r="H3386" s="151" t="s">
        <v>5042</v>
      </c>
      <c r="I3386" s="151" t="s">
        <v>391</v>
      </c>
      <c r="J3386" s="151" t="s">
        <v>8156</v>
      </c>
      <c r="K3386" s="151">
        <f t="shared" si="82"/>
        <v>650000000000884</v>
      </c>
      <c r="L3386" s="151" t="s">
        <v>9021</v>
      </c>
    </row>
    <row r="3387" spans="8:12" x14ac:dyDescent="0.25">
      <c r="H3387" s="151" t="s">
        <v>5043</v>
      </c>
      <c r="I3387" s="151" t="s">
        <v>6962</v>
      </c>
      <c r="J3387" s="151" t="s">
        <v>6962</v>
      </c>
      <c r="K3387" s="151">
        <f t="shared" si="82"/>
        <v>0</v>
      </c>
      <c r="L3387" s="151" t="s">
        <v>9021</v>
      </c>
    </row>
    <row r="3388" spans="8:12" x14ac:dyDescent="0.25">
      <c r="H3388" s="151" t="s">
        <v>5043</v>
      </c>
      <c r="I3388" s="151" t="s">
        <v>391</v>
      </c>
      <c r="J3388" s="151" t="s">
        <v>8157</v>
      </c>
      <c r="K3388" s="151">
        <f t="shared" si="82"/>
        <v>650000000001884</v>
      </c>
      <c r="L3388" s="151" t="s">
        <v>9021</v>
      </c>
    </row>
    <row r="3389" spans="8:12" x14ac:dyDescent="0.25">
      <c r="H3389" s="151" t="s">
        <v>5044</v>
      </c>
      <c r="I3389" s="151" t="s">
        <v>6962</v>
      </c>
      <c r="J3389" s="151" t="s">
        <v>6962</v>
      </c>
      <c r="K3389" s="151">
        <f t="shared" si="82"/>
        <v>0</v>
      </c>
      <c r="L3389" s="151" t="s">
        <v>9021</v>
      </c>
    </row>
    <row r="3390" spans="8:12" x14ac:dyDescent="0.25">
      <c r="H3390" s="151" t="s">
        <v>5044</v>
      </c>
      <c r="I3390" s="151" t="s">
        <v>391</v>
      </c>
      <c r="J3390" s="151" t="s">
        <v>8158</v>
      </c>
      <c r="K3390" s="151">
        <f t="shared" si="82"/>
        <v>650000000000885</v>
      </c>
      <c r="L3390" s="151" t="s">
        <v>9021</v>
      </c>
    </row>
    <row r="3391" spans="8:12" x14ac:dyDescent="0.25">
      <c r="H3391" s="151" t="s">
        <v>5045</v>
      </c>
      <c r="I3391" s="151" t="s">
        <v>6962</v>
      </c>
      <c r="J3391" s="151" t="s">
        <v>6962</v>
      </c>
      <c r="K3391" s="151">
        <f t="shared" si="82"/>
        <v>0</v>
      </c>
      <c r="L3391" s="151" t="s">
        <v>9021</v>
      </c>
    </row>
    <row r="3392" spans="8:12" x14ac:dyDescent="0.25">
      <c r="H3392" s="151" t="s">
        <v>5045</v>
      </c>
      <c r="I3392" s="151" t="s">
        <v>391</v>
      </c>
      <c r="J3392" s="151" t="s">
        <v>8159</v>
      </c>
      <c r="K3392" s="151">
        <f t="shared" si="82"/>
        <v>650000000001885</v>
      </c>
      <c r="L3392" s="151" t="s">
        <v>9021</v>
      </c>
    </row>
    <row r="3393" spans="8:12" x14ac:dyDescent="0.25">
      <c r="H3393" s="151" t="s">
        <v>5046</v>
      </c>
      <c r="I3393" s="151" t="s">
        <v>6962</v>
      </c>
      <c r="J3393" s="151" t="s">
        <v>6962</v>
      </c>
      <c r="K3393" s="151">
        <f t="shared" si="82"/>
        <v>0</v>
      </c>
      <c r="L3393" s="151" t="s">
        <v>9021</v>
      </c>
    </row>
    <row r="3394" spans="8:12" x14ac:dyDescent="0.25">
      <c r="H3394" s="151" t="s">
        <v>5046</v>
      </c>
      <c r="I3394" s="151" t="s">
        <v>391</v>
      </c>
      <c r="J3394" s="151" t="s">
        <v>8160</v>
      </c>
      <c r="K3394" s="151">
        <f t="shared" si="82"/>
        <v>650000000000886</v>
      </c>
      <c r="L3394" s="151" t="s">
        <v>9021</v>
      </c>
    </row>
    <row r="3395" spans="8:12" x14ac:dyDescent="0.25">
      <c r="H3395" s="151" t="s">
        <v>6892</v>
      </c>
      <c r="I3395" s="151" t="s">
        <v>6962</v>
      </c>
      <c r="J3395" s="151" t="s">
        <v>6962</v>
      </c>
      <c r="K3395" s="151">
        <f t="shared" ref="K3395:K3458" si="83">+IFERROR(J3395*1,0)</f>
        <v>0</v>
      </c>
      <c r="L3395" s="151" t="s">
        <v>9021</v>
      </c>
    </row>
    <row r="3396" spans="8:12" x14ac:dyDescent="0.25">
      <c r="H3396" s="151" t="s">
        <v>5047</v>
      </c>
      <c r="I3396" s="151" t="s">
        <v>6962</v>
      </c>
      <c r="J3396" s="151" t="s">
        <v>6962</v>
      </c>
      <c r="K3396" s="151">
        <f t="shared" si="83"/>
        <v>0</v>
      </c>
      <c r="L3396" s="151" t="s">
        <v>9021</v>
      </c>
    </row>
    <row r="3397" spans="8:12" x14ac:dyDescent="0.25">
      <c r="H3397" s="151" t="s">
        <v>5047</v>
      </c>
      <c r="I3397" s="151" t="s">
        <v>391</v>
      </c>
      <c r="J3397" s="151" t="s">
        <v>8161</v>
      </c>
      <c r="K3397" s="151">
        <f t="shared" si="83"/>
        <v>650000000001886</v>
      </c>
      <c r="L3397" s="151" t="s">
        <v>9021</v>
      </c>
    </row>
    <row r="3398" spans="8:12" x14ac:dyDescent="0.25">
      <c r="H3398" s="151" t="s">
        <v>5048</v>
      </c>
      <c r="I3398" s="151" t="s">
        <v>6962</v>
      </c>
      <c r="J3398" s="151" t="s">
        <v>6962</v>
      </c>
      <c r="K3398" s="151">
        <f t="shared" si="83"/>
        <v>0</v>
      </c>
      <c r="L3398" s="151" t="s">
        <v>9021</v>
      </c>
    </row>
    <row r="3399" spans="8:12" x14ac:dyDescent="0.25">
      <c r="H3399" s="151" t="s">
        <v>5048</v>
      </c>
      <c r="I3399" s="151" t="s">
        <v>391</v>
      </c>
      <c r="J3399" s="151" t="s">
        <v>8162</v>
      </c>
      <c r="K3399" s="151">
        <f t="shared" si="83"/>
        <v>650000000001887</v>
      </c>
      <c r="L3399" s="151" t="s">
        <v>9021</v>
      </c>
    </row>
    <row r="3400" spans="8:12" x14ac:dyDescent="0.25">
      <c r="H3400" s="151" t="s">
        <v>5049</v>
      </c>
      <c r="I3400" s="151" t="s">
        <v>6962</v>
      </c>
      <c r="J3400" s="151" t="s">
        <v>6962</v>
      </c>
      <c r="K3400" s="151">
        <f t="shared" si="83"/>
        <v>0</v>
      </c>
      <c r="L3400" s="151" t="s">
        <v>9021</v>
      </c>
    </row>
    <row r="3401" spans="8:12" x14ac:dyDescent="0.25">
      <c r="H3401" s="151" t="s">
        <v>5049</v>
      </c>
      <c r="I3401" s="151" t="s">
        <v>391</v>
      </c>
      <c r="J3401" s="151" t="s">
        <v>8163</v>
      </c>
      <c r="K3401" s="151">
        <f t="shared" si="83"/>
        <v>650000000000887</v>
      </c>
      <c r="L3401" s="151" t="s">
        <v>9021</v>
      </c>
    </row>
    <row r="3402" spans="8:12" x14ac:dyDescent="0.25">
      <c r="H3402" s="151" t="s">
        <v>5050</v>
      </c>
      <c r="I3402" s="151" t="s">
        <v>6962</v>
      </c>
      <c r="J3402" s="151" t="s">
        <v>6962</v>
      </c>
      <c r="K3402" s="151">
        <f t="shared" si="83"/>
        <v>0</v>
      </c>
      <c r="L3402" s="151" t="s">
        <v>9021</v>
      </c>
    </row>
    <row r="3403" spans="8:12" x14ac:dyDescent="0.25">
      <c r="H3403" s="151" t="s">
        <v>5050</v>
      </c>
      <c r="I3403" s="151" t="s">
        <v>391</v>
      </c>
      <c r="J3403" s="151" t="s">
        <v>8164</v>
      </c>
      <c r="K3403" s="151">
        <f t="shared" si="83"/>
        <v>650000000000888</v>
      </c>
      <c r="L3403" s="151" t="s">
        <v>9021</v>
      </c>
    </row>
    <row r="3404" spans="8:12" x14ac:dyDescent="0.25">
      <c r="H3404" s="151" t="s">
        <v>5051</v>
      </c>
      <c r="I3404" s="151" t="s">
        <v>6962</v>
      </c>
      <c r="J3404" s="151" t="s">
        <v>6962</v>
      </c>
      <c r="K3404" s="151">
        <f t="shared" si="83"/>
        <v>0</v>
      </c>
      <c r="L3404" s="151" t="s">
        <v>9021</v>
      </c>
    </row>
    <row r="3405" spans="8:12" x14ac:dyDescent="0.25">
      <c r="H3405" s="151" t="s">
        <v>5051</v>
      </c>
      <c r="I3405" s="151" t="s">
        <v>391</v>
      </c>
      <c r="J3405" s="151" t="s">
        <v>8165</v>
      </c>
      <c r="K3405" s="151">
        <f t="shared" si="83"/>
        <v>650000000000889</v>
      </c>
      <c r="L3405" s="151" t="s">
        <v>9021</v>
      </c>
    </row>
    <row r="3406" spans="8:12" x14ac:dyDescent="0.25">
      <c r="H3406" s="151" t="s">
        <v>5052</v>
      </c>
      <c r="I3406" s="151" t="s">
        <v>6962</v>
      </c>
      <c r="J3406" s="151" t="s">
        <v>6962</v>
      </c>
      <c r="K3406" s="151">
        <f t="shared" si="83"/>
        <v>0</v>
      </c>
      <c r="L3406" s="151" t="s">
        <v>9021</v>
      </c>
    </row>
    <row r="3407" spans="8:12" x14ac:dyDescent="0.25">
      <c r="H3407" s="151" t="s">
        <v>5052</v>
      </c>
      <c r="I3407" s="151" t="s">
        <v>391</v>
      </c>
      <c r="J3407" s="151" t="s">
        <v>8166</v>
      </c>
      <c r="K3407" s="151">
        <f t="shared" si="83"/>
        <v>650000000000890</v>
      </c>
      <c r="L3407" s="151" t="s">
        <v>9021</v>
      </c>
    </row>
    <row r="3408" spans="8:12" x14ac:dyDescent="0.25">
      <c r="H3408" s="151" t="s">
        <v>5053</v>
      </c>
      <c r="I3408" s="151" t="s">
        <v>6962</v>
      </c>
      <c r="J3408" s="151" t="s">
        <v>6962</v>
      </c>
      <c r="K3408" s="151">
        <f t="shared" si="83"/>
        <v>0</v>
      </c>
      <c r="L3408" s="151" t="s">
        <v>9021</v>
      </c>
    </row>
    <row r="3409" spans="8:12" x14ac:dyDescent="0.25">
      <c r="H3409" s="151" t="s">
        <v>5053</v>
      </c>
      <c r="I3409" s="151" t="s">
        <v>391</v>
      </c>
      <c r="J3409" s="151" t="s">
        <v>8167</v>
      </c>
      <c r="K3409" s="151">
        <f t="shared" si="83"/>
        <v>650000000000891</v>
      </c>
      <c r="L3409" s="151" t="s">
        <v>9021</v>
      </c>
    </row>
    <row r="3410" spans="8:12" x14ac:dyDescent="0.25">
      <c r="H3410" s="151" t="s">
        <v>5054</v>
      </c>
      <c r="I3410" s="151" t="s">
        <v>6962</v>
      </c>
      <c r="J3410" s="151" t="s">
        <v>6962</v>
      </c>
      <c r="K3410" s="151">
        <f t="shared" si="83"/>
        <v>0</v>
      </c>
      <c r="L3410" s="151" t="s">
        <v>9021</v>
      </c>
    </row>
    <row r="3411" spans="8:12" x14ac:dyDescent="0.25">
      <c r="H3411" s="151" t="s">
        <v>5054</v>
      </c>
      <c r="I3411" s="151" t="s">
        <v>391</v>
      </c>
      <c r="J3411" s="151" t="s">
        <v>8168</v>
      </c>
      <c r="K3411" s="151">
        <f t="shared" si="83"/>
        <v>650000000000892</v>
      </c>
      <c r="L3411" s="151" t="s">
        <v>9021</v>
      </c>
    </row>
    <row r="3412" spans="8:12" x14ac:dyDescent="0.25">
      <c r="H3412" s="151" t="s">
        <v>5055</v>
      </c>
      <c r="I3412" s="151" t="s">
        <v>6962</v>
      </c>
      <c r="J3412" s="151" t="s">
        <v>6962</v>
      </c>
      <c r="K3412" s="151">
        <f t="shared" si="83"/>
        <v>0</v>
      </c>
      <c r="L3412" s="151" t="s">
        <v>9021</v>
      </c>
    </row>
    <row r="3413" spans="8:12" x14ac:dyDescent="0.25">
      <c r="H3413" s="151" t="s">
        <v>5055</v>
      </c>
      <c r="I3413" s="151" t="s">
        <v>391</v>
      </c>
      <c r="J3413" s="151" t="s">
        <v>8169</v>
      </c>
      <c r="K3413" s="151">
        <f t="shared" si="83"/>
        <v>650000000000893</v>
      </c>
      <c r="L3413" s="151" t="s">
        <v>9021</v>
      </c>
    </row>
    <row r="3414" spans="8:12" x14ac:dyDescent="0.25">
      <c r="H3414" s="151" t="s">
        <v>5056</v>
      </c>
      <c r="I3414" s="151" t="s">
        <v>6962</v>
      </c>
      <c r="J3414" s="151" t="s">
        <v>6962</v>
      </c>
      <c r="K3414" s="151">
        <f t="shared" si="83"/>
        <v>0</v>
      </c>
      <c r="L3414" s="151" t="s">
        <v>9021</v>
      </c>
    </row>
    <row r="3415" spans="8:12" x14ac:dyDescent="0.25">
      <c r="H3415" s="151" t="s">
        <v>5056</v>
      </c>
      <c r="I3415" s="151" t="s">
        <v>391</v>
      </c>
      <c r="J3415" s="151" t="s">
        <v>8170</v>
      </c>
      <c r="K3415" s="151">
        <f t="shared" si="83"/>
        <v>650000000001888</v>
      </c>
      <c r="L3415" s="151" t="s">
        <v>9021</v>
      </c>
    </row>
    <row r="3416" spans="8:12" x14ac:dyDescent="0.25">
      <c r="H3416" s="151" t="s">
        <v>5057</v>
      </c>
      <c r="I3416" s="151" t="s">
        <v>6962</v>
      </c>
      <c r="J3416" s="151" t="s">
        <v>6962</v>
      </c>
      <c r="K3416" s="151">
        <f t="shared" si="83"/>
        <v>0</v>
      </c>
      <c r="L3416" s="151" t="s">
        <v>9021</v>
      </c>
    </row>
    <row r="3417" spans="8:12" x14ac:dyDescent="0.25">
      <c r="H3417" s="151" t="s">
        <v>5057</v>
      </c>
      <c r="I3417" s="151" t="s">
        <v>391</v>
      </c>
      <c r="J3417" s="151" t="s">
        <v>8171</v>
      </c>
      <c r="K3417" s="151">
        <f t="shared" si="83"/>
        <v>650000000000894</v>
      </c>
      <c r="L3417" s="151" t="s">
        <v>9021</v>
      </c>
    </row>
    <row r="3418" spans="8:12" x14ac:dyDescent="0.25">
      <c r="H3418" s="151" t="s">
        <v>5058</v>
      </c>
      <c r="I3418" s="151" t="s">
        <v>6962</v>
      </c>
      <c r="J3418" s="151" t="s">
        <v>6962</v>
      </c>
      <c r="K3418" s="151">
        <f t="shared" si="83"/>
        <v>0</v>
      </c>
      <c r="L3418" s="151" t="s">
        <v>9021</v>
      </c>
    </row>
    <row r="3419" spans="8:12" x14ac:dyDescent="0.25">
      <c r="H3419" s="151" t="s">
        <v>5058</v>
      </c>
      <c r="I3419" s="151" t="s">
        <v>391</v>
      </c>
      <c r="J3419" s="151" t="s">
        <v>8172</v>
      </c>
      <c r="K3419" s="151">
        <f t="shared" si="83"/>
        <v>650000000000895</v>
      </c>
      <c r="L3419" s="151" t="s">
        <v>9021</v>
      </c>
    </row>
    <row r="3420" spans="8:12" x14ac:dyDescent="0.25">
      <c r="H3420" s="151" t="s">
        <v>5059</v>
      </c>
      <c r="I3420" s="151" t="s">
        <v>6962</v>
      </c>
      <c r="J3420" s="151" t="s">
        <v>6962</v>
      </c>
      <c r="K3420" s="151">
        <f t="shared" si="83"/>
        <v>0</v>
      </c>
      <c r="L3420" s="151" t="s">
        <v>9021</v>
      </c>
    </row>
    <row r="3421" spans="8:12" x14ac:dyDescent="0.25">
      <c r="H3421" s="151" t="s">
        <v>5059</v>
      </c>
      <c r="I3421" s="151" t="s">
        <v>391</v>
      </c>
      <c r="J3421" s="151" t="s">
        <v>8173</v>
      </c>
      <c r="K3421" s="151">
        <f t="shared" si="83"/>
        <v>650000000001889</v>
      </c>
      <c r="L3421" s="151" t="s">
        <v>9021</v>
      </c>
    </row>
    <row r="3422" spans="8:12" x14ac:dyDescent="0.25">
      <c r="H3422" s="151" t="s">
        <v>5060</v>
      </c>
      <c r="I3422" s="151" t="s">
        <v>6962</v>
      </c>
      <c r="J3422" s="151" t="s">
        <v>6962</v>
      </c>
      <c r="K3422" s="151">
        <f t="shared" si="83"/>
        <v>0</v>
      </c>
      <c r="L3422" s="151" t="s">
        <v>9021</v>
      </c>
    </row>
    <row r="3423" spans="8:12" x14ac:dyDescent="0.25">
      <c r="H3423" s="151" t="s">
        <v>5060</v>
      </c>
      <c r="I3423" s="151" t="s">
        <v>391</v>
      </c>
      <c r="J3423" s="151" t="s">
        <v>8174</v>
      </c>
      <c r="K3423" s="151">
        <f t="shared" si="83"/>
        <v>650000000000896</v>
      </c>
      <c r="L3423" s="151" t="s">
        <v>9021</v>
      </c>
    </row>
    <row r="3424" spans="8:12" x14ac:dyDescent="0.25">
      <c r="H3424" s="151" t="s">
        <v>5061</v>
      </c>
      <c r="I3424" s="151" t="s">
        <v>6962</v>
      </c>
      <c r="J3424" s="151" t="s">
        <v>6962</v>
      </c>
      <c r="K3424" s="151">
        <f t="shared" si="83"/>
        <v>0</v>
      </c>
      <c r="L3424" s="151" t="s">
        <v>9021</v>
      </c>
    </row>
    <row r="3425" spans="8:12" x14ac:dyDescent="0.25">
      <c r="H3425" s="151" t="s">
        <v>5061</v>
      </c>
      <c r="I3425" s="151" t="s">
        <v>391</v>
      </c>
      <c r="J3425" s="151" t="s">
        <v>8175</v>
      </c>
      <c r="K3425" s="151">
        <f t="shared" si="83"/>
        <v>650000000000897</v>
      </c>
      <c r="L3425" s="151" t="s">
        <v>9021</v>
      </c>
    </row>
    <row r="3426" spans="8:12" x14ac:dyDescent="0.25">
      <c r="H3426" s="151" t="s">
        <v>5062</v>
      </c>
      <c r="I3426" s="151" t="s">
        <v>6962</v>
      </c>
      <c r="J3426" s="151" t="s">
        <v>6962</v>
      </c>
      <c r="K3426" s="151">
        <f t="shared" si="83"/>
        <v>0</v>
      </c>
      <c r="L3426" s="151" t="s">
        <v>9021</v>
      </c>
    </row>
    <row r="3427" spans="8:12" x14ac:dyDescent="0.25">
      <c r="H3427" s="151" t="s">
        <v>5062</v>
      </c>
      <c r="I3427" s="151" t="s">
        <v>391</v>
      </c>
      <c r="J3427" s="151" t="s">
        <v>8176</v>
      </c>
      <c r="K3427" s="151">
        <f t="shared" si="83"/>
        <v>650000000001890</v>
      </c>
      <c r="L3427" s="151" t="s">
        <v>9021</v>
      </c>
    </row>
    <row r="3428" spans="8:12" x14ac:dyDescent="0.25">
      <c r="H3428" s="151" t="s">
        <v>5063</v>
      </c>
      <c r="I3428" s="151" t="s">
        <v>6962</v>
      </c>
      <c r="J3428" s="151" t="s">
        <v>6962</v>
      </c>
      <c r="K3428" s="151">
        <f t="shared" si="83"/>
        <v>0</v>
      </c>
      <c r="L3428" s="151" t="s">
        <v>9021</v>
      </c>
    </row>
    <row r="3429" spans="8:12" x14ac:dyDescent="0.25">
      <c r="H3429" s="151" t="s">
        <v>5063</v>
      </c>
      <c r="I3429" s="151" t="s">
        <v>391</v>
      </c>
      <c r="J3429" s="151" t="s">
        <v>8177</v>
      </c>
      <c r="K3429" s="151">
        <f t="shared" si="83"/>
        <v>650000000001891</v>
      </c>
      <c r="L3429" s="151" t="s">
        <v>9021</v>
      </c>
    </row>
    <row r="3430" spans="8:12" x14ac:dyDescent="0.25">
      <c r="H3430" s="151" t="s">
        <v>5064</v>
      </c>
      <c r="I3430" s="151" t="s">
        <v>6962</v>
      </c>
      <c r="J3430" s="151" t="s">
        <v>6962</v>
      </c>
      <c r="K3430" s="151">
        <f t="shared" si="83"/>
        <v>0</v>
      </c>
      <c r="L3430" s="151" t="s">
        <v>9021</v>
      </c>
    </row>
    <row r="3431" spans="8:12" x14ac:dyDescent="0.25">
      <c r="H3431" s="151" t="s">
        <v>5064</v>
      </c>
      <c r="I3431" s="151" t="s">
        <v>391</v>
      </c>
      <c r="J3431" s="151" t="s">
        <v>8178</v>
      </c>
      <c r="K3431" s="151">
        <f t="shared" si="83"/>
        <v>650000000000898</v>
      </c>
      <c r="L3431" s="151" t="s">
        <v>9021</v>
      </c>
    </row>
    <row r="3432" spans="8:12" x14ac:dyDescent="0.25">
      <c r="H3432" s="151" t="s">
        <v>5065</v>
      </c>
      <c r="I3432" s="151" t="s">
        <v>6962</v>
      </c>
      <c r="J3432" s="151" t="s">
        <v>6962</v>
      </c>
      <c r="K3432" s="151">
        <f t="shared" si="83"/>
        <v>0</v>
      </c>
      <c r="L3432" s="151" t="s">
        <v>9021</v>
      </c>
    </row>
    <row r="3433" spans="8:12" x14ac:dyDescent="0.25">
      <c r="H3433" s="151" t="s">
        <v>5065</v>
      </c>
      <c r="I3433" s="151" t="s">
        <v>391</v>
      </c>
      <c r="J3433" s="151" t="s">
        <v>8179</v>
      </c>
      <c r="K3433" s="151">
        <f t="shared" si="83"/>
        <v>650000000001892</v>
      </c>
      <c r="L3433" s="151" t="s">
        <v>9021</v>
      </c>
    </row>
    <row r="3434" spans="8:12" x14ac:dyDescent="0.25">
      <c r="H3434" s="151" t="s">
        <v>5066</v>
      </c>
      <c r="I3434" s="151" t="s">
        <v>6962</v>
      </c>
      <c r="J3434" s="151" t="s">
        <v>6962</v>
      </c>
      <c r="K3434" s="151">
        <f t="shared" si="83"/>
        <v>0</v>
      </c>
      <c r="L3434" s="151" t="s">
        <v>9021</v>
      </c>
    </row>
    <row r="3435" spans="8:12" x14ac:dyDescent="0.25">
      <c r="H3435" s="151" t="s">
        <v>5066</v>
      </c>
      <c r="I3435" s="151" t="s">
        <v>391</v>
      </c>
      <c r="J3435" s="151" t="s">
        <v>8180</v>
      </c>
      <c r="K3435" s="151">
        <f t="shared" si="83"/>
        <v>650000000000899</v>
      </c>
      <c r="L3435" s="151" t="s">
        <v>9021</v>
      </c>
    </row>
    <row r="3436" spans="8:12" x14ac:dyDescent="0.25">
      <c r="H3436" s="151" t="s">
        <v>5067</v>
      </c>
      <c r="I3436" s="151" t="s">
        <v>6962</v>
      </c>
      <c r="J3436" s="151" t="s">
        <v>6962</v>
      </c>
      <c r="K3436" s="151">
        <f t="shared" si="83"/>
        <v>0</v>
      </c>
      <c r="L3436" s="151" t="s">
        <v>9021</v>
      </c>
    </row>
    <row r="3437" spans="8:12" x14ac:dyDescent="0.25">
      <c r="H3437" s="151" t="s">
        <v>5067</v>
      </c>
      <c r="I3437" s="151" t="s">
        <v>391</v>
      </c>
      <c r="J3437" s="151" t="s">
        <v>8181</v>
      </c>
      <c r="K3437" s="151">
        <f t="shared" si="83"/>
        <v>650000000000900</v>
      </c>
      <c r="L3437" s="151" t="s">
        <v>9021</v>
      </c>
    </row>
    <row r="3438" spans="8:12" x14ac:dyDescent="0.25">
      <c r="H3438" s="151" t="s">
        <v>5068</v>
      </c>
      <c r="I3438" s="151" t="s">
        <v>6962</v>
      </c>
      <c r="J3438" s="151" t="s">
        <v>6962</v>
      </c>
      <c r="K3438" s="151">
        <f t="shared" si="83"/>
        <v>0</v>
      </c>
      <c r="L3438" s="151" t="s">
        <v>9021</v>
      </c>
    </row>
    <row r="3439" spans="8:12" x14ac:dyDescent="0.25">
      <c r="H3439" s="151" t="s">
        <v>5068</v>
      </c>
      <c r="I3439" s="151" t="s">
        <v>391</v>
      </c>
      <c r="J3439" s="151" t="s">
        <v>8182</v>
      </c>
      <c r="K3439" s="151">
        <f t="shared" si="83"/>
        <v>650000000001893</v>
      </c>
      <c r="L3439" s="151" t="s">
        <v>9021</v>
      </c>
    </row>
    <row r="3440" spans="8:12" x14ac:dyDescent="0.25">
      <c r="H3440" s="151" t="s">
        <v>5069</v>
      </c>
      <c r="I3440" s="151" t="s">
        <v>6962</v>
      </c>
      <c r="J3440" s="151" t="s">
        <v>6962</v>
      </c>
      <c r="K3440" s="151">
        <f t="shared" si="83"/>
        <v>0</v>
      </c>
      <c r="L3440" s="151" t="s">
        <v>9021</v>
      </c>
    </row>
    <row r="3441" spans="8:12" x14ac:dyDescent="0.25">
      <c r="H3441" s="151" t="s">
        <v>5069</v>
      </c>
      <c r="I3441" s="151" t="s">
        <v>391</v>
      </c>
      <c r="J3441" s="151" t="s">
        <v>8183</v>
      </c>
      <c r="K3441" s="151">
        <f t="shared" si="83"/>
        <v>650000000000901</v>
      </c>
      <c r="L3441" s="151" t="s">
        <v>9021</v>
      </c>
    </row>
    <row r="3442" spans="8:12" x14ac:dyDescent="0.25">
      <c r="H3442" s="151" t="s">
        <v>5070</v>
      </c>
      <c r="I3442" s="151" t="s">
        <v>6962</v>
      </c>
      <c r="J3442" s="151" t="s">
        <v>6962</v>
      </c>
      <c r="K3442" s="151">
        <f t="shared" si="83"/>
        <v>0</v>
      </c>
      <c r="L3442" s="151" t="s">
        <v>9021</v>
      </c>
    </row>
    <row r="3443" spans="8:12" x14ac:dyDescent="0.25">
      <c r="H3443" s="151" t="s">
        <v>5070</v>
      </c>
      <c r="I3443" s="151" t="s">
        <v>391</v>
      </c>
      <c r="J3443" s="151" t="s">
        <v>8184</v>
      </c>
      <c r="K3443" s="151">
        <f t="shared" si="83"/>
        <v>650000000000902</v>
      </c>
      <c r="L3443" s="151" t="s">
        <v>9021</v>
      </c>
    </row>
    <row r="3444" spans="8:12" x14ac:dyDescent="0.25">
      <c r="H3444" s="151" t="s">
        <v>5071</v>
      </c>
      <c r="I3444" s="151" t="s">
        <v>6962</v>
      </c>
      <c r="J3444" s="151" t="s">
        <v>6962</v>
      </c>
      <c r="K3444" s="151">
        <f t="shared" si="83"/>
        <v>0</v>
      </c>
      <c r="L3444" s="151" t="s">
        <v>9021</v>
      </c>
    </row>
    <row r="3445" spans="8:12" x14ac:dyDescent="0.25">
      <c r="H3445" s="151" t="s">
        <v>5071</v>
      </c>
      <c r="I3445" s="151" t="s">
        <v>391</v>
      </c>
      <c r="J3445" s="151" t="s">
        <v>8185</v>
      </c>
      <c r="K3445" s="151">
        <f t="shared" si="83"/>
        <v>650000000000903</v>
      </c>
      <c r="L3445" s="151" t="s">
        <v>9021</v>
      </c>
    </row>
    <row r="3446" spans="8:12" x14ac:dyDescent="0.25">
      <c r="H3446" s="151" t="s">
        <v>5072</v>
      </c>
      <c r="I3446" s="151" t="s">
        <v>6962</v>
      </c>
      <c r="J3446" s="151" t="s">
        <v>6962</v>
      </c>
      <c r="K3446" s="151">
        <f t="shared" si="83"/>
        <v>0</v>
      </c>
      <c r="L3446" s="151" t="s">
        <v>9021</v>
      </c>
    </row>
    <row r="3447" spans="8:12" x14ac:dyDescent="0.25">
      <c r="H3447" s="151" t="s">
        <v>5072</v>
      </c>
      <c r="I3447" s="151" t="s">
        <v>391</v>
      </c>
      <c r="J3447" s="151" t="s">
        <v>8186</v>
      </c>
      <c r="K3447" s="151">
        <f t="shared" si="83"/>
        <v>650000000000904</v>
      </c>
      <c r="L3447" s="151" t="s">
        <v>9021</v>
      </c>
    </row>
    <row r="3448" spans="8:12" x14ac:dyDescent="0.25">
      <c r="H3448" s="151" t="s">
        <v>5073</v>
      </c>
      <c r="I3448" s="151" t="s">
        <v>6962</v>
      </c>
      <c r="J3448" s="151" t="s">
        <v>6962</v>
      </c>
      <c r="K3448" s="151">
        <f t="shared" si="83"/>
        <v>0</v>
      </c>
      <c r="L3448" s="151" t="s">
        <v>9021</v>
      </c>
    </row>
    <row r="3449" spans="8:12" x14ac:dyDescent="0.25">
      <c r="H3449" s="151" t="s">
        <v>5073</v>
      </c>
      <c r="I3449" s="151" t="s">
        <v>391</v>
      </c>
      <c r="J3449" s="151" t="s">
        <v>8187</v>
      </c>
      <c r="K3449" s="151">
        <f t="shared" si="83"/>
        <v>650000000000905</v>
      </c>
      <c r="L3449" s="151" t="s">
        <v>9021</v>
      </c>
    </row>
    <row r="3450" spans="8:12" x14ac:dyDescent="0.25">
      <c r="H3450" s="151" t="s">
        <v>5074</v>
      </c>
      <c r="I3450" s="151" t="s">
        <v>6962</v>
      </c>
      <c r="J3450" s="151" t="s">
        <v>6962</v>
      </c>
      <c r="K3450" s="151">
        <f t="shared" si="83"/>
        <v>0</v>
      </c>
      <c r="L3450" s="151" t="s">
        <v>9021</v>
      </c>
    </row>
    <row r="3451" spans="8:12" x14ac:dyDescent="0.25">
      <c r="H3451" s="151" t="s">
        <v>5074</v>
      </c>
      <c r="I3451" s="151" t="s">
        <v>391</v>
      </c>
      <c r="J3451" s="151" t="s">
        <v>8188</v>
      </c>
      <c r="K3451" s="151">
        <f t="shared" si="83"/>
        <v>650000000001894</v>
      </c>
      <c r="L3451" s="151" t="s">
        <v>9021</v>
      </c>
    </row>
    <row r="3452" spans="8:12" x14ac:dyDescent="0.25">
      <c r="H3452" s="151" t="s">
        <v>5075</v>
      </c>
      <c r="I3452" s="151" t="s">
        <v>6962</v>
      </c>
      <c r="J3452" s="151" t="s">
        <v>6962</v>
      </c>
      <c r="K3452" s="151">
        <f t="shared" si="83"/>
        <v>0</v>
      </c>
      <c r="L3452" s="151" t="s">
        <v>9021</v>
      </c>
    </row>
    <row r="3453" spans="8:12" x14ac:dyDescent="0.25">
      <c r="H3453" s="151" t="s">
        <v>5075</v>
      </c>
      <c r="I3453" s="151" t="s">
        <v>391</v>
      </c>
      <c r="J3453" s="151" t="s">
        <v>8189</v>
      </c>
      <c r="K3453" s="151">
        <f t="shared" si="83"/>
        <v>650000000000906</v>
      </c>
      <c r="L3453" s="151" t="s">
        <v>9021</v>
      </c>
    </row>
    <row r="3454" spans="8:12" x14ac:dyDescent="0.25">
      <c r="H3454" s="151" t="s">
        <v>5076</v>
      </c>
      <c r="I3454" s="151" t="s">
        <v>6962</v>
      </c>
      <c r="J3454" s="151" t="s">
        <v>6962</v>
      </c>
      <c r="K3454" s="151">
        <f t="shared" si="83"/>
        <v>0</v>
      </c>
      <c r="L3454" s="151" t="s">
        <v>9021</v>
      </c>
    </row>
    <row r="3455" spans="8:12" x14ac:dyDescent="0.25">
      <c r="H3455" s="151" t="s">
        <v>5076</v>
      </c>
      <c r="I3455" s="151" t="s">
        <v>391</v>
      </c>
      <c r="J3455" s="151" t="s">
        <v>8190</v>
      </c>
      <c r="K3455" s="151">
        <f t="shared" si="83"/>
        <v>650000000000907</v>
      </c>
      <c r="L3455" s="151" t="s">
        <v>9021</v>
      </c>
    </row>
    <row r="3456" spans="8:12" x14ac:dyDescent="0.25">
      <c r="H3456" s="151" t="s">
        <v>5077</v>
      </c>
      <c r="I3456" s="151" t="s">
        <v>6962</v>
      </c>
      <c r="J3456" s="151" t="s">
        <v>6962</v>
      </c>
      <c r="K3456" s="151">
        <f t="shared" si="83"/>
        <v>0</v>
      </c>
      <c r="L3456" s="151" t="s">
        <v>9021</v>
      </c>
    </row>
    <row r="3457" spans="8:12" x14ac:dyDescent="0.25">
      <c r="H3457" s="151" t="s">
        <v>5077</v>
      </c>
      <c r="I3457" s="151" t="s">
        <v>391</v>
      </c>
      <c r="J3457" s="151" t="s">
        <v>8191</v>
      </c>
      <c r="K3457" s="151">
        <f t="shared" si="83"/>
        <v>650000000000908</v>
      </c>
      <c r="L3457" s="151" t="s">
        <v>9021</v>
      </c>
    </row>
    <row r="3458" spans="8:12" x14ac:dyDescent="0.25">
      <c r="H3458" s="151" t="s">
        <v>5078</v>
      </c>
      <c r="I3458" s="151" t="s">
        <v>6962</v>
      </c>
      <c r="J3458" s="151" t="s">
        <v>6962</v>
      </c>
      <c r="K3458" s="151">
        <f t="shared" si="83"/>
        <v>0</v>
      </c>
      <c r="L3458" s="151" t="s">
        <v>9021</v>
      </c>
    </row>
    <row r="3459" spans="8:12" x14ac:dyDescent="0.25">
      <c r="H3459" s="151" t="s">
        <v>5078</v>
      </c>
      <c r="I3459" s="151" t="s">
        <v>391</v>
      </c>
      <c r="J3459" s="151" t="s">
        <v>8192</v>
      </c>
      <c r="K3459" s="151">
        <f t="shared" ref="K3459:K3522" si="84">+IFERROR(J3459*1,0)</f>
        <v>650000000000909</v>
      </c>
      <c r="L3459" s="151" t="s">
        <v>9021</v>
      </c>
    </row>
    <row r="3460" spans="8:12" x14ac:dyDescent="0.25">
      <c r="H3460" s="151" t="s">
        <v>5079</v>
      </c>
      <c r="I3460" s="151" t="s">
        <v>6962</v>
      </c>
      <c r="J3460" s="151" t="s">
        <v>6962</v>
      </c>
      <c r="K3460" s="151">
        <f t="shared" si="84"/>
        <v>0</v>
      </c>
      <c r="L3460" s="151" t="s">
        <v>9021</v>
      </c>
    </row>
    <row r="3461" spans="8:12" x14ac:dyDescent="0.25">
      <c r="H3461" s="151" t="s">
        <v>5079</v>
      </c>
      <c r="I3461" s="151" t="s">
        <v>391</v>
      </c>
      <c r="J3461" s="151" t="s">
        <v>8193</v>
      </c>
      <c r="K3461" s="151">
        <f t="shared" si="84"/>
        <v>650000000000910</v>
      </c>
      <c r="L3461" s="151" t="s">
        <v>9021</v>
      </c>
    </row>
    <row r="3462" spans="8:12" x14ac:dyDescent="0.25">
      <c r="H3462" s="151" t="s">
        <v>5080</v>
      </c>
      <c r="I3462" s="151" t="s">
        <v>6962</v>
      </c>
      <c r="J3462" s="151" t="s">
        <v>6962</v>
      </c>
      <c r="K3462" s="151">
        <f t="shared" si="84"/>
        <v>0</v>
      </c>
      <c r="L3462" s="151" t="s">
        <v>9021</v>
      </c>
    </row>
    <row r="3463" spans="8:12" x14ac:dyDescent="0.25">
      <c r="H3463" s="151" t="s">
        <v>5080</v>
      </c>
      <c r="I3463" s="151" t="s">
        <v>391</v>
      </c>
      <c r="J3463" s="151" t="s">
        <v>8194</v>
      </c>
      <c r="K3463" s="151">
        <f t="shared" si="84"/>
        <v>650000000000911</v>
      </c>
      <c r="L3463" s="151" t="s">
        <v>9021</v>
      </c>
    </row>
    <row r="3464" spans="8:12" x14ac:dyDescent="0.25">
      <c r="H3464" s="151" t="s">
        <v>5081</v>
      </c>
      <c r="I3464" s="151" t="s">
        <v>6962</v>
      </c>
      <c r="J3464" s="151" t="s">
        <v>6962</v>
      </c>
      <c r="K3464" s="151">
        <f t="shared" si="84"/>
        <v>0</v>
      </c>
      <c r="L3464" s="151" t="s">
        <v>9021</v>
      </c>
    </row>
    <row r="3465" spans="8:12" x14ac:dyDescent="0.25">
      <c r="H3465" s="151" t="s">
        <v>5081</v>
      </c>
      <c r="I3465" s="151" t="s">
        <v>391</v>
      </c>
      <c r="J3465" s="151" t="s">
        <v>8195</v>
      </c>
      <c r="K3465" s="151">
        <f t="shared" si="84"/>
        <v>650000000000912</v>
      </c>
      <c r="L3465" s="151" t="s">
        <v>9021</v>
      </c>
    </row>
    <row r="3466" spans="8:12" x14ac:dyDescent="0.25">
      <c r="H3466" s="151" t="s">
        <v>5082</v>
      </c>
      <c r="I3466" s="151" t="s">
        <v>6962</v>
      </c>
      <c r="J3466" s="151" t="s">
        <v>6962</v>
      </c>
      <c r="K3466" s="151">
        <f t="shared" si="84"/>
        <v>0</v>
      </c>
      <c r="L3466" s="151" t="s">
        <v>9021</v>
      </c>
    </row>
    <row r="3467" spans="8:12" x14ac:dyDescent="0.25">
      <c r="H3467" s="151" t="s">
        <v>5082</v>
      </c>
      <c r="I3467" s="151" t="s">
        <v>391</v>
      </c>
      <c r="J3467" s="151" t="s">
        <v>8196</v>
      </c>
      <c r="K3467" s="151">
        <f t="shared" si="84"/>
        <v>650000000000913</v>
      </c>
      <c r="L3467" s="151" t="s">
        <v>9021</v>
      </c>
    </row>
    <row r="3468" spans="8:12" x14ac:dyDescent="0.25">
      <c r="H3468" s="151" t="s">
        <v>5083</v>
      </c>
      <c r="I3468" s="151" t="s">
        <v>6962</v>
      </c>
      <c r="J3468" s="151" t="s">
        <v>6962</v>
      </c>
      <c r="K3468" s="151">
        <f t="shared" si="84"/>
        <v>0</v>
      </c>
      <c r="L3468" s="151" t="s">
        <v>9021</v>
      </c>
    </row>
    <row r="3469" spans="8:12" x14ac:dyDescent="0.25">
      <c r="H3469" s="151" t="s">
        <v>5083</v>
      </c>
      <c r="I3469" s="151" t="s">
        <v>391</v>
      </c>
      <c r="J3469" s="151" t="s">
        <v>8197</v>
      </c>
      <c r="K3469" s="151">
        <f t="shared" si="84"/>
        <v>650000000000914</v>
      </c>
      <c r="L3469" s="151" t="s">
        <v>9021</v>
      </c>
    </row>
    <row r="3470" spans="8:12" x14ac:dyDescent="0.25">
      <c r="H3470" s="151" t="s">
        <v>5084</v>
      </c>
      <c r="I3470" s="151" t="s">
        <v>6962</v>
      </c>
      <c r="J3470" s="151" t="s">
        <v>6962</v>
      </c>
      <c r="K3470" s="151">
        <f t="shared" si="84"/>
        <v>0</v>
      </c>
      <c r="L3470" s="151" t="s">
        <v>9021</v>
      </c>
    </row>
    <row r="3471" spans="8:12" x14ac:dyDescent="0.25">
      <c r="H3471" s="151" t="s">
        <v>5084</v>
      </c>
      <c r="I3471" s="151" t="s">
        <v>391</v>
      </c>
      <c r="J3471" s="151" t="s">
        <v>8198</v>
      </c>
      <c r="K3471" s="151">
        <f t="shared" si="84"/>
        <v>650000000000915</v>
      </c>
      <c r="L3471" s="151" t="s">
        <v>9021</v>
      </c>
    </row>
    <row r="3472" spans="8:12" x14ac:dyDescent="0.25">
      <c r="H3472" s="151" t="s">
        <v>5085</v>
      </c>
      <c r="I3472" s="151" t="s">
        <v>6962</v>
      </c>
      <c r="J3472" s="151" t="s">
        <v>6962</v>
      </c>
      <c r="K3472" s="151">
        <f t="shared" si="84"/>
        <v>0</v>
      </c>
      <c r="L3472" s="151" t="s">
        <v>9021</v>
      </c>
    </row>
    <row r="3473" spans="8:12" x14ac:dyDescent="0.25">
      <c r="H3473" s="151" t="s">
        <v>5085</v>
      </c>
      <c r="I3473" s="151" t="s">
        <v>391</v>
      </c>
      <c r="J3473" s="151" t="s">
        <v>8199</v>
      </c>
      <c r="K3473" s="151">
        <f t="shared" si="84"/>
        <v>650000000001895</v>
      </c>
      <c r="L3473" s="151" t="s">
        <v>9021</v>
      </c>
    </row>
    <row r="3474" spans="8:12" x14ac:dyDescent="0.25">
      <c r="H3474" s="151" t="s">
        <v>5086</v>
      </c>
      <c r="I3474" s="151" t="s">
        <v>6962</v>
      </c>
      <c r="J3474" s="151" t="s">
        <v>6962</v>
      </c>
      <c r="K3474" s="151">
        <f t="shared" si="84"/>
        <v>0</v>
      </c>
      <c r="L3474" s="151" t="s">
        <v>9021</v>
      </c>
    </row>
    <row r="3475" spans="8:12" x14ac:dyDescent="0.25">
      <c r="H3475" s="151" t="s">
        <v>5086</v>
      </c>
      <c r="I3475" s="151" t="s">
        <v>391</v>
      </c>
      <c r="J3475" s="151" t="s">
        <v>8200</v>
      </c>
      <c r="K3475" s="151">
        <f t="shared" si="84"/>
        <v>650000000000916</v>
      </c>
      <c r="L3475" s="151" t="s">
        <v>9021</v>
      </c>
    </row>
    <row r="3476" spans="8:12" x14ac:dyDescent="0.25">
      <c r="H3476" s="151" t="s">
        <v>5087</v>
      </c>
      <c r="I3476" s="151" t="s">
        <v>6962</v>
      </c>
      <c r="J3476" s="151" t="s">
        <v>6962</v>
      </c>
      <c r="K3476" s="151">
        <f t="shared" si="84"/>
        <v>0</v>
      </c>
      <c r="L3476" s="151" t="s">
        <v>9021</v>
      </c>
    </row>
    <row r="3477" spans="8:12" x14ac:dyDescent="0.25">
      <c r="H3477" s="151" t="s">
        <v>5087</v>
      </c>
      <c r="I3477" s="151" t="s">
        <v>391</v>
      </c>
      <c r="J3477" s="151" t="s">
        <v>8201</v>
      </c>
      <c r="K3477" s="151">
        <f t="shared" si="84"/>
        <v>650000000000917</v>
      </c>
      <c r="L3477" s="151" t="s">
        <v>9021</v>
      </c>
    </row>
    <row r="3478" spans="8:12" x14ac:dyDescent="0.25">
      <c r="H3478" s="151" t="s">
        <v>5088</v>
      </c>
      <c r="I3478" s="151" t="s">
        <v>6962</v>
      </c>
      <c r="J3478" s="151" t="s">
        <v>6962</v>
      </c>
      <c r="K3478" s="151">
        <f t="shared" si="84"/>
        <v>0</v>
      </c>
      <c r="L3478" s="151" t="s">
        <v>9021</v>
      </c>
    </row>
    <row r="3479" spans="8:12" x14ac:dyDescent="0.25">
      <c r="H3479" s="151" t="s">
        <v>5088</v>
      </c>
      <c r="I3479" s="151" t="s">
        <v>391</v>
      </c>
      <c r="J3479" s="151" t="s">
        <v>8202</v>
      </c>
      <c r="K3479" s="151">
        <f t="shared" si="84"/>
        <v>650000000000918</v>
      </c>
      <c r="L3479" s="151" t="s">
        <v>9021</v>
      </c>
    </row>
    <row r="3480" spans="8:12" x14ac:dyDescent="0.25">
      <c r="H3480" s="151" t="s">
        <v>5089</v>
      </c>
      <c r="I3480" s="151" t="s">
        <v>6962</v>
      </c>
      <c r="J3480" s="151" t="s">
        <v>6962</v>
      </c>
      <c r="K3480" s="151">
        <f t="shared" si="84"/>
        <v>0</v>
      </c>
      <c r="L3480" s="151" t="s">
        <v>9021</v>
      </c>
    </row>
    <row r="3481" spans="8:12" x14ac:dyDescent="0.25">
      <c r="H3481" s="151" t="s">
        <v>5089</v>
      </c>
      <c r="I3481" s="151" t="s">
        <v>391</v>
      </c>
      <c r="J3481" s="151" t="s">
        <v>8203</v>
      </c>
      <c r="K3481" s="151">
        <f t="shared" si="84"/>
        <v>650000000000919</v>
      </c>
      <c r="L3481" s="151" t="s">
        <v>9021</v>
      </c>
    </row>
    <row r="3482" spans="8:12" x14ac:dyDescent="0.25">
      <c r="H3482" s="151" t="s">
        <v>5090</v>
      </c>
      <c r="I3482" s="151" t="s">
        <v>6962</v>
      </c>
      <c r="J3482" s="151" t="s">
        <v>6962</v>
      </c>
      <c r="K3482" s="151">
        <f t="shared" si="84"/>
        <v>0</v>
      </c>
      <c r="L3482" s="151" t="s">
        <v>9021</v>
      </c>
    </row>
    <row r="3483" spans="8:12" x14ac:dyDescent="0.25">
      <c r="H3483" s="151" t="s">
        <v>5090</v>
      </c>
      <c r="I3483" s="151" t="s">
        <v>391</v>
      </c>
      <c r="J3483" s="151" t="s">
        <v>8204</v>
      </c>
      <c r="K3483" s="151">
        <f t="shared" si="84"/>
        <v>650000000001896</v>
      </c>
      <c r="L3483" s="151" t="s">
        <v>9021</v>
      </c>
    </row>
    <row r="3484" spans="8:12" x14ac:dyDescent="0.25">
      <c r="H3484" s="151" t="s">
        <v>5091</v>
      </c>
      <c r="I3484" s="151" t="s">
        <v>6962</v>
      </c>
      <c r="J3484" s="151" t="s">
        <v>6962</v>
      </c>
      <c r="K3484" s="151">
        <f t="shared" si="84"/>
        <v>0</v>
      </c>
      <c r="L3484" s="151" t="s">
        <v>9021</v>
      </c>
    </row>
    <row r="3485" spans="8:12" x14ac:dyDescent="0.25">
      <c r="H3485" s="151" t="s">
        <v>5091</v>
      </c>
      <c r="I3485" s="151" t="s">
        <v>391</v>
      </c>
      <c r="J3485" s="151" t="s">
        <v>8205</v>
      </c>
      <c r="K3485" s="151">
        <f t="shared" si="84"/>
        <v>650000000000920</v>
      </c>
      <c r="L3485" s="151" t="s">
        <v>9021</v>
      </c>
    </row>
    <row r="3486" spans="8:12" x14ac:dyDescent="0.25">
      <c r="H3486" s="151" t="s">
        <v>5092</v>
      </c>
      <c r="I3486" s="151" t="s">
        <v>6962</v>
      </c>
      <c r="J3486" s="151" t="s">
        <v>6962</v>
      </c>
      <c r="K3486" s="151">
        <f t="shared" si="84"/>
        <v>0</v>
      </c>
      <c r="L3486" s="151" t="s">
        <v>9021</v>
      </c>
    </row>
    <row r="3487" spans="8:12" x14ac:dyDescent="0.25">
      <c r="H3487" s="151" t="s">
        <v>5092</v>
      </c>
      <c r="I3487" s="151" t="s">
        <v>391</v>
      </c>
      <c r="J3487" s="151" t="s">
        <v>8206</v>
      </c>
      <c r="K3487" s="151">
        <f t="shared" si="84"/>
        <v>650000000000921</v>
      </c>
      <c r="L3487" s="151" t="s">
        <v>9021</v>
      </c>
    </row>
    <row r="3488" spans="8:12" x14ac:dyDescent="0.25">
      <c r="H3488" s="151" t="s">
        <v>5093</v>
      </c>
      <c r="I3488" s="151" t="s">
        <v>6962</v>
      </c>
      <c r="J3488" s="151" t="s">
        <v>6962</v>
      </c>
      <c r="K3488" s="151">
        <f t="shared" si="84"/>
        <v>0</v>
      </c>
      <c r="L3488" s="151" t="s">
        <v>9021</v>
      </c>
    </row>
    <row r="3489" spans="8:12" x14ac:dyDescent="0.25">
      <c r="H3489" s="151" t="s">
        <v>5093</v>
      </c>
      <c r="I3489" s="151" t="s">
        <v>391</v>
      </c>
      <c r="J3489" s="151" t="s">
        <v>8207</v>
      </c>
      <c r="K3489" s="151">
        <f t="shared" si="84"/>
        <v>650000000001897</v>
      </c>
      <c r="L3489" s="151" t="s">
        <v>9021</v>
      </c>
    </row>
    <row r="3490" spans="8:12" x14ac:dyDescent="0.25">
      <c r="H3490" s="151" t="s">
        <v>6893</v>
      </c>
      <c r="I3490" s="151" t="s">
        <v>6962</v>
      </c>
      <c r="J3490" s="151" t="s">
        <v>6962</v>
      </c>
      <c r="K3490" s="151">
        <f t="shared" si="84"/>
        <v>0</v>
      </c>
      <c r="L3490" s="151" t="s">
        <v>9021</v>
      </c>
    </row>
    <row r="3491" spans="8:12" x14ac:dyDescent="0.25">
      <c r="H3491" s="151" t="s">
        <v>6894</v>
      </c>
      <c r="I3491" s="151" t="s">
        <v>6962</v>
      </c>
      <c r="J3491" s="151" t="s">
        <v>6962</v>
      </c>
      <c r="K3491" s="151">
        <f t="shared" si="84"/>
        <v>0</v>
      </c>
      <c r="L3491" s="151" t="s">
        <v>9021</v>
      </c>
    </row>
    <row r="3492" spans="8:12" x14ac:dyDescent="0.25">
      <c r="H3492" s="151" t="s">
        <v>5094</v>
      </c>
      <c r="I3492" s="151" t="s">
        <v>6962</v>
      </c>
      <c r="J3492" s="151" t="s">
        <v>6962</v>
      </c>
      <c r="K3492" s="151">
        <f t="shared" si="84"/>
        <v>0</v>
      </c>
      <c r="L3492" s="151" t="s">
        <v>9021</v>
      </c>
    </row>
    <row r="3493" spans="8:12" x14ac:dyDescent="0.25">
      <c r="H3493" s="151" t="s">
        <v>5094</v>
      </c>
      <c r="I3493" s="151" t="s">
        <v>391</v>
      </c>
      <c r="J3493" s="151" t="s">
        <v>8208</v>
      </c>
      <c r="K3493" s="151">
        <f t="shared" si="84"/>
        <v>650000000001898</v>
      </c>
      <c r="L3493" s="151" t="s">
        <v>9021</v>
      </c>
    </row>
    <row r="3494" spans="8:12" x14ac:dyDescent="0.25">
      <c r="H3494" s="151" t="s">
        <v>5095</v>
      </c>
      <c r="I3494" s="151" t="s">
        <v>6962</v>
      </c>
      <c r="J3494" s="151" t="s">
        <v>6962</v>
      </c>
      <c r="K3494" s="151">
        <f t="shared" si="84"/>
        <v>0</v>
      </c>
      <c r="L3494" s="151" t="s">
        <v>9021</v>
      </c>
    </row>
    <row r="3495" spans="8:12" x14ac:dyDescent="0.25">
      <c r="H3495" s="151" t="s">
        <v>5095</v>
      </c>
      <c r="I3495" s="151" t="s">
        <v>391</v>
      </c>
      <c r="J3495" s="151" t="s">
        <v>8209</v>
      </c>
      <c r="K3495" s="151">
        <f t="shared" si="84"/>
        <v>650000000001899</v>
      </c>
      <c r="L3495" s="151" t="s">
        <v>9021</v>
      </c>
    </row>
    <row r="3496" spans="8:12" x14ac:dyDescent="0.25">
      <c r="H3496" s="151" t="s">
        <v>5096</v>
      </c>
      <c r="I3496" s="151" t="s">
        <v>6962</v>
      </c>
      <c r="J3496" s="151" t="s">
        <v>6962</v>
      </c>
      <c r="K3496" s="151">
        <f t="shared" si="84"/>
        <v>0</v>
      </c>
      <c r="L3496" s="151" t="s">
        <v>9021</v>
      </c>
    </row>
    <row r="3497" spans="8:12" x14ac:dyDescent="0.25">
      <c r="H3497" s="151" t="s">
        <v>5096</v>
      </c>
      <c r="I3497" s="151" t="s">
        <v>391</v>
      </c>
      <c r="J3497" s="151" t="s">
        <v>8210</v>
      </c>
      <c r="K3497" s="151">
        <f t="shared" si="84"/>
        <v>650000000000922</v>
      </c>
      <c r="L3497" s="151" t="s">
        <v>9021</v>
      </c>
    </row>
    <row r="3498" spans="8:12" x14ac:dyDescent="0.25">
      <c r="H3498" s="151" t="s">
        <v>5097</v>
      </c>
      <c r="I3498" s="151" t="s">
        <v>6962</v>
      </c>
      <c r="J3498" s="151" t="s">
        <v>6962</v>
      </c>
      <c r="K3498" s="151">
        <f t="shared" si="84"/>
        <v>0</v>
      </c>
      <c r="L3498" s="151" t="s">
        <v>9021</v>
      </c>
    </row>
    <row r="3499" spans="8:12" x14ac:dyDescent="0.25">
      <c r="H3499" s="151" t="s">
        <v>5097</v>
      </c>
      <c r="I3499" s="151" t="s">
        <v>391</v>
      </c>
      <c r="J3499" s="151" t="s">
        <v>8211</v>
      </c>
      <c r="K3499" s="151">
        <f t="shared" si="84"/>
        <v>650000000000923</v>
      </c>
      <c r="L3499" s="151" t="s">
        <v>9021</v>
      </c>
    </row>
    <row r="3500" spans="8:12" x14ac:dyDescent="0.25">
      <c r="H3500" s="151" t="s">
        <v>5098</v>
      </c>
      <c r="I3500" s="151" t="s">
        <v>6962</v>
      </c>
      <c r="J3500" s="151" t="s">
        <v>6962</v>
      </c>
      <c r="K3500" s="151">
        <f t="shared" si="84"/>
        <v>0</v>
      </c>
      <c r="L3500" s="151" t="s">
        <v>9021</v>
      </c>
    </row>
    <row r="3501" spans="8:12" x14ac:dyDescent="0.25">
      <c r="H3501" s="151" t="s">
        <v>5098</v>
      </c>
      <c r="I3501" s="151" t="s">
        <v>391</v>
      </c>
      <c r="J3501" s="151" t="s">
        <v>8212</v>
      </c>
      <c r="K3501" s="151">
        <f t="shared" si="84"/>
        <v>650000000000924</v>
      </c>
      <c r="L3501" s="151" t="s">
        <v>9021</v>
      </c>
    </row>
    <row r="3502" spans="8:12" x14ac:dyDescent="0.25">
      <c r="H3502" s="151" t="s">
        <v>5099</v>
      </c>
      <c r="I3502" s="151" t="s">
        <v>6962</v>
      </c>
      <c r="J3502" s="151" t="s">
        <v>6962</v>
      </c>
      <c r="K3502" s="151">
        <f t="shared" si="84"/>
        <v>0</v>
      </c>
      <c r="L3502" s="151" t="s">
        <v>9021</v>
      </c>
    </row>
    <row r="3503" spans="8:12" x14ac:dyDescent="0.25">
      <c r="H3503" s="151" t="s">
        <v>5099</v>
      </c>
      <c r="I3503" s="151" t="s">
        <v>391</v>
      </c>
      <c r="J3503" s="151" t="s">
        <v>8213</v>
      </c>
      <c r="K3503" s="151">
        <f t="shared" si="84"/>
        <v>650000000000925</v>
      </c>
      <c r="L3503" s="151" t="s">
        <v>9021</v>
      </c>
    </row>
    <row r="3504" spans="8:12" x14ac:dyDescent="0.25">
      <c r="H3504" s="151" t="s">
        <v>5100</v>
      </c>
      <c r="I3504" s="151" t="s">
        <v>6962</v>
      </c>
      <c r="J3504" s="151" t="s">
        <v>6962</v>
      </c>
      <c r="K3504" s="151">
        <f t="shared" si="84"/>
        <v>0</v>
      </c>
      <c r="L3504" s="151" t="s">
        <v>9021</v>
      </c>
    </row>
    <row r="3505" spans="8:12" x14ac:dyDescent="0.25">
      <c r="H3505" s="151" t="s">
        <v>5100</v>
      </c>
      <c r="I3505" s="151" t="s">
        <v>391</v>
      </c>
      <c r="J3505" s="151" t="s">
        <v>8214</v>
      </c>
      <c r="K3505" s="151">
        <f t="shared" si="84"/>
        <v>650000000000926</v>
      </c>
      <c r="L3505" s="151" t="s">
        <v>9021</v>
      </c>
    </row>
    <row r="3506" spans="8:12" x14ac:dyDescent="0.25">
      <c r="H3506" s="151" t="s">
        <v>5101</v>
      </c>
      <c r="I3506" s="151" t="s">
        <v>6962</v>
      </c>
      <c r="J3506" s="151" t="s">
        <v>6962</v>
      </c>
      <c r="K3506" s="151">
        <f t="shared" si="84"/>
        <v>0</v>
      </c>
      <c r="L3506" s="151" t="s">
        <v>9021</v>
      </c>
    </row>
    <row r="3507" spans="8:12" x14ac:dyDescent="0.25">
      <c r="H3507" s="151" t="s">
        <v>5101</v>
      </c>
      <c r="I3507" s="151" t="s">
        <v>391</v>
      </c>
      <c r="J3507" s="151" t="s">
        <v>8215</v>
      </c>
      <c r="K3507" s="151">
        <f t="shared" si="84"/>
        <v>650000000000927</v>
      </c>
      <c r="L3507" s="151" t="s">
        <v>9021</v>
      </c>
    </row>
    <row r="3508" spans="8:12" x14ac:dyDescent="0.25">
      <c r="H3508" s="151" t="s">
        <v>5102</v>
      </c>
      <c r="I3508" s="151" t="s">
        <v>6962</v>
      </c>
      <c r="J3508" s="151" t="s">
        <v>6962</v>
      </c>
      <c r="K3508" s="151">
        <f t="shared" si="84"/>
        <v>0</v>
      </c>
      <c r="L3508" s="151" t="s">
        <v>9021</v>
      </c>
    </row>
    <row r="3509" spans="8:12" x14ac:dyDescent="0.25">
      <c r="H3509" s="151" t="s">
        <v>5102</v>
      </c>
      <c r="I3509" s="151" t="s">
        <v>391</v>
      </c>
      <c r="J3509" s="151" t="s">
        <v>8216</v>
      </c>
      <c r="K3509" s="151">
        <f t="shared" si="84"/>
        <v>650000000000928</v>
      </c>
      <c r="L3509" s="151" t="s">
        <v>9021</v>
      </c>
    </row>
    <row r="3510" spans="8:12" x14ac:dyDescent="0.25">
      <c r="H3510" s="151" t="s">
        <v>5103</v>
      </c>
      <c r="I3510" s="151" t="s">
        <v>6962</v>
      </c>
      <c r="J3510" s="151" t="s">
        <v>6962</v>
      </c>
      <c r="K3510" s="151">
        <f t="shared" si="84"/>
        <v>0</v>
      </c>
      <c r="L3510" s="151" t="s">
        <v>9021</v>
      </c>
    </row>
    <row r="3511" spans="8:12" x14ac:dyDescent="0.25">
      <c r="H3511" s="151" t="s">
        <v>5103</v>
      </c>
      <c r="I3511" s="151" t="s">
        <v>391</v>
      </c>
      <c r="J3511" s="151" t="s">
        <v>8217</v>
      </c>
      <c r="K3511" s="151">
        <f t="shared" si="84"/>
        <v>650000000000929</v>
      </c>
      <c r="L3511" s="151" t="s">
        <v>9021</v>
      </c>
    </row>
    <row r="3512" spans="8:12" x14ac:dyDescent="0.25">
      <c r="H3512" s="151" t="s">
        <v>5104</v>
      </c>
      <c r="I3512" s="151" t="s">
        <v>6962</v>
      </c>
      <c r="J3512" s="151" t="s">
        <v>6962</v>
      </c>
      <c r="K3512" s="151">
        <f t="shared" si="84"/>
        <v>0</v>
      </c>
      <c r="L3512" s="151" t="s">
        <v>9021</v>
      </c>
    </row>
    <row r="3513" spans="8:12" x14ac:dyDescent="0.25">
      <c r="H3513" s="151" t="s">
        <v>5104</v>
      </c>
      <c r="I3513" s="151" t="s">
        <v>391</v>
      </c>
      <c r="J3513" s="151" t="s">
        <v>8218</v>
      </c>
      <c r="K3513" s="151">
        <f t="shared" si="84"/>
        <v>650000000001900</v>
      </c>
      <c r="L3513" s="151" t="s">
        <v>9021</v>
      </c>
    </row>
    <row r="3514" spans="8:12" x14ac:dyDescent="0.25">
      <c r="H3514" s="151" t="s">
        <v>5105</v>
      </c>
      <c r="I3514" s="151" t="s">
        <v>6962</v>
      </c>
      <c r="J3514" s="151" t="s">
        <v>6962</v>
      </c>
      <c r="K3514" s="151">
        <f t="shared" si="84"/>
        <v>0</v>
      </c>
      <c r="L3514" s="151" t="s">
        <v>9021</v>
      </c>
    </row>
    <row r="3515" spans="8:12" x14ac:dyDescent="0.25">
      <c r="H3515" s="151" t="s">
        <v>5105</v>
      </c>
      <c r="I3515" s="151" t="s">
        <v>391</v>
      </c>
      <c r="J3515" s="151" t="s">
        <v>8219</v>
      </c>
      <c r="K3515" s="151">
        <f t="shared" si="84"/>
        <v>650000000000930</v>
      </c>
      <c r="L3515" s="151" t="s">
        <v>9021</v>
      </c>
    </row>
    <row r="3516" spans="8:12" x14ac:dyDescent="0.25">
      <c r="H3516" s="151" t="s">
        <v>5106</v>
      </c>
      <c r="I3516" s="151" t="s">
        <v>6962</v>
      </c>
      <c r="J3516" s="151" t="s">
        <v>6962</v>
      </c>
      <c r="K3516" s="151">
        <f t="shared" si="84"/>
        <v>0</v>
      </c>
      <c r="L3516" s="151" t="s">
        <v>9021</v>
      </c>
    </row>
    <row r="3517" spans="8:12" x14ac:dyDescent="0.25">
      <c r="H3517" s="151" t="s">
        <v>5106</v>
      </c>
      <c r="I3517" s="151" t="s">
        <v>391</v>
      </c>
      <c r="J3517" s="151" t="s">
        <v>8220</v>
      </c>
      <c r="K3517" s="151">
        <f t="shared" si="84"/>
        <v>650000000000931</v>
      </c>
      <c r="L3517" s="151" t="s">
        <v>9021</v>
      </c>
    </row>
    <row r="3518" spans="8:12" x14ac:dyDescent="0.25">
      <c r="H3518" s="151" t="s">
        <v>5107</v>
      </c>
      <c r="I3518" s="151" t="s">
        <v>6962</v>
      </c>
      <c r="J3518" s="151" t="s">
        <v>6962</v>
      </c>
      <c r="K3518" s="151">
        <f t="shared" si="84"/>
        <v>0</v>
      </c>
      <c r="L3518" s="151" t="s">
        <v>9021</v>
      </c>
    </row>
    <row r="3519" spans="8:12" x14ac:dyDescent="0.25">
      <c r="H3519" s="151" t="s">
        <v>5107</v>
      </c>
      <c r="I3519" s="151" t="s">
        <v>391</v>
      </c>
      <c r="J3519" s="151" t="s">
        <v>8221</v>
      </c>
      <c r="K3519" s="151">
        <f t="shared" si="84"/>
        <v>650000000000932</v>
      </c>
      <c r="L3519" s="151" t="s">
        <v>9021</v>
      </c>
    </row>
    <row r="3520" spans="8:12" x14ac:dyDescent="0.25">
      <c r="H3520" s="151" t="s">
        <v>5108</v>
      </c>
      <c r="I3520" s="151" t="s">
        <v>6962</v>
      </c>
      <c r="J3520" s="151" t="s">
        <v>6962</v>
      </c>
      <c r="K3520" s="151">
        <f t="shared" si="84"/>
        <v>0</v>
      </c>
      <c r="L3520" s="151" t="s">
        <v>9021</v>
      </c>
    </row>
    <row r="3521" spans="8:12" x14ac:dyDescent="0.25">
      <c r="H3521" s="151" t="s">
        <v>5108</v>
      </c>
      <c r="I3521" s="151" t="s">
        <v>391</v>
      </c>
      <c r="J3521" s="151" t="s">
        <v>8222</v>
      </c>
      <c r="K3521" s="151">
        <f t="shared" si="84"/>
        <v>650000000000933</v>
      </c>
      <c r="L3521" s="151" t="s">
        <v>9021</v>
      </c>
    </row>
    <row r="3522" spans="8:12" x14ac:dyDescent="0.25">
      <c r="H3522" s="151" t="s">
        <v>5109</v>
      </c>
      <c r="I3522" s="151" t="s">
        <v>6962</v>
      </c>
      <c r="J3522" s="151" t="s">
        <v>6962</v>
      </c>
      <c r="K3522" s="151">
        <f t="shared" si="84"/>
        <v>0</v>
      </c>
      <c r="L3522" s="151" t="s">
        <v>9021</v>
      </c>
    </row>
    <row r="3523" spans="8:12" x14ac:dyDescent="0.25">
      <c r="H3523" s="151" t="s">
        <v>5109</v>
      </c>
      <c r="I3523" s="151" t="s">
        <v>391</v>
      </c>
      <c r="J3523" s="151" t="s">
        <v>8223</v>
      </c>
      <c r="K3523" s="151">
        <f t="shared" ref="K3523:K3586" si="85">+IFERROR(J3523*1,0)</f>
        <v>650000000000934</v>
      </c>
      <c r="L3523" s="151" t="s">
        <v>9021</v>
      </c>
    </row>
    <row r="3524" spans="8:12" x14ac:dyDescent="0.25">
      <c r="H3524" s="151" t="s">
        <v>5110</v>
      </c>
      <c r="I3524" s="151" t="s">
        <v>6962</v>
      </c>
      <c r="J3524" s="151" t="s">
        <v>6962</v>
      </c>
      <c r="K3524" s="151">
        <f t="shared" si="85"/>
        <v>0</v>
      </c>
      <c r="L3524" s="151" t="s">
        <v>9021</v>
      </c>
    </row>
    <row r="3525" spans="8:12" x14ac:dyDescent="0.25">
      <c r="H3525" s="151" t="s">
        <v>5110</v>
      </c>
      <c r="I3525" s="151" t="s">
        <v>391</v>
      </c>
      <c r="J3525" s="151" t="s">
        <v>8224</v>
      </c>
      <c r="K3525" s="151">
        <f t="shared" si="85"/>
        <v>650000000000935</v>
      </c>
      <c r="L3525" s="151" t="s">
        <v>9021</v>
      </c>
    </row>
    <row r="3526" spans="8:12" x14ac:dyDescent="0.25">
      <c r="H3526" s="151" t="s">
        <v>5111</v>
      </c>
      <c r="I3526" s="151" t="s">
        <v>6962</v>
      </c>
      <c r="J3526" s="151" t="s">
        <v>6962</v>
      </c>
      <c r="K3526" s="151">
        <f t="shared" si="85"/>
        <v>0</v>
      </c>
      <c r="L3526" s="151" t="s">
        <v>9021</v>
      </c>
    </row>
    <row r="3527" spans="8:12" x14ac:dyDescent="0.25">
      <c r="H3527" s="151" t="s">
        <v>5111</v>
      </c>
      <c r="I3527" s="151" t="s">
        <v>391</v>
      </c>
      <c r="J3527" s="151" t="s">
        <v>8225</v>
      </c>
      <c r="K3527" s="151">
        <f t="shared" si="85"/>
        <v>650000000001901</v>
      </c>
      <c r="L3527" s="151" t="s">
        <v>9021</v>
      </c>
    </row>
    <row r="3528" spans="8:12" x14ac:dyDescent="0.25">
      <c r="H3528" s="151" t="s">
        <v>5112</v>
      </c>
      <c r="I3528" s="151" t="s">
        <v>6962</v>
      </c>
      <c r="J3528" s="151" t="s">
        <v>6962</v>
      </c>
      <c r="K3528" s="151">
        <f t="shared" si="85"/>
        <v>0</v>
      </c>
      <c r="L3528" s="151" t="s">
        <v>9021</v>
      </c>
    </row>
    <row r="3529" spans="8:12" x14ac:dyDescent="0.25">
      <c r="H3529" s="151" t="s">
        <v>5112</v>
      </c>
      <c r="I3529" s="151" t="s">
        <v>391</v>
      </c>
      <c r="J3529" s="151" t="s">
        <v>8226</v>
      </c>
      <c r="K3529" s="151">
        <f t="shared" si="85"/>
        <v>650000000000936</v>
      </c>
      <c r="L3529" s="151" t="s">
        <v>9021</v>
      </c>
    </row>
    <row r="3530" spans="8:12" x14ac:dyDescent="0.25">
      <c r="H3530" s="151" t="s">
        <v>5113</v>
      </c>
      <c r="I3530" s="151" t="s">
        <v>6962</v>
      </c>
      <c r="J3530" s="151" t="s">
        <v>6962</v>
      </c>
      <c r="K3530" s="151">
        <f t="shared" si="85"/>
        <v>0</v>
      </c>
      <c r="L3530" s="151" t="s">
        <v>9021</v>
      </c>
    </row>
    <row r="3531" spans="8:12" x14ac:dyDescent="0.25">
      <c r="H3531" s="151" t="s">
        <v>5113</v>
      </c>
      <c r="I3531" s="151" t="s">
        <v>391</v>
      </c>
      <c r="J3531" s="151" t="s">
        <v>8227</v>
      </c>
      <c r="K3531" s="151">
        <f t="shared" si="85"/>
        <v>650000000001902</v>
      </c>
      <c r="L3531" s="151" t="s">
        <v>9021</v>
      </c>
    </row>
    <row r="3532" spans="8:12" x14ac:dyDescent="0.25">
      <c r="H3532" s="151" t="s">
        <v>6895</v>
      </c>
      <c r="I3532" s="151" t="s">
        <v>6962</v>
      </c>
      <c r="J3532" s="151" t="s">
        <v>6962</v>
      </c>
      <c r="K3532" s="151">
        <f t="shared" si="85"/>
        <v>0</v>
      </c>
      <c r="L3532" s="151" t="s">
        <v>9021</v>
      </c>
    </row>
    <row r="3533" spans="8:12" x14ac:dyDescent="0.25">
      <c r="H3533" s="151" t="s">
        <v>5114</v>
      </c>
      <c r="I3533" s="151" t="s">
        <v>6962</v>
      </c>
      <c r="J3533" s="151" t="s">
        <v>6962</v>
      </c>
      <c r="K3533" s="151">
        <f t="shared" si="85"/>
        <v>0</v>
      </c>
      <c r="L3533" s="151" t="s">
        <v>9021</v>
      </c>
    </row>
    <row r="3534" spans="8:12" x14ac:dyDescent="0.25">
      <c r="H3534" s="151" t="s">
        <v>5114</v>
      </c>
      <c r="I3534" s="151" t="s">
        <v>391</v>
      </c>
      <c r="J3534" s="151" t="s">
        <v>8228</v>
      </c>
      <c r="K3534" s="151">
        <f t="shared" si="85"/>
        <v>650000000001903</v>
      </c>
      <c r="L3534" s="151" t="s">
        <v>9021</v>
      </c>
    </row>
    <row r="3535" spans="8:12" x14ac:dyDescent="0.25">
      <c r="H3535" s="151" t="s">
        <v>5115</v>
      </c>
      <c r="I3535" s="151" t="s">
        <v>6962</v>
      </c>
      <c r="J3535" s="151" t="s">
        <v>6962</v>
      </c>
      <c r="K3535" s="151">
        <f t="shared" si="85"/>
        <v>0</v>
      </c>
      <c r="L3535" s="151" t="s">
        <v>9021</v>
      </c>
    </row>
    <row r="3536" spans="8:12" x14ac:dyDescent="0.25">
      <c r="H3536" s="151" t="s">
        <v>5115</v>
      </c>
      <c r="I3536" s="151" t="s">
        <v>391</v>
      </c>
      <c r="J3536" s="151" t="s">
        <v>8229</v>
      </c>
      <c r="K3536" s="151">
        <f t="shared" si="85"/>
        <v>650000000000937</v>
      </c>
      <c r="L3536" s="151" t="s">
        <v>9021</v>
      </c>
    </row>
    <row r="3537" spans="8:12" x14ac:dyDescent="0.25">
      <c r="H3537" s="151" t="s">
        <v>5116</v>
      </c>
      <c r="I3537" s="151" t="s">
        <v>6962</v>
      </c>
      <c r="J3537" s="151" t="s">
        <v>6962</v>
      </c>
      <c r="K3537" s="151">
        <f t="shared" si="85"/>
        <v>0</v>
      </c>
      <c r="L3537" s="151" t="s">
        <v>9021</v>
      </c>
    </row>
    <row r="3538" spans="8:12" x14ac:dyDescent="0.25">
      <c r="H3538" s="151" t="s">
        <v>5116</v>
      </c>
      <c r="I3538" s="151" t="s">
        <v>391</v>
      </c>
      <c r="J3538" s="151" t="s">
        <v>8230</v>
      </c>
      <c r="K3538" s="151">
        <f t="shared" si="85"/>
        <v>650000000000938</v>
      </c>
      <c r="L3538" s="151" t="s">
        <v>9021</v>
      </c>
    </row>
    <row r="3539" spans="8:12" x14ac:dyDescent="0.25">
      <c r="H3539" s="151" t="s">
        <v>5117</v>
      </c>
      <c r="I3539" s="151" t="s">
        <v>6962</v>
      </c>
      <c r="J3539" s="151" t="s">
        <v>6962</v>
      </c>
      <c r="K3539" s="151">
        <f t="shared" si="85"/>
        <v>0</v>
      </c>
      <c r="L3539" s="151" t="s">
        <v>9021</v>
      </c>
    </row>
    <row r="3540" spans="8:12" x14ac:dyDescent="0.25">
      <c r="H3540" s="151" t="s">
        <v>5117</v>
      </c>
      <c r="I3540" s="151" t="s">
        <v>391</v>
      </c>
      <c r="J3540" s="151" t="s">
        <v>8231</v>
      </c>
      <c r="K3540" s="151">
        <f t="shared" si="85"/>
        <v>650000000000939</v>
      </c>
      <c r="L3540" s="151" t="s">
        <v>9021</v>
      </c>
    </row>
    <row r="3541" spans="8:12" x14ac:dyDescent="0.25">
      <c r="H3541" s="151" t="s">
        <v>5118</v>
      </c>
      <c r="I3541" s="151" t="s">
        <v>6962</v>
      </c>
      <c r="J3541" s="151" t="s">
        <v>6962</v>
      </c>
      <c r="K3541" s="151">
        <f t="shared" si="85"/>
        <v>0</v>
      </c>
      <c r="L3541" s="151" t="s">
        <v>9021</v>
      </c>
    </row>
    <row r="3542" spans="8:12" x14ac:dyDescent="0.25">
      <c r="H3542" s="151" t="s">
        <v>5118</v>
      </c>
      <c r="I3542" s="151" t="s">
        <v>391</v>
      </c>
      <c r="J3542" s="151" t="s">
        <v>8232</v>
      </c>
      <c r="K3542" s="151">
        <f t="shared" si="85"/>
        <v>650000000000940</v>
      </c>
      <c r="L3542" s="151" t="s">
        <v>9021</v>
      </c>
    </row>
    <row r="3543" spans="8:12" x14ac:dyDescent="0.25">
      <c r="H3543" s="151" t="s">
        <v>5119</v>
      </c>
      <c r="I3543" s="151" t="s">
        <v>6962</v>
      </c>
      <c r="J3543" s="151" t="s">
        <v>6962</v>
      </c>
      <c r="K3543" s="151">
        <f t="shared" si="85"/>
        <v>0</v>
      </c>
      <c r="L3543" s="151" t="s">
        <v>9021</v>
      </c>
    </row>
    <row r="3544" spans="8:12" x14ac:dyDescent="0.25">
      <c r="H3544" s="151" t="s">
        <v>5119</v>
      </c>
      <c r="I3544" s="151" t="s">
        <v>391</v>
      </c>
      <c r="J3544" s="151" t="s">
        <v>8233</v>
      </c>
      <c r="K3544" s="151">
        <f t="shared" si="85"/>
        <v>650000000000941</v>
      </c>
      <c r="L3544" s="151" t="s">
        <v>9021</v>
      </c>
    </row>
    <row r="3545" spans="8:12" x14ac:dyDescent="0.25">
      <c r="H3545" s="151" t="s">
        <v>5120</v>
      </c>
      <c r="I3545" s="151" t="s">
        <v>6962</v>
      </c>
      <c r="J3545" s="151" t="s">
        <v>6962</v>
      </c>
      <c r="K3545" s="151">
        <f t="shared" si="85"/>
        <v>0</v>
      </c>
      <c r="L3545" s="151" t="s">
        <v>9021</v>
      </c>
    </row>
    <row r="3546" spans="8:12" x14ac:dyDescent="0.25">
      <c r="H3546" s="151" t="s">
        <v>5120</v>
      </c>
      <c r="I3546" s="151" t="s">
        <v>391</v>
      </c>
      <c r="J3546" s="151" t="s">
        <v>8234</v>
      </c>
      <c r="K3546" s="151">
        <f t="shared" si="85"/>
        <v>650000000000942</v>
      </c>
      <c r="L3546" s="151" t="s">
        <v>9021</v>
      </c>
    </row>
    <row r="3547" spans="8:12" x14ac:dyDescent="0.25">
      <c r="H3547" s="151" t="s">
        <v>5121</v>
      </c>
      <c r="I3547" s="151" t="s">
        <v>6962</v>
      </c>
      <c r="J3547" s="151" t="s">
        <v>6962</v>
      </c>
      <c r="K3547" s="151">
        <f t="shared" si="85"/>
        <v>0</v>
      </c>
      <c r="L3547" s="151" t="s">
        <v>9021</v>
      </c>
    </row>
    <row r="3548" spans="8:12" x14ac:dyDescent="0.25">
      <c r="H3548" s="151" t="s">
        <v>5121</v>
      </c>
      <c r="I3548" s="151" t="s">
        <v>391</v>
      </c>
      <c r="J3548" s="151" t="s">
        <v>8235</v>
      </c>
      <c r="K3548" s="151">
        <f t="shared" si="85"/>
        <v>650000000001904</v>
      </c>
      <c r="L3548" s="151" t="s">
        <v>9021</v>
      </c>
    </row>
    <row r="3549" spans="8:12" x14ac:dyDescent="0.25">
      <c r="H3549" s="151" t="s">
        <v>5122</v>
      </c>
      <c r="I3549" s="151" t="s">
        <v>6962</v>
      </c>
      <c r="J3549" s="151" t="s">
        <v>6962</v>
      </c>
      <c r="K3549" s="151">
        <f t="shared" si="85"/>
        <v>0</v>
      </c>
      <c r="L3549" s="151" t="s">
        <v>9021</v>
      </c>
    </row>
    <row r="3550" spans="8:12" x14ac:dyDescent="0.25">
      <c r="H3550" s="151" t="s">
        <v>5122</v>
      </c>
      <c r="I3550" s="151" t="s">
        <v>391</v>
      </c>
      <c r="J3550" s="151" t="s">
        <v>8236</v>
      </c>
      <c r="K3550" s="151">
        <f t="shared" si="85"/>
        <v>650000000001905</v>
      </c>
      <c r="L3550" s="151" t="s">
        <v>9021</v>
      </c>
    </row>
    <row r="3551" spans="8:12" x14ac:dyDescent="0.25">
      <c r="H3551" s="151" t="s">
        <v>5123</v>
      </c>
      <c r="I3551" s="151" t="s">
        <v>6962</v>
      </c>
      <c r="J3551" s="151" t="s">
        <v>6962</v>
      </c>
      <c r="K3551" s="151">
        <f t="shared" si="85"/>
        <v>0</v>
      </c>
      <c r="L3551" s="151" t="s">
        <v>9021</v>
      </c>
    </row>
    <row r="3552" spans="8:12" x14ac:dyDescent="0.25">
      <c r="H3552" s="151" t="s">
        <v>5123</v>
      </c>
      <c r="I3552" s="151" t="s">
        <v>391</v>
      </c>
      <c r="J3552" s="151" t="s">
        <v>8237</v>
      </c>
      <c r="K3552" s="151">
        <f t="shared" si="85"/>
        <v>650000000000943</v>
      </c>
      <c r="L3552" s="151" t="s">
        <v>9021</v>
      </c>
    </row>
    <row r="3553" spans="8:12" x14ac:dyDescent="0.25">
      <c r="H3553" s="151" t="s">
        <v>5124</v>
      </c>
      <c r="I3553" s="151" t="s">
        <v>6962</v>
      </c>
      <c r="J3553" s="151" t="s">
        <v>6962</v>
      </c>
      <c r="K3553" s="151">
        <f t="shared" si="85"/>
        <v>0</v>
      </c>
      <c r="L3553" s="151" t="s">
        <v>9021</v>
      </c>
    </row>
    <row r="3554" spans="8:12" x14ac:dyDescent="0.25">
      <c r="H3554" s="151" t="s">
        <v>5124</v>
      </c>
      <c r="I3554" s="151" t="s">
        <v>391</v>
      </c>
      <c r="J3554" s="151" t="s">
        <v>8238</v>
      </c>
      <c r="K3554" s="151">
        <f t="shared" si="85"/>
        <v>650000000000944</v>
      </c>
      <c r="L3554" s="151" t="s">
        <v>9021</v>
      </c>
    </row>
    <row r="3555" spans="8:12" x14ac:dyDescent="0.25">
      <c r="H3555" s="151" t="s">
        <v>5125</v>
      </c>
      <c r="I3555" s="151" t="s">
        <v>6962</v>
      </c>
      <c r="J3555" s="151" t="s">
        <v>6962</v>
      </c>
      <c r="K3555" s="151">
        <f t="shared" si="85"/>
        <v>0</v>
      </c>
      <c r="L3555" s="151" t="s">
        <v>9021</v>
      </c>
    </row>
    <row r="3556" spans="8:12" x14ac:dyDescent="0.25">
      <c r="H3556" s="151" t="s">
        <v>5125</v>
      </c>
      <c r="I3556" s="151" t="s">
        <v>391</v>
      </c>
      <c r="J3556" s="151" t="s">
        <v>8239</v>
      </c>
      <c r="K3556" s="151">
        <f t="shared" si="85"/>
        <v>650000000000945</v>
      </c>
      <c r="L3556" s="151" t="s">
        <v>9021</v>
      </c>
    </row>
    <row r="3557" spans="8:12" x14ac:dyDescent="0.25">
      <c r="H3557" s="151" t="s">
        <v>5126</v>
      </c>
      <c r="I3557" s="151" t="s">
        <v>6962</v>
      </c>
      <c r="J3557" s="151" t="s">
        <v>6962</v>
      </c>
      <c r="K3557" s="151">
        <f t="shared" si="85"/>
        <v>0</v>
      </c>
      <c r="L3557" s="151" t="s">
        <v>9021</v>
      </c>
    </row>
    <row r="3558" spans="8:12" x14ac:dyDescent="0.25">
      <c r="H3558" s="151" t="s">
        <v>5126</v>
      </c>
      <c r="I3558" s="151" t="s">
        <v>391</v>
      </c>
      <c r="J3558" s="151" t="s">
        <v>8240</v>
      </c>
      <c r="K3558" s="151">
        <f t="shared" si="85"/>
        <v>650000000000946</v>
      </c>
      <c r="L3558" s="151" t="s">
        <v>9021</v>
      </c>
    </row>
    <row r="3559" spans="8:12" x14ac:dyDescent="0.25">
      <c r="H3559" s="151" t="s">
        <v>5127</v>
      </c>
      <c r="I3559" s="151" t="s">
        <v>6962</v>
      </c>
      <c r="J3559" s="151" t="s">
        <v>6962</v>
      </c>
      <c r="K3559" s="151">
        <f t="shared" si="85"/>
        <v>0</v>
      </c>
      <c r="L3559" s="151" t="s">
        <v>9021</v>
      </c>
    </row>
    <row r="3560" spans="8:12" x14ac:dyDescent="0.25">
      <c r="H3560" s="151" t="s">
        <v>5127</v>
      </c>
      <c r="I3560" s="151" t="s">
        <v>391</v>
      </c>
      <c r="J3560" s="151" t="s">
        <v>8241</v>
      </c>
      <c r="K3560" s="151">
        <f t="shared" si="85"/>
        <v>650000000000947</v>
      </c>
      <c r="L3560" s="151" t="s">
        <v>9021</v>
      </c>
    </row>
    <row r="3561" spans="8:12" x14ac:dyDescent="0.25">
      <c r="H3561" s="151" t="s">
        <v>5128</v>
      </c>
      <c r="I3561" s="151" t="s">
        <v>6962</v>
      </c>
      <c r="J3561" s="151" t="s">
        <v>6962</v>
      </c>
      <c r="K3561" s="151">
        <f t="shared" si="85"/>
        <v>0</v>
      </c>
      <c r="L3561" s="151" t="s">
        <v>9021</v>
      </c>
    </row>
    <row r="3562" spans="8:12" x14ac:dyDescent="0.25">
      <c r="H3562" s="151" t="s">
        <v>5128</v>
      </c>
      <c r="I3562" s="151" t="s">
        <v>391</v>
      </c>
      <c r="J3562" s="151" t="s">
        <v>8242</v>
      </c>
      <c r="K3562" s="151">
        <f t="shared" si="85"/>
        <v>650000000000948</v>
      </c>
      <c r="L3562" s="151" t="s">
        <v>9021</v>
      </c>
    </row>
    <row r="3563" spans="8:12" x14ac:dyDescent="0.25">
      <c r="H3563" s="151" t="s">
        <v>5129</v>
      </c>
      <c r="I3563" s="151" t="s">
        <v>6962</v>
      </c>
      <c r="J3563" s="151" t="s">
        <v>6962</v>
      </c>
      <c r="K3563" s="151">
        <f t="shared" si="85"/>
        <v>0</v>
      </c>
      <c r="L3563" s="151" t="s">
        <v>9021</v>
      </c>
    </row>
    <row r="3564" spans="8:12" x14ac:dyDescent="0.25">
      <c r="H3564" s="151" t="s">
        <v>5129</v>
      </c>
      <c r="I3564" s="151" t="s">
        <v>391</v>
      </c>
      <c r="J3564" s="151" t="s">
        <v>8243</v>
      </c>
      <c r="K3564" s="151">
        <f t="shared" si="85"/>
        <v>650000000000949</v>
      </c>
      <c r="L3564" s="151" t="s">
        <v>9021</v>
      </c>
    </row>
    <row r="3565" spans="8:12" x14ac:dyDescent="0.25">
      <c r="H3565" s="151" t="s">
        <v>5130</v>
      </c>
      <c r="I3565" s="151" t="s">
        <v>6962</v>
      </c>
      <c r="J3565" s="151" t="s">
        <v>6962</v>
      </c>
      <c r="K3565" s="151">
        <f t="shared" si="85"/>
        <v>0</v>
      </c>
      <c r="L3565" s="151" t="s">
        <v>9021</v>
      </c>
    </row>
    <row r="3566" spans="8:12" x14ac:dyDescent="0.25">
      <c r="H3566" s="151" t="s">
        <v>5130</v>
      </c>
      <c r="I3566" s="151" t="s">
        <v>391</v>
      </c>
      <c r="J3566" s="151" t="s">
        <v>8244</v>
      </c>
      <c r="K3566" s="151">
        <f t="shared" si="85"/>
        <v>650000000001906</v>
      </c>
      <c r="L3566" s="151" t="s">
        <v>9021</v>
      </c>
    </row>
    <row r="3567" spans="8:12" x14ac:dyDescent="0.25">
      <c r="H3567" s="151" t="s">
        <v>5131</v>
      </c>
      <c r="I3567" s="151" t="s">
        <v>6962</v>
      </c>
      <c r="J3567" s="151" t="s">
        <v>6962</v>
      </c>
      <c r="K3567" s="151">
        <f t="shared" si="85"/>
        <v>0</v>
      </c>
      <c r="L3567" s="151" t="s">
        <v>9021</v>
      </c>
    </row>
    <row r="3568" spans="8:12" x14ac:dyDescent="0.25">
      <c r="H3568" s="151" t="s">
        <v>5131</v>
      </c>
      <c r="I3568" s="151" t="s">
        <v>391</v>
      </c>
      <c r="J3568" s="151" t="s">
        <v>8245</v>
      </c>
      <c r="K3568" s="151">
        <f t="shared" si="85"/>
        <v>650000000000950</v>
      </c>
      <c r="L3568" s="151" t="s">
        <v>9021</v>
      </c>
    </row>
    <row r="3569" spans="8:12" x14ac:dyDescent="0.25">
      <c r="H3569" s="151" t="s">
        <v>5132</v>
      </c>
      <c r="I3569" s="151" t="s">
        <v>6962</v>
      </c>
      <c r="J3569" s="151" t="s">
        <v>6962</v>
      </c>
      <c r="K3569" s="151">
        <f t="shared" si="85"/>
        <v>0</v>
      </c>
      <c r="L3569" s="151" t="s">
        <v>9021</v>
      </c>
    </row>
    <row r="3570" spans="8:12" x14ac:dyDescent="0.25">
      <c r="H3570" s="151" t="s">
        <v>5132</v>
      </c>
      <c r="I3570" s="151" t="s">
        <v>391</v>
      </c>
      <c r="J3570" s="151" t="s">
        <v>8246</v>
      </c>
      <c r="K3570" s="151">
        <f t="shared" si="85"/>
        <v>650000000001907</v>
      </c>
      <c r="L3570" s="151" t="s">
        <v>9021</v>
      </c>
    </row>
    <row r="3571" spans="8:12" x14ac:dyDescent="0.25">
      <c r="H3571" s="151" t="s">
        <v>5133</v>
      </c>
      <c r="I3571" s="151" t="s">
        <v>6962</v>
      </c>
      <c r="J3571" s="151" t="s">
        <v>6962</v>
      </c>
      <c r="K3571" s="151">
        <f t="shared" si="85"/>
        <v>0</v>
      </c>
      <c r="L3571" s="151" t="s">
        <v>9021</v>
      </c>
    </row>
    <row r="3572" spans="8:12" x14ac:dyDescent="0.25">
      <c r="H3572" s="151" t="s">
        <v>5133</v>
      </c>
      <c r="I3572" s="151" t="s">
        <v>391</v>
      </c>
      <c r="J3572" s="151" t="s">
        <v>8247</v>
      </c>
      <c r="K3572" s="151">
        <f t="shared" si="85"/>
        <v>650000000001908</v>
      </c>
      <c r="L3572" s="151" t="s">
        <v>9021</v>
      </c>
    </row>
    <row r="3573" spans="8:12" x14ac:dyDescent="0.25">
      <c r="H3573" s="151" t="s">
        <v>5134</v>
      </c>
      <c r="I3573" s="151" t="s">
        <v>6962</v>
      </c>
      <c r="J3573" s="151" t="s">
        <v>6962</v>
      </c>
      <c r="K3573" s="151">
        <f t="shared" si="85"/>
        <v>0</v>
      </c>
      <c r="L3573" s="151" t="s">
        <v>9021</v>
      </c>
    </row>
    <row r="3574" spans="8:12" x14ac:dyDescent="0.25">
      <c r="H3574" s="151" t="s">
        <v>5134</v>
      </c>
      <c r="I3574" s="151" t="s">
        <v>391</v>
      </c>
      <c r="J3574" s="151" t="s">
        <v>8248</v>
      </c>
      <c r="K3574" s="151">
        <f t="shared" si="85"/>
        <v>650000000000951</v>
      </c>
      <c r="L3574" s="151" t="s">
        <v>9021</v>
      </c>
    </row>
    <row r="3575" spans="8:12" x14ac:dyDescent="0.25">
      <c r="H3575" s="151" t="s">
        <v>5135</v>
      </c>
      <c r="I3575" s="151" t="s">
        <v>6962</v>
      </c>
      <c r="J3575" s="151" t="s">
        <v>6962</v>
      </c>
      <c r="K3575" s="151">
        <f t="shared" si="85"/>
        <v>0</v>
      </c>
      <c r="L3575" s="151" t="s">
        <v>9021</v>
      </c>
    </row>
    <row r="3576" spans="8:12" x14ac:dyDescent="0.25">
      <c r="H3576" s="151" t="s">
        <v>5135</v>
      </c>
      <c r="I3576" s="151" t="s">
        <v>391</v>
      </c>
      <c r="J3576" s="151" t="s">
        <v>8249</v>
      </c>
      <c r="K3576" s="151">
        <f t="shared" si="85"/>
        <v>650000000000952</v>
      </c>
      <c r="L3576" s="151" t="s">
        <v>9021</v>
      </c>
    </row>
    <row r="3577" spans="8:12" x14ac:dyDescent="0.25">
      <c r="H3577" s="151" t="s">
        <v>5136</v>
      </c>
      <c r="I3577" s="151" t="s">
        <v>6962</v>
      </c>
      <c r="J3577" s="151" t="s">
        <v>6962</v>
      </c>
      <c r="K3577" s="151">
        <f t="shared" si="85"/>
        <v>0</v>
      </c>
      <c r="L3577" s="151" t="s">
        <v>9021</v>
      </c>
    </row>
    <row r="3578" spans="8:12" x14ac:dyDescent="0.25">
      <c r="H3578" s="151" t="s">
        <v>5136</v>
      </c>
      <c r="I3578" s="151" t="s">
        <v>391</v>
      </c>
      <c r="J3578" s="151" t="s">
        <v>8250</v>
      </c>
      <c r="K3578" s="151">
        <f t="shared" si="85"/>
        <v>650000000000953</v>
      </c>
      <c r="L3578" s="151" t="s">
        <v>9021</v>
      </c>
    </row>
    <row r="3579" spans="8:12" x14ac:dyDescent="0.25">
      <c r="H3579" s="151" t="s">
        <v>5137</v>
      </c>
      <c r="I3579" s="151" t="s">
        <v>6962</v>
      </c>
      <c r="J3579" s="151" t="s">
        <v>6962</v>
      </c>
      <c r="K3579" s="151">
        <f t="shared" si="85"/>
        <v>0</v>
      </c>
      <c r="L3579" s="151" t="s">
        <v>9021</v>
      </c>
    </row>
    <row r="3580" spans="8:12" x14ac:dyDescent="0.25">
      <c r="H3580" s="151" t="s">
        <v>5137</v>
      </c>
      <c r="I3580" s="151" t="s">
        <v>391</v>
      </c>
      <c r="J3580" s="151" t="s">
        <v>8251</v>
      </c>
      <c r="K3580" s="151">
        <f t="shared" si="85"/>
        <v>650000000000954</v>
      </c>
      <c r="L3580" s="151" t="s">
        <v>9021</v>
      </c>
    </row>
    <row r="3581" spans="8:12" x14ac:dyDescent="0.25">
      <c r="H3581" s="151" t="s">
        <v>5138</v>
      </c>
      <c r="I3581" s="151" t="s">
        <v>6962</v>
      </c>
      <c r="J3581" s="151" t="s">
        <v>6962</v>
      </c>
      <c r="K3581" s="151">
        <f t="shared" si="85"/>
        <v>0</v>
      </c>
      <c r="L3581" s="151" t="s">
        <v>9021</v>
      </c>
    </row>
    <row r="3582" spans="8:12" x14ac:dyDescent="0.25">
      <c r="H3582" s="151" t="s">
        <v>5138</v>
      </c>
      <c r="I3582" s="151" t="s">
        <v>391</v>
      </c>
      <c r="J3582" s="151" t="s">
        <v>8252</v>
      </c>
      <c r="K3582" s="151">
        <f t="shared" si="85"/>
        <v>650000000001909</v>
      </c>
      <c r="L3582" s="151" t="s">
        <v>9021</v>
      </c>
    </row>
    <row r="3583" spans="8:12" x14ac:dyDescent="0.25">
      <c r="H3583" s="151" t="s">
        <v>5139</v>
      </c>
      <c r="I3583" s="151" t="s">
        <v>6962</v>
      </c>
      <c r="J3583" s="151" t="s">
        <v>6962</v>
      </c>
      <c r="K3583" s="151">
        <f t="shared" si="85"/>
        <v>0</v>
      </c>
      <c r="L3583" s="151" t="s">
        <v>9021</v>
      </c>
    </row>
    <row r="3584" spans="8:12" x14ac:dyDescent="0.25">
      <c r="H3584" s="151" t="s">
        <v>5139</v>
      </c>
      <c r="I3584" s="151" t="s">
        <v>391</v>
      </c>
      <c r="J3584" s="151" t="s">
        <v>8253</v>
      </c>
      <c r="K3584" s="151">
        <f t="shared" si="85"/>
        <v>650000000001910</v>
      </c>
      <c r="L3584" s="151" t="s">
        <v>9021</v>
      </c>
    </row>
    <row r="3585" spans="8:12" x14ac:dyDescent="0.25">
      <c r="H3585" s="151" t="s">
        <v>5140</v>
      </c>
      <c r="I3585" s="151" t="s">
        <v>6962</v>
      </c>
      <c r="J3585" s="151" t="s">
        <v>6962</v>
      </c>
      <c r="K3585" s="151">
        <f t="shared" si="85"/>
        <v>0</v>
      </c>
      <c r="L3585" s="151" t="s">
        <v>9021</v>
      </c>
    </row>
    <row r="3586" spans="8:12" x14ac:dyDescent="0.25">
      <c r="H3586" s="151" t="s">
        <v>5140</v>
      </c>
      <c r="I3586" s="151" t="s">
        <v>391</v>
      </c>
      <c r="J3586" s="151" t="s">
        <v>8254</v>
      </c>
      <c r="K3586" s="151">
        <f t="shared" si="85"/>
        <v>650000000001911</v>
      </c>
      <c r="L3586" s="151" t="s">
        <v>9021</v>
      </c>
    </row>
    <row r="3587" spans="8:12" x14ac:dyDescent="0.25">
      <c r="H3587" s="151" t="s">
        <v>5141</v>
      </c>
      <c r="I3587" s="151" t="s">
        <v>6962</v>
      </c>
      <c r="J3587" s="151" t="s">
        <v>6962</v>
      </c>
      <c r="K3587" s="151">
        <f t="shared" ref="K3587:K3650" si="86">+IFERROR(J3587*1,0)</f>
        <v>0</v>
      </c>
      <c r="L3587" s="151" t="s">
        <v>9021</v>
      </c>
    </row>
    <row r="3588" spans="8:12" x14ac:dyDescent="0.25">
      <c r="H3588" s="151" t="s">
        <v>5141</v>
      </c>
      <c r="I3588" s="151" t="s">
        <v>391</v>
      </c>
      <c r="J3588" s="151" t="s">
        <v>8255</v>
      </c>
      <c r="K3588" s="151">
        <f t="shared" si="86"/>
        <v>650000000001912</v>
      </c>
      <c r="L3588" s="151" t="s">
        <v>9021</v>
      </c>
    </row>
    <row r="3589" spans="8:12" x14ac:dyDescent="0.25">
      <c r="H3589" s="151" t="s">
        <v>5142</v>
      </c>
      <c r="I3589" s="151" t="s">
        <v>6962</v>
      </c>
      <c r="J3589" s="151" t="s">
        <v>6962</v>
      </c>
      <c r="K3589" s="151">
        <f t="shared" si="86"/>
        <v>0</v>
      </c>
      <c r="L3589" s="151" t="s">
        <v>9021</v>
      </c>
    </row>
    <row r="3590" spans="8:12" x14ac:dyDescent="0.25">
      <c r="H3590" s="151" t="s">
        <v>5142</v>
      </c>
      <c r="I3590" s="151" t="s">
        <v>391</v>
      </c>
      <c r="J3590" s="151" t="s">
        <v>8256</v>
      </c>
      <c r="K3590" s="151">
        <f t="shared" si="86"/>
        <v>650000000001913</v>
      </c>
      <c r="L3590" s="151" t="s">
        <v>9021</v>
      </c>
    </row>
    <row r="3591" spans="8:12" x14ac:dyDescent="0.25">
      <c r="H3591" s="151" t="s">
        <v>5143</v>
      </c>
      <c r="I3591" s="151" t="s">
        <v>6962</v>
      </c>
      <c r="J3591" s="151" t="s">
        <v>6962</v>
      </c>
      <c r="K3591" s="151">
        <f t="shared" si="86"/>
        <v>0</v>
      </c>
      <c r="L3591" s="151" t="s">
        <v>9021</v>
      </c>
    </row>
    <row r="3592" spans="8:12" x14ac:dyDescent="0.25">
      <c r="H3592" s="151" t="s">
        <v>5143</v>
      </c>
      <c r="I3592" s="151" t="s">
        <v>391</v>
      </c>
      <c r="J3592" s="151" t="s">
        <v>8257</v>
      </c>
      <c r="K3592" s="151">
        <f t="shared" si="86"/>
        <v>650000000000955</v>
      </c>
      <c r="L3592" s="151" t="s">
        <v>9021</v>
      </c>
    </row>
    <row r="3593" spans="8:12" x14ac:dyDescent="0.25">
      <c r="H3593" s="151" t="s">
        <v>5144</v>
      </c>
      <c r="I3593" s="151" t="s">
        <v>6962</v>
      </c>
      <c r="J3593" s="151" t="s">
        <v>6962</v>
      </c>
      <c r="K3593" s="151">
        <f t="shared" si="86"/>
        <v>0</v>
      </c>
      <c r="L3593" s="151" t="s">
        <v>9021</v>
      </c>
    </row>
    <row r="3594" spans="8:12" x14ac:dyDescent="0.25">
      <c r="H3594" s="151" t="s">
        <v>5144</v>
      </c>
      <c r="I3594" s="151" t="s">
        <v>391</v>
      </c>
      <c r="J3594" s="151" t="s">
        <v>8258</v>
      </c>
      <c r="K3594" s="151">
        <f t="shared" si="86"/>
        <v>650000000000956</v>
      </c>
      <c r="L3594" s="151" t="s">
        <v>9021</v>
      </c>
    </row>
    <row r="3595" spans="8:12" x14ac:dyDescent="0.25">
      <c r="H3595" s="151" t="s">
        <v>5145</v>
      </c>
      <c r="I3595" s="151" t="s">
        <v>6962</v>
      </c>
      <c r="J3595" s="151" t="s">
        <v>6962</v>
      </c>
      <c r="K3595" s="151">
        <f t="shared" si="86"/>
        <v>0</v>
      </c>
      <c r="L3595" s="151" t="s">
        <v>9021</v>
      </c>
    </row>
    <row r="3596" spans="8:12" x14ac:dyDescent="0.25">
      <c r="H3596" s="151" t="s">
        <v>5145</v>
      </c>
      <c r="I3596" s="151" t="s">
        <v>391</v>
      </c>
      <c r="J3596" s="151" t="s">
        <v>8259</v>
      </c>
      <c r="K3596" s="151">
        <f t="shared" si="86"/>
        <v>650000000001914</v>
      </c>
      <c r="L3596" s="151" t="s">
        <v>9021</v>
      </c>
    </row>
    <row r="3597" spans="8:12" x14ac:dyDescent="0.25">
      <c r="H3597" s="151" t="s">
        <v>5146</v>
      </c>
      <c r="I3597" s="151" t="s">
        <v>6962</v>
      </c>
      <c r="J3597" s="151" t="s">
        <v>6962</v>
      </c>
      <c r="K3597" s="151">
        <f t="shared" si="86"/>
        <v>0</v>
      </c>
      <c r="L3597" s="151" t="s">
        <v>9021</v>
      </c>
    </row>
    <row r="3598" spans="8:12" x14ac:dyDescent="0.25">
      <c r="H3598" s="151" t="s">
        <v>5146</v>
      </c>
      <c r="I3598" s="151" t="s">
        <v>391</v>
      </c>
      <c r="J3598" s="151" t="s">
        <v>8260</v>
      </c>
      <c r="K3598" s="151">
        <f t="shared" si="86"/>
        <v>650000000001915</v>
      </c>
      <c r="L3598" s="151" t="s">
        <v>9021</v>
      </c>
    </row>
    <row r="3599" spans="8:12" x14ac:dyDescent="0.25">
      <c r="H3599" s="151" t="s">
        <v>5147</v>
      </c>
      <c r="I3599" s="151" t="s">
        <v>6962</v>
      </c>
      <c r="J3599" s="151" t="s">
        <v>6962</v>
      </c>
      <c r="K3599" s="151">
        <f t="shared" si="86"/>
        <v>0</v>
      </c>
      <c r="L3599" s="151" t="s">
        <v>9021</v>
      </c>
    </row>
    <row r="3600" spans="8:12" x14ac:dyDescent="0.25">
      <c r="H3600" s="151" t="s">
        <v>5147</v>
      </c>
      <c r="I3600" s="151" t="s">
        <v>391</v>
      </c>
      <c r="J3600" s="151" t="s">
        <v>8261</v>
      </c>
      <c r="K3600" s="151">
        <f t="shared" si="86"/>
        <v>650000000001916</v>
      </c>
      <c r="L3600" s="151" t="s">
        <v>9021</v>
      </c>
    </row>
    <row r="3601" spans="8:12" x14ac:dyDescent="0.25">
      <c r="H3601" s="151" t="s">
        <v>5148</v>
      </c>
      <c r="I3601" s="151" t="s">
        <v>6962</v>
      </c>
      <c r="J3601" s="151" t="s">
        <v>6962</v>
      </c>
      <c r="K3601" s="151">
        <f t="shared" si="86"/>
        <v>0</v>
      </c>
      <c r="L3601" s="151" t="s">
        <v>9021</v>
      </c>
    </row>
    <row r="3602" spans="8:12" x14ac:dyDescent="0.25">
      <c r="H3602" s="151" t="s">
        <v>5148</v>
      </c>
      <c r="I3602" s="151" t="s">
        <v>391</v>
      </c>
      <c r="J3602" s="151" t="s">
        <v>8262</v>
      </c>
      <c r="K3602" s="151">
        <f t="shared" si="86"/>
        <v>650000000001917</v>
      </c>
      <c r="L3602" s="151" t="s">
        <v>9021</v>
      </c>
    </row>
    <row r="3603" spans="8:12" x14ac:dyDescent="0.25">
      <c r="H3603" s="151" t="s">
        <v>5149</v>
      </c>
      <c r="I3603" s="151" t="s">
        <v>6962</v>
      </c>
      <c r="J3603" s="151" t="s">
        <v>6962</v>
      </c>
      <c r="K3603" s="151">
        <f t="shared" si="86"/>
        <v>0</v>
      </c>
      <c r="L3603" s="151" t="s">
        <v>9021</v>
      </c>
    </row>
    <row r="3604" spans="8:12" x14ac:dyDescent="0.25">
      <c r="H3604" s="151" t="s">
        <v>5149</v>
      </c>
      <c r="I3604" s="151" t="s">
        <v>391</v>
      </c>
      <c r="J3604" s="151" t="s">
        <v>8263</v>
      </c>
      <c r="K3604" s="151">
        <f t="shared" si="86"/>
        <v>650000000000957</v>
      </c>
      <c r="L3604" s="151" t="s">
        <v>9021</v>
      </c>
    </row>
    <row r="3605" spans="8:12" x14ac:dyDescent="0.25">
      <c r="H3605" s="151" t="s">
        <v>5150</v>
      </c>
      <c r="I3605" s="151" t="s">
        <v>6962</v>
      </c>
      <c r="J3605" s="151" t="s">
        <v>6962</v>
      </c>
      <c r="K3605" s="151">
        <f t="shared" si="86"/>
        <v>0</v>
      </c>
      <c r="L3605" s="151" t="s">
        <v>9021</v>
      </c>
    </row>
    <row r="3606" spans="8:12" x14ac:dyDescent="0.25">
      <c r="H3606" s="151" t="s">
        <v>5150</v>
      </c>
      <c r="I3606" s="151" t="s">
        <v>391</v>
      </c>
      <c r="J3606" s="151" t="s">
        <v>8264</v>
      </c>
      <c r="K3606" s="151">
        <f t="shared" si="86"/>
        <v>650000000001918</v>
      </c>
      <c r="L3606" s="151" t="s">
        <v>9021</v>
      </c>
    </row>
    <row r="3607" spans="8:12" x14ac:dyDescent="0.25">
      <c r="H3607" s="151" t="s">
        <v>5151</v>
      </c>
      <c r="I3607" s="151" t="s">
        <v>6962</v>
      </c>
      <c r="J3607" s="151" t="s">
        <v>6962</v>
      </c>
      <c r="K3607" s="151">
        <f t="shared" si="86"/>
        <v>0</v>
      </c>
      <c r="L3607" s="151" t="s">
        <v>9021</v>
      </c>
    </row>
    <row r="3608" spans="8:12" x14ac:dyDescent="0.25">
      <c r="H3608" s="151" t="s">
        <v>5151</v>
      </c>
      <c r="I3608" s="151" t="s">
        <v>391</v>
      </c>
      <c r="J3608" s="151" t="s">
        <v>8265</v>
      </c>
      <c r="K3608" s="151">
        <f t="shared" si="86"/>
        <v>650000000000958</v>
      </c>
      <c r="L3608" s="151" t="s">
        <v>9021</v>
      </c>
    </row>
    <row r="3609" spans="8:12" x14ac:dyDescent="0.25">
      <c r="H3609" s="151" t="s">
        <v>5152</v>
      </c>
      <c r="I3609" s="151" t="s">
        <v>6962</v>
      </c>
      <c r="J3609" s="151" t="s">
        <v>6962</v>
      </c>
      <c r="K3609" s="151">
        <f t="shared" si="86"/>
        <v>0</v>
      </c>
      <c r="L3609" s="151" t="s">
        <v>9021</v>
      </c>
    </row>
    <row r="3610" spans="8:12" x14ac:dyDescent="0.25">
      <c r="H3610" s="151" t="s">
        <v>5152</v>
      </c>
      <c r="I3610" s="151" t="s">
        <v>391</v>
      </c>
      <c r="J3610" s="151" t="s">
        <v>8266</v>
      </c>
      <c r="K3610" s="151">
        <f t="shared" si="86"/>
        <v>650000000000959</v>
      </c>
      <c r="L3610" s="151" t="s">
        <v>9021</v>
      </c>
    </row>
    <row r="3611" spans="8:12" x14ac:dyDescent="0.25">
      <c r="H3611" s="151" t="s">
        <v>5153</v>
      </c>
      <c r="I3611" s="151" t="s">
        <v>6962</v>
      </c>
      <c r="J3611" s="151" t="s">
        <v>6962</v>
      </c>
      <c r="K3611" s="151">
        <f t="shared" si="86"/>
        <v>0</v>
      </c>
      <c r="L3611" s="151" t="s">
        <v>9021</v>
      </c>
    </row>
    <row r="3612" spans="8:12" x14ac:dyDescent="0.25">
      <c r="H3612" s="151" t="s">
        <v>5153</v>
      </c>
      <c r="I3612" s="151" t="s">
        <v>391</v>
      </c>
      <c r="J3612" s="151" t="s">
        <v>8267</v>
      </c>
      <c r="K3612" s="151">
        <f t="shared" si="86"/>
        <v>650000000001919</v>
      </c>
      <c r="L3612" s="151" t="s">
        <v>9021</v>
      </c>
    </row>
    <row r="3613" spans="8:12" x14ac:dyDescent="0.25">
      <c r="H3613" s="151" t="s">
        <v>5154</v>
      </c>
      <c r="I3613" s="151" t="s">
        <v>6962</v>
      </c>
      <c r="J3613" s="151" t="s">
        <v>6962</v>
      </c>
      <c r="K3613" s="151">
        <f t="shared" si="86"/>
        <v>0</v>
      </c>
      <c r="L3613" s="151" t="s">
        <v>9021</v>
      </c>
    </row>
    <row r="3614" spans="8:12" x14ac:dyDescent="0.25">
      <c r="H3614" s="151" t="s">
        <v>5154</v>
      </c>
      <c r="I3614" s="151" t="s">
        <v>391</v>
      </c>
      <c r="J3614" s="151" t="s">
        <v>8268</v>
      </c>
      <c r="K3614" s="151">
        <f t="shared" si="86"/>
        <v>650000000000960</v>
      </c>
      <c r="L3614" s="151" t="s">
        <v>9021</v>
      </c>
    </row>
    <row r="3615" spans="8:12" x14ac:dyDescent="0.25">
      <c r="H3615" s="151" t="s">
        <v>5155</v>
      </c>
      <c r="I3615" s="151" t="s">
        <v>6962</v>
      </c>
      <c r="J3615" s="151" t="s">
        <v>6962</v>
      </c>
      <c r="K3615" s="151">
        <f t="shared" si="86"/>
        <v>0</v>
      </c>
      <c r="L3615" s="151" t="s">
        <v>9021</v>
      </c>
    </row>
    <row r="3616" spans="8:12" x14ac:dyDescent="0.25">
      <c r="H3616" s="151" t="s">
        <v>5155</v>
      </c>
      <c r="I3616" s="151" t="s">
        <v>391</v>
      </c>
      <c r="J3616" s="151" t="s">
        <v>8269</v>
      </c>
      <c r="K3616" s="151">
        <f t="shared" si="86"/>
        <v>650000000000961</v>
      </c>
      <c r="L3616" s="151" t="s">
        <v>9021</v>
      </c>
    </row>
    <row r="3617" spans="8:12" x14ac:dyDescent="0.25">
      <c r="H3617" s="151" t="s">
        <v>5156</v>
      </c>
      <c r="I3617" s="151" t="s">
        <v>6962</v>
      </c>
      <c r="J3617" s="151" t="s">
        <v>6962</v>
      </c>
      <c r="K3617" s="151">
        <f t="shared" si="86"/>
        <v>0</v>
      </c>
      <c r="L3617" s="151" t="s">
        <v>9021</v>
      </c>
    </row>
    <row r="3618" spans="8:12" x14ac:dyDescent="0.25">
      <c r="H3618" s="151" t="s">
        <v>5156</v>
      </c>
      <c r="I3618" s="151" t="s">
        <v>391</v>
      </c>
      <c r="J3618" s="151" t="s">
        <v>8270</v>
      </c>
      <c r="K3618" s="151">
        <f t="shared" si="86"/>
        <v>650000000000962</v>
      </c>
      <c r="L3618" s="151" t="s">
        <v>9021</v>
      </c>
    </row>
    <row r="3619" spans="8:12" x14ac:dyDescent="0.25">
      <c r="H3619" s="151" t="s">
        <v>5157</v>
      </c>
      <c r="I3619" s="151" t="s">
        <v>6962</v>
      </c>
      <c r="J3619" s="151" t="s">
        <v>6962</v>
      </c>
      <c r="K3619" s="151">
        <f t="shared" si="86"/>
        <v>0</v>
      </c>
      <c r="L3619" s="151" t="s">
        <v>9021</v>
      </c>
    </row>
    <row r="3620" spans="8:12" x14ac:dyDescent="0.25">
      <c r="H3620" s="151" t="s">
        <v>5157</v>
      </c>
      <c r="I3620" s="151" t="s">
        <v>391</v>
      </c>
      <c r="J3620" s="151" t="s">
        <v>8271</v>
      </c>
      <c r="K3620" s="151">
        <f t="shared" si="86"/>
        <v>650000000001920</v>
      </c>
      <c r="L3620" s="151" t="s">
        <v>9021</v>
      </c>
    </row>
    <row r="3621" spans="8:12" x14ac:dyDescent="0.25">
      <c r="H3621" s="151" t="s">
        <v>5158</v>
      </c>
      <c r="I3621" s="151" t="s">
        <v>6962</v>
      </c>
      <c r="J3621" s="151" t="s">
        <v>6962</v>
      </c>
      <c r="K3621" s="151">
        <f t="shared" si="86"/>
        <v>0</v>
      </c>
      <c r="L3621" s="151" t="s">
        <v>9021</v>
      </c>
    </row>
    <row r="3622" spans="8:12" x14ac:dyDescent="0.25">
      <c r="H3622" s="151" t="s">
        <v>5158</v>
      </c>
      <c r="I3622" s="151" t="s">
        <v>391</v>
      </c>
      <c r="J3622" s="151" t="s">
        <v>8272</v>
      </c>
      <c r="K3622" s="151">
        <f t="shared" si="86"/>
        <v>650000000000963</v>
      </c>
      <c r="L3622" s="151" t="s">
        <v>9021</v>
      </c>
    </row>
    <row r="3623" spans="8:12" x14ac:dyDescent="0.25">
      <c r="H3623" s="151" t="s">
        <v>5159</v>
      </c>
      <c r="I3623" s="151" t="s">
        <v>6962</v>
      </c>
      <c r="J3623" s="151" t="s">
        <v>6962</v>
      </c>
      <c r="K3623" s="151">
        <f t="shared" si="86"/>
        <v>0</v>
      </c>
      <c r="L3623" s="151" t="s">
        <v>9021</v>
      </c>
    </row>
    <row r="3624" spans="8:12" x14ac:dyDescent="0.25">
      <c r="H3624" s="151" t="s">
        <v>5159</v>
      </c>
      <c r="I3624" s="151" t="s">
        <v>391</v>
      </c>
      <c r="J3624" s="151" t="s">
        <v>8273</v>
      </c>
      <c r="K3624" s="151">
        <f t="shared" si="86"/>
        <v>650000000000964</v>
      </c>
      <c r="L3624" s="151" t="s">
        <v>9021</v>
      </c>
    </row>
    <row r="3625" spans="8:12" x14ac:dyDescent="0.25">
      <c r="H3625" s="151" t="s">
        <v>5160</v>
      </c>
      <c r="I3625" s="151" t="s">
        <v>6962</v>
      </c>
      <c r="J3625" s="151" t="s">
        <v>6962</v>
      </c>
      <c r="K3625" s="151">
        <f t="shared" si="86"/>
        <v>0</v>
      </c>
      <c r="L3625" s="151" t="s">
        <v>9021</v>
      </c>
    </row>
    <row r="3626" spans="8:12" x14ac:dyDescent="0.25">
      <c r="H3626" s="151" t="s">
        <v>5160</v>
      </c>
      <c r="I3626" s="151" t="s">
        <v>391</v>
      </c>
      <c r="J3626" s="151" t="s">
        <v>8274</v>
      </c>
      <c r="K3626" s="151">
        <f t="shared" si="86"/>
        <v>650000000000965</v>
      </c>
      <c r="L3626" s="151" t="s">
        <v>9021</v>
      </c>
    </row>
    <row r="3627" spans="8:12" x14ac:dyDescent="0.25">
      <c r="H3627" s="151" t="s">
        <v>5161</v>
      </c>
      <c r="I3627" s="151" t="s">
        <v>6962</v>
      </c>
      <c r="J3627" s="151" t="s">
        <v>6962</v>
      </c>
      <c r="K3627" s="151">
        <f t="shared" si="86"/>
        <v>0</v>
      </c>
      <c r="L3627" s="151" t="s">
        <v>9021</v>
      </c>
    </row>
    <row r="3628" spans="8:12" x14ac:dyDescent="0.25">
      <c r="H3628" s="151" t="s">
        <v>5161</v>
      </c>
      <c r="I3628" s="151" t="s">
        <v>391</v>
      </c>
      <c r="J3628" s="151" t="s">
        <v>8275</v>
      </c>
      <c r="K3628" s="151">
        <f t="shared" si="86"/>
        <v>650000000000966</v>
      </c>
      <c r="L3628" s="151" t="s">
        <v>9021</v>
      </c>
    </row>
    <row r="3629" spans="8:12" x14ac:dyDescent="0.25">
      <c r="H3629" s="151" t="s">
        <v>5162</v>
      </c>
      <c r="I3629" s="151" t="s">
        <v>6962</v>
      </c>
      <c r="J3629" s="151" t="s">
        <v>6962</v>
      </c>
      <c r="K3629" s="151">
        <f t="shared" si="86"/>
        <v>0</v>
      </c>
      <c r="L3629" s="151" t="s">
        <v>9021</v>
      </c>
    </row>
    <row r="3630" spans="8:12" x14ac:dyDescent="0.25">
      <c r="H3630" s="151" t="s">
        <v>5162</v>
      </c>
      <c r="I3630" s="151" t="s">
        <v>391</v>
      </c>
      <c r="J3630" s="151" t="s">
        <v>8276</v>
      </c>
      <c r="K3630" s="151">
        <f t="shared" si="86"/>
        <v>650000000000967</v>
      </c>
      <c r="L3630" s="151" t="s">
        <v>9021</v>
      </c>
    </row>
    <row r="3631" spans="8:12" x14ac:dyDescent="0.25">
      <c r="H3631" s="151" t="s">
        <v>5163</v>
      </c>
      <c r="I3631" s="151" t="s">
        <v>6962</v>
      </c>
      <c r="J3631" s="151" t="s">
        <v>6962</v>
      </c>
      <c r="K3631" s="151">
        <f t="shared" si="86"/>
        <v>0</v>
      </c>
      <c r="L3631" s="151" t="s">
        <v>9021</v>
      </c>
    </row>
    <row r="3632" spans="8:12" x14ac:dyDescent="0.25">
      <c r="H3632" s="151" t="s">
        <v>5163</v>
      </c>
      <c r="I3632" s="151" t="s">
        <v>391</v>
      </c>
      <c r="J3632" s="151" t="s">
        <v>8277</v>
      </c>
      <c r="K3632" s="151">
        <f t="shared" si="86"/>
        <v>650000000000968</v>
      </c>
      <c r="L3632" s="151" t="s">
        <v>9021</v>
      </c>
    </row>
    <row r="3633" spans="8:12" x14ac:dyDescent="0.25">
      <c r="H3633" s="151" t="s">
        <v>5164</v>
      </c>
      <c r="I3633" s="151" t="s">
        <v>6962</v>
      </c>
      <c r="J3633" s="151" t="s">
        <v>6962</v>
      </c>
      <c r="K3633" s="151">
        <f t="shared" si="86"/>
        <v>0</v>
      </c>
      <c r="L3633" s="151" t="s">
        <v>9021</v>
      </c>
    </row>
    <row r="3634" spans="8:12" x14ac:dyDescent="0.25">
      <c r="H3634" s="151" t="s">
        <v>5164</v>
      </c>
      <c r="I3634" s="151" t="s">
        <v>391</v>
      </c>
      <c r="J3634" s="151" t="s">
        <v>8278</v>
      </c>
      <c r="K3634" s="151">
        <f t="shared" si="86"/>
        <v>650000000000969</v>
      </c>
      <c r="L3634" s="151" t="s">
        <v>9021</v>
      </c>
    </row>
    <row r="3635" spans="8:12" x14ac:dyDescent="0.25">
      <c r="H3635" s="151" t="s">
        <v>5165</v>
      </c>
      <c r="I3635" s="151" t="s">
        <v>6962</v>
      </c>
      <c r="J3635" s="151" t="s">
        <v>6962</v>
      </c>
      <c r="K3635" s="151">
        <f t="shared" si="86"/>
        <v>0</v>
      </c>
      <c r="L3635" s="151" t="s">
        <v>9021</v>
      </c>
    </row>
    <row r="3636" spans="8:12" x14ac:dyDescent="0.25">
      <c r="H3636" s="151" t="s">
        <v>5165</v>
      </c>
      <c r="I3636" s="151" t="s">
        <v>391</v>
      </c>
      <c r="J3636" s="151" t="s">
        <v>8279</v>
      </c>
      <c r="K3636" s="151">
        <f t="shared" si="86"/>
        <v>650000000000970</v>
      </c>
      <c r="L3636" s="151" t="s">
        <v>9021</v>
      </c>
    </row>
    <row r="3637" spans="8:12" x14ac:dyDescent="0.25">
      <c r="H3637" s="151" t="s">
        <v>5166</v>
      </c>
      <c r="I3637" s="151" t="s">
        <v>6962</v>
      </c>
      <c r="J3637" s="151" t="s">
        <v>6962</v>
      </c>
      <c r="K3637" s="151">
        <f t="shared" si="86"/>
        <v>0</v>
      </c>
      <c r="L3637" s="151" t="s">
        <v>9021</v>
      </c>
    </row>
    <row r="3638" spans="8:12" x14ac:dyDescent="0.25">
      <c r="H3638" s="151" t="s">
        <v>5166</v>
      </c>
      <c r="I3638" s="151" t="s">
        <v>391</v>
      </c>
      <c r="J3638" s="151" t="s">
        <v>8280</v>
      </c>
      <c r="K3638" s="151">
        <f t="shared" si="86"/>
        <v>650000000000971</v>
      </c>
      <c r="L3638" s="151" t="s">
        <v>9021</v>
      </c>
    </row>
    <row r="3639" spans="8:12" x14ac:dyDescent="0.25">
      <c r="H3639" s="151" t="s">
        <v>5167</v>
      </c>
      <c r="I3639" s="151" t="s">
        <v>6962</v>
      </c>
      <c r="J3639" s="151" t="s">
        <v>6962</v>
      </c>
      <c r="K3639" s="151">
        <f t="shared" si="86"/>
        <v>0</v>
      </c>
      <c r="L3639" s="151" t="s">
        <v>9021</v>
      </c>
    </row>
    <row r="3640" spans="8:12" x14ac:dyDescent="0.25">
      <c r="H3640" s="151" t="s">
        <v>5167</v>
      </c>
      <c r="I3640" s="151" t="s">
        <v>391</v>
      </c>
      <c r="J3640" s="151" t="s">
        <v>8281</v>
      </c>
      <c r="K3640" s="151">
        <f t="shared" si="86"/>
        <v>650000000000972</v>
      </c>
      <c r="L3640" s="151" t="s">
        <v>9021</v>
      </c>
    </row>
    <row r="3641" spans="8:12" x14ac:dyDescent="0.25">
      <c r="H3641" s="151" t="s">
        <v>5168</v>
      </c>
      <c r="I3641" s="151" t="s">
        <v>6962</v>
      </c>
      <c r="J3641" s="151" t="s">
        <v>6962</v>
      </c>
      <c r="K3641" s="151">
        <f t="shared" si="86"/>
        <v>0</v>
      </c>
      <c r="L3641" s="151" t="s">
        <v>9021</v>
      </c>
    </row>
    <row r="3642" spans="8:12" x14ac:dyDescent="0.25">
      <c r="H3642" s="151" t="s">
        <v>5168</v>
      </c>
      <c r="I3642" s="151" t="s">
        <v>391</v>
      </c>
      <c r="J3642" s="151" t="s">
        <v>8282</v>
      </c>
      <c r="K3642" s="151">
        <f t="shared" si="86"/>
        <v>650000000000973</v>
      </c>
      <c r="L3642" s="151" t="s">
        <v>9021</v>
      </c>
    </row>
    <row r="3643" spans="8:12" x14ac:dyDescent="0.25">
      <c r="H3643" s="151" t="s">
        <v>5169</v>
      </c>
      <c r="I3643" s="151" t="s">
        <v>6962</v>
      </c>
      <c r="J3643" s="151" t="s">
        <v>6962</v>
      </c>
      <c r="K3643" s="151">
        <f t="shared" si="86"/>
        <v>0</v>
      </c>
      <c r="L3643" s="151" t="s">
        <v>9021</v>
      </c>
    </row>
    <row r="3644" spans="8:12" x14ac:dyDescent="0.25">
      <c r="H3644" s="151" t="s">
        <v>5169</v>
      </c>
      <c r="I3644" s="151" t="s">
        <v>391</v>
      </c>
      <c r="J3644" s="151" t="s">
        <v>8283</v>
      </c>
      <c r="K3644" s="151">
        <f t="shared" si="86"/>
        <v>650000000000974</v>
      </c>
      <c r="L3644" s="151" t="s">
        <v>9021</v>
      </c>
    </row>
    <row r="3645" spans="8:12" x14ac:dyDescent="0.25">
      <c r="H3645" s="151" t="s">
        <v>5170</v>
      </c>
      <c r="I3645" s="151" t="s">
        <v>6962</v>
      </c>
      <c r="J3645" s="151" t="s">
        <v>6962</v>
      </c>
      <c r="K3645" s="151">
        <f t="shared" si="86"/>
        <v>0</v>
      </c>
      <c r="L3645" s="151" t="s">
        <v>9021</v>
      </c>
    </row>
    <row r="3646" spans="8:12" x14ac:dyDescent="0.25">
      <c r="H3646" s="151" t="s">
        <v>5170</v>
      </c>
      <c r="I3646" s="151" t="s">
        <v>391</v>
      </c>
      <c r="J3646" s="151" t="s">
        <v>8284</v>
      </c>
      <c r="K3646" s="151">
        <f t="shared" si="86"/>
        <v>650000000000975</v>
      </c>
      <c r="L3646" s="151" t="s">
        <v>9021</v>
      </c>
    </row>
    <row r="3647" spans="8:12" x14ac:dyDescent="0.25">
      <c r="H3647" s="151" t="s">
        <v>6896</v>
      </c>
      <c r="I3647" s="151" t="s">
        <v>6962</v>
      </c>
      <c r="J3647" s="151" t="s">
        <v>6962</v>
      </c>
      <c r="K3647" s="151">
        <f t="shared" si="86"/>
        <v>0</v>
      </c>
      <c r="L3647" s="151" t="s">
        <v>9021</v>
      </c>
    </row>
    <row r="3648" spans="8:12" x14ac:dyDescent="0.25">
      <c r="H3648" s="151" t="s">
        <v>5171</v>
      </c>
      <c r="I3648" s="151" t="s">
        <v>6962</v>
      </c>
      <c r="J3648" s="151" t="s">
        <v>6962</v>
      </c>
      <c r="K3648" s="151">
        <f t="shared" si="86"/>
        <v>0</v>
      </c>
      <c r="L3648" s="151" t="s">
        <v>9021</v>
      </c>
    </row>
    <row r="3649" spans="8:12" x14ac:dyDescent="0.25">
      <c r="H3649" s="151" t="s">
        <v>5171</v>
      </c>
      <c r="I3649" s="151" t="s">
        <v>391</v>
      </c>
      <c r="J3649" s="151" t="s">
        <v>8285</v>
      </c>
      <c r="K3649" s="151">
        <f t="shared" si="86"/>
        <v>650000000000976</v>
      </c>
      <c r="L3649" s="151" t="s">
        <v>9021</v>
      </c>
    </row>
    <row r="3650" spans="8:12" x14ac:dyDescent="0.25">
      <c r="H3650" s="151" t="s">
        <v>5172</v>
      </c>
      <c r="I3650" s="151" t="s">
        <v>6962</v>
      </c>
      <c r="J3650" s="151" t="s">
        <v>6962</v>
      </c>
      <c r="K3650" s="151">
        <f t="shared" si="86"/>
        <v>0</v>
      </c>
      <c r="L3650" s="151" t="s">
        <v>9021</v>
      </c>
    </row>
    <row r="3651" spans="8:12" x14ac:dyDescent="0.25">
      <c r="H3651" s="151" t="s">
        <v>5172</v>
      </c>
      <c r="I3651" s="151" t="s">
        <v>391</v>
      </c>
      <c r="J3651" s="151" t="s">
        <v>8286</v>
      </c>
      <c r="K3651" s="151">
        <f t="shared" ref="K3651:K3714" si="87">+IFERROR(J3651*1,0)</f>
        <v>650000000000977</v>
      </c>
      <c r="L3651" s="151" t="s">
        <v>9021</v>
      </c>
    </row>
    <row r="3652" spans="8:12" x14ac:dyDescent="0.25">
      <c r="H3652" s="151" t="s">
        <v>5173</v>
      </c>
      <c r="I3652" s="151" t="s">
        <v>6962</v>
      </c>
      <c r="J3652" s="151" t="s">
        <v>6962</v>
      </c>
      <c r="K3652" s="151">
        <f t="shared" si="87"/>
        <v>0</v>
      </c>
      <c r="L3652" s="151" t="s">
        <v>9021</v>
      </c>
    </row>
    <row r="3653" spans="8:12" x14ac:dyDescent="0.25">
      <c r="H3653" s="151" t="s">
        <v>5173</v>
      </c>
      <c r="I3653" s="151" t="s">
        <v>391</v>
      </c>
      <c r="J3653" s="151" t="s">
        <v>8287</v>
      </c>
      <c r="K3653" s="151">
        <f t="shared" si="87"/>
        <v>650000000001921</v>
      </c>
      <c r="L3653" s="151" t="s">
        <v>9021</v>
      </c>
    </row>
    <row r="3654" spans="8:12" x14ac:dyDescent="0.25">
      <c r="H3654" s="151" t="s">
        <v>5174</v>
      </c>
      <c r="I3654" s="151" t="s">
        <v>6962</v>
      </c>
      <c r="J3654" s="151" t="s">
        <v>6962</v>
      </c>
      <c r="K3654" s="151">
        <f t="shared" si="87"/>
        <v>0</v>
      </c>
      <c r="L3654" s="151" t="s">
        <v>9021</v>
      </c>
    </row>
    <row r="3655" spans="8:12" x14ac:dyDescent="0.25">
      <c r="H3655" s="151" t="s">
        <v>5174</v>
      </c>
      <c r="I3655" s="151" t="s">
        <v>391</v>
      </c>
      <c r="J3655" s="151" t="s">
        <v>8288</v>
      </c>
      <c r="K3655" s="151">
        <f t="shared" si="87"/>
        <v>650000000000978</v>
      </c>
      <c r="L3655" s="151" t="s">
        <v>9021</v>
      </c>
    </row>
    <row r="3656" spans="8:12" x14ac:dyDescent="0.25">
      <c r="H3656" s="151" t="s">
        <v>5175</v>
      </c>
      <c r="I3656" s="151" t="s">
        <v>6962</v>
      </c>
      <c r="J3656" s="151" t="s">
        <v>6962</v>
      </c>
      <c r="K3656" s="151">
        <f t="shared" si="87"/>
        <v>0</v>
      </c>
      <c r="L3656" s="151" t="s">
        <v>9026</v>
      </c>
    </row>
    <row r="3657" spans="8:12" x14ac:dyDescent="0.25">
      <c r="H3657" s="151" t="s">
        <v>5175</v>
      </c>
      <c r="I3657" s="151" t="s">
        <v>391</v>
      </c>
      <c r="J3657" s="151" t="s">
        <v>8289</v>
      </c>
      <c r="K3657" s="151">
        <f t="shared" si="87"/>
        <v>650000000000979</v>
      </c>
      <c r="L3657" s="151" t="s">
        <v>9026</v>
      </c>
    </row>
    <row r="3658" spans="8:12" x14ac:dyDescent="0.25">
      <c r="H3658" s="151" t="s">
        <v>5176</v>
      </c>
      <c r="I3658" s="151" t="s">
        <v>6962</v>
      </c>
      <c r="J3658" s="151" t="s">
        <v>6962</v>
      </c>
      <c r="K3658" s="151">
        <f t="shared" si="87"/>
        <v>0</v>
      </c>
      <c r="L3658" s="151" t="s">
        <v>9025</v>
      </c>
    </row>
    <row r="3659" spans="8:12" x14ac:dyDescent="0.25">
      <c r="H3659" s="151" t="s">
        <v>5176</v>
      </c>
      <c r="I3659" s="151" t="s">
        <v>391</v>
      </c>
      <c r="J3659" s="151" t="s">
        <v>8290</v>
      </c>
      <c r="K3659" s="151">
        <f t="shared" si="87"/>
        <v>650000000000980</v>
      </c>
      <c r="L3659" s="151" t="s">
        <v>9025</v>
      </c>
    </row>
    <row r="3660" spans="8:12" x14ac:dyDescent="0.25">
      <c r="H3660" s="151" t="s">
        <v>5177</v>
      </c>
      <c r="I3660" s="151" t="s">
        <v>6962</v>
      </c>
      <c r="J3660" s="151" t="s">
        <v>6962</v>
      </c>
      <c r="K3660" s="151">
        <f t="shared" si="87"/>
        <v>0</v>
      </c>
      <c r="L3660" s="151" t="s">
        <v>9021</v>
      </c>
    </row>
    <row r="3661" spans="8:12" x14ac:dyDescent="0.25">
      <c r="H3661" s="151" t="s">
        <v>5177</v>
      </c>
      <c r="I3661" s="151" t="s">
        <v>391</v>
      </c>
      <c r="J3661" s="151" t="s">
        <v>8291</v>
      </c>
      <c r="K3661" s="151">
        <f t="shared" si="87"/>
        <v>650000000000981</v>
      </c>
      <c r="L3661" s="151" t="s">
        <v>9021</v>
      </c>
    </row>
    <row r="3662" spans="8:12" x14ac:dyDescent="0.25">
      <c r="H3662" s="151" t="s">
        <v>5178</v>
      </c>
      <c r="I3662" s="151" t="s">
        <v>6962</v>
      </c>
      <c r="J3662" s="151" t="s">
        <v>6962</v>
      </c>
      <c r="K3662" s="151">
        <f t="shared" si="87"/>
        <v>0</v>
      </c>
      <c r="L3662" s="151" t="s">
        <v>9021</v>
      </c>
    </row>
    <row r="3663" spans="8:12" x14ac:dyDescent="0.25">
      <c r="H3663" s="151" t="s">
        <v>5178</v>
      </c>
      <c r="I3663" s="151" t="s">
        <v>391</v>
      </c>
      <c r="J3663" s="151" t="s">
        <v>8292</v>
      </c>
      <c r="K3663" s="151">
        <f t="shared" si="87"/>
        <v>650000000000982</v>
      </c>
      <c r="L3663" s="151" t="s">
        <v>9021</v>
      </c>
    </row>
    <row r="3664" spans="8:12" x14ac:dyDescent="0.25">
      <c r="H3664" s="151" t="s">
        <v>5179</v>
      </c>
      <c r="I3664" s="151" t="s">
        <v>6962</v>
      </c>
      <c r="J3664" s="151" t="s">
        <v>6962</v>
      </c>
      <c r="K3664" s="151">
        <f t="shared" si="87"/>
        <v>0</v>
      </c>
      <c r="L3664" s="151" t="s">
        <v>9021</v>
      </c>
    </row>
    <row r="3665" spans="8:12" x14ac:dyDescent="0.25">
      <c r="H3665" s="151" t="s">
        <v>5179</v>
      </c>
      <c r="I3665" s="151" t="s">
        <v>391</v>
      </c>
      <c r="J3665" s="151" t="s">
        <v>8293</v>
      </c>
      <c r="K3665" s="151">
        <f t="shared" si="87"/>
        <v>650000000000983</v>
      </c>
      <c r="L3665" s="151" t="s">
        <v>9021</v>
      </c>
    </row>
    <row r="3666" spans="8:12" x14ac:dyDescent="0.25">
      <c r="H3666" s="151" t="s">
        <v>5180</v>
      </c>
      <c r="I3666" s="151" t="s">
        <v>6962</v>
      </c>
      <c r="J3666" s="151" t="s">
        <v>6962</v>
      </c>
      <c r="K3666" s="151">
        <f t="shared" si="87"/>
        <v>0</v>
      </c>
      <c r="L3666" s="151" t="s">
        <v>9021</v>
      </c>
    </row>
    <row r="3667" spans="8:12" x14ac:dyDescent="0.25">
      <c r="H3667" s="151" t="s">
        <v>5180</v>
      </c>
      <c r="I3667" s="151" t="s">
        <v>391</v>
      </c>
      <c r="J3667" s="151" t="s">
        <v>8294</v>
      </c>
      <c r="K3667" s="151">
        <f t="shared" si="87"/>
        <v>650000000001922</v>
      </c>
      <c r="L3667" s="151" t="s">
        <v>9021</v>
      </c>
    </row>
    <row r="3668" spans="8:12" x14ac:dyDescent="0.25">
      <c r="H3668" s="151" t="s">
        <v>6897</v>
      </c>
      <c r="I3668" s="151" t="s">
        <v>6962</v>
      </c>
      <c r="J3668" s="151" t="s">
        <v>6962</v>
      </c>
      <c r="K3668" s="151">
        <f t="shared" si="87"/>
        <v>0</v>
      </c>
      <c r="L3668" s="151" t="s">
        <v>9021</v>
      </c>
    </row>
    <row r="3669" spans="8:12" x14ac:dyDescent="0.25">
      <c r="H3669" s="151" t="s">
        <v>5181</v>
      </c>
      <c r="I3669" s="151" t="s">
        <v>6962</v>
      </c>
      <c r="J3669" s="151" t="s">
        <v>6962</v>
      </c>
      <c r="K3669" s="151">
        <f t="shared" si="87"/>
        <v>0</v>
      </c>
      <c r="L3669" s="151" t="s">
        <v>9021</v>
      </c>
    </row>
    <row r="3670" spans="8:12" x14ac:dyDescent="0.25">
      <c r="H3670" s="151" t="s">
        <v>5181</v>
      </c>
      <c r="I3670" s="151" t="s">
        <v>391</v>
      </c>
      <c r="J3670" s="151" t="s">
        <v>8295</v>
      </c>
      <c r="K3670" s="151">
        <f t="shared" si="87"/>
        <v>650000000000984</v>
      </c>
      <c r="L3670" s="151" t="s">
        <v>9021</v>
      </c>
    </row>
    <row r="3671" spans="8:12" x14ac:dyDescent="0.25">
      <c r="H3671" s="151" t="s">
        <v>5182</v>
      </c>
      <c r="I3671" s="151" t="s">
        <v>6962</v>
      </c>
      <c r="J3671" s="151" t="s">
        <v>6962</v>
      </c>
      <c r="K3671" s="151">
        <f t="shared" si="87"/>
        <v>0</v>
      </c>
      <c r="L3671" s="151" t="s">
        <v>9021</v>
      </c>
    </row>
    <row r="3672" spans="8:12" x14ac:dyDescent="0.25">
      <c r="H3672" s="151" t="s">
        <v>5182</v>
      </c>
      <c r="I3672" s="151" t="s">
        <v>391</v>
      </c>
      <c r="J3672" s="151" t="s">
        <v>8296</v>
      </c>
      <c r="K3672" s="151">
        <f t="shared" si="87"/>
        <v>650000000001923</v>
      </c>
      <c r="L3672" s="151" t="s">
        <v>9021</v>
      </c>
    </row>
    <row r="3673" spans="8:12" x14ac:dyDescent="0.25">
      <c r="H3673" s="151" t="s">
        <v>5183</v>
      </c>
      <c r="I3673" s="151" t="s">
        <v>6962</v>
      </c>
      <c r="J3673" s="151" t="s">
        <v>6962</v>
      </c>
      <c r="K3673" s="151">
        <f t="shared" si="87"/>
        <v>0</v>
      </c>
      <c r="L3673" s="151" t="s">
        <v>9021</v>
      </c>
    </row>
    <row r="3674" spans="8:12" x14ac:dyDescent="0.25">
      <c r="H3674" s="151" t="s">
        <v>5183</v>
      </c>
      <c r="I3674" s="151" t="s">
        <v>391</v>
      </c>
      <c r="J3674" s="151" t="s">
        <v>8297</v>
      </c>
      <c r="K3674" s="151">
        <f t="shared" si="87"/>
        <v>650000000001924</v>
      </c>
      <c r="L3674" s="151" t="s">
        <v>9021</v>
      </c>
    </row>
    <row r="3675" spans="8:12" x14ac:dyDescent="0.25">
      <c r="H3675" s="151" t="s">
        <v>5184</v>
      </c>
      <c r="I3675" s="151" t="s">
        <v>6962</v>
      </c>
      <c r="J3675" s="151" t="s">
        <v>6962</v>
      </c>
      <c r="K3675" s="151">
        <f t="shared" si="87"/>
        <v>0</v>
      </c>
      <c r="L3675" s="151" t="s">
        <v>9021</v>
      </c>
    </row>
    <row r="3676" spans="8:12" x14ac:dyDescent="0.25">
      <c r="H3676" s="151" t="s">
        <v>5184</v>
      </c>
      <c r="I3676" s="151" t="s">
        <v>391</v>
      </c>
      <c r="J3676" s="151" t="s">
        <v>8298</v>
      </c>
      <c r="K3676" s="151">
        <f t="shared" si="87"/>
        <v>650000000000985</v>
      </c>
      <c r="L3676" s="151" t="s">
        <v>9021</v>
      </c>
    </row>
    <row r="3677" spans="8:12" x14ac:dyDescent="0.25">
      <c r="H3677" s="151" t="s">
        <v>5185</v>
      </c>
      <c r="I3677" s="151" t="s">
        <v>6962</v>
      </c>
      <c r="J3677" s="151" t="s">
        <v>6962</v>
      </c>
      <c r="K3677" s="151">
        <f t="shared" si="87"/>
        <v>0</v>
      </c>
      <c r="L3677" s="151" t="s">
        <v>9021</v>
      </c>
    </row>
    <row r="3678" spans="8:12" x14ac:dyDescent="0.25">
      <c r="H3678" s="151" t="s">
        <v>5185</v>
      </c>
      <c r="I3678" s="151" t="s">
        <v>391</v>
      </c>
      <c r="J3678" s="151" t="s">
        <v>8299</v>
      </c>
      <c r="K3678" s="151">
        <f t="shared" si="87"/>
        <v>650000000000986</v>
      </c>
      <c r="L3678" s="151" t="s">
        <v>9021</v>
      </c>
    </row>
    <row r="3679" spans="8:12" x14ac:dyDescent="0.25">
      <c r="H3679" s="151" t="s">
        <v>6898</v>
      </c>
      <c r="I3679" s="151" t="s">
        <v>6962</v>
      </c>
      <c r="J3679" s="151" t="s">
        <v>6962</v>
      </c>
      <c r="K3679" s="151">
        <f t="shared" si="87"/>
        <v>0</v>
      </c>
      <c r="L3679" s="151" t="s">
        <v>9021</v>
      </c>
    </row>
    <row r="3680" spans="8:12" x14ac:dyDescent="0.25">
      <c r="H3680" s="151" t="s">
        <v>5186</v>
      </c>
      <c r="I3680" s="151" t="s">
        <v>6962</v>
      </c>
      <c r="J3680" s="151" t="s">
        <v>6962</v>
      </c>
      <c r="K3680" s="151">
        <f t="shared" si="87"/>
        <v>0</v>
      </c>
      <c r="L3680" s="151" t="s">
        <v>9021</v>
      </c>
    </row>
    <row r="3681" spans="8:12" x14ac:dyDescent="0.25">
      <c r="H3681" s="151" t="s">
        <v>5186</v>
      </c>
      <c r="I3681" s="151" t="s">
        <v>391</v>
      </c>
      <c r="J3681" s="151" t="s">
        <v>8300</v>
      </c>
      <c r="K3681" s="151">
        <f t="shared" si="87"/>
        <v>650000000000987</v>
      </c>
      <c r="L3681" s="151" t="s">
        <v>9021</v>
      </c>
    </row>
    <row r="3682" spans="8:12" x14ac:dyDescent="0.25">
      <c r="H3682" s="151" t="s">
        <v>6899</v>
      </c>
      <c r="I3682" s="151" t="s">
        <v>6962</v>
      </c>
      <c r="J3682" s="151" t="s">
        <v>6962</v>
      </c>
      <c r="K3682" s="151">
        <f t="shared" si="87"/>
        <v>0</v>
      </c>
      <c r="L3682" s="151" t="s">
        <v>9021</v>
      </c>
    </row>
    <row r="3683" spans="8:12" x14ac:dyDescent="0.25">
      <c r="H3683" s="151" t="s">
        <v>5187</v>
      </c>
      <c r="I3683" s="151" t="s">
        <v>6962</v>
      </c>
      <c r="J3683" s="151" t="s">
        <v>6962</v>
      </c>
      <c r="K3683" s="151">
        <f t="shared" si="87"/>
        <v>0</v>
      </c>
      <c r="L3683" s="151" t="s">
        <v>9021</v>
      </c>
    </row>
    <row r="3684" spans="8:12" x14ac:dyDescent="0.25">
      <c r="H3684" s="151" t="s">
        <v>5187</v>
      </c>
      <c r="I3684" s="151" t="s">
        <v>391</v>
      </c>
      <c r="J3684" s="151" t="s">
        <v>8301</v>
      </c>
      <c r="K3684" s="151">
        <f t="shared" si="87"/>
        <v>650000000001925</v>
      </c>
      <c r="L3684" s="151" t="s">
        <v>9021</v>
      </c>
    </row>
    <row r="3685" spans="8:12" x14ac:dyDescent="0.25">
      <c r="H3685" s="151" t="s">
        <v>5188</v>
      </c>
      <c r="I3685" s="151" t="s">
        <v>6962</v>
      </c>
      <c r="J3685" s="151" t="s">
        <v>6962</v>
      </c>
      <c r="K3685" s="151">
        <f t="shared" si="87"/>
        <v>0</v>
      </c>
      <c r="L3685" s="151" t="s">
        <v>9021</v>
      </c>
    </row>
    <row r="3686" spans="8:12" x14ac:dyDescent="0.25">
      <c r="H3686" s="151" t="s">
        <v>5188</v>
      </c>
      <c r="I3686" s="151" t="s">
        <v>391</v>
      </c>
      <c r="J3686" s="151" t="s">
        <v>8302</v>
      </c>
      <c r="K3686" s="151">
        <f t="shared" si="87"/>
        <v>650000000001926</v>
      </c>
      <c r="L3686" s="151" t="s">
        <v>9021</v>
      </c>
    </row>
    <row r="3687" spans="8:12" x14ac:dyDescent="0.25">
      <c r="H3687" s="151" t="s">
        <v>5189</v>
      </c>
      <c r="I3687" s="151" t="s">
        <v>6962</v>
      </c>
      <c r="J3687" s="151" t="s">
        <v>6962</v>
      </c>
      <c r="K3687" s="151">
        <f t="shared" si="87"/>
        <v>0</v>
      </c>
      <c r="L3687" s="151" t="s">
        <v>9021</v>
      </c>
    </row>
    <row r="3688" spans="8:12" x14ac:dyDescent="0.25">
      <c r="H3688" s="151" t="s">
        <v>5189</v>
      </c>
      <c r="I3688" s="151" t="s">
        <v>391</v>
      </c>
      <c r="J3688" s="151" t="s">
        <v>8303</v>
      </c>
      <c r="K3688" s="151">
        <f t="shared" si="87"/>
        <v>650000000001927</v>
      </c>
      <c r="L3688" s="151" t="s">
        <v>9021</v>
      </c>
    </row>
    <row r="3689" spans="8:12" x14ac:dyDescent="0.25">
      <c r="H3689" s="151" t="s">
        <v>5190</v>
      </c>
      <c r="I3689" s="151" t="s">
        <v>6962</v>
      </c>
      <c r="J3689" s="151" t="s">
        <v>6962</v>
      </c>
      <c r="K3689" s="151">
        <f t="shared" si="87"/>
        <v>0</v>
      </c>
      <c r="L3689" s="151" t="s">
        <v>9021</v>
      </c>
    </row>
    <row r="3690" spans="8:12" x14ac:dyDescent="0.25">
      <c r="H3690" s="151" t="s">
        <v>5190</v>
      </c>
      <c r="I3690" s="151" t="s">
        <v>391</v>
      </c>
      <c r="J3690" s="151" t="s">
        <v>8304</v>
      </c>
      <c r="K3690" s="151">
        <f t="shared" si="87"/>
        <v>650000000001928</v>
      </c>
      <c r="L3690" s="151" t="s">
        <v>9021</v>
      </c>
    </row>
    <row r="3691" spans="8:12" x14ac:dyDescent="0.25">
      <c r="H3691" s="151" t="s">
        <v>5191</v>
      </c>
      <c r="I3691" s="151" t="s">
        <v>6962</v>
      </c>
      <c r="J3691" s="151" t="s">
        <v>6962</v>
      </c>
      <c r="K3691" s="151">
        <f t="shared" si="87"/>
        <v>0</v>
      </c>
      <c r="L3691" s="151" t="s">
        <v>9021</v>
      </c>
    </row>
    <row r="3692" spans="8:12" x14ac:dyDescent="0.25">
      <c r="H3692" s="151" t="s">
        <v>5191</v>
      </c>
      <c r="I3692" s="151" t="s">
        <v>391</v>
      </c>
      <c r="J3692" s="151" t="s">
        <v>8305</v>
      </c>
      <c r="K3692" s="151">
        <f t="shared" si="87"/>
        <v>650000000000988</v>
      </c>
      <c r="L3692" s="151" t="s">
        <v>9021</v>
      </c>
    </row>
    <row r="3693" spans="8:12" x14ac:dyDescent="0.25">
      <c r="H3693" s="151" t="s">
        <v>5192</v>
      </c>
      <c r="I3693" s="151" t="s">
        <v>6962</v>
      </c>
      <c r="J3693" s="151" t="s">
        <v>6962</v>
      </c>
      <c r="K3693" s="151">
        <f t="shared" si="87"/>
        <v>0</v>
      </c>
      <c r="L3693" s="151" t="s">
        <v>9021</v>
      </c>
    </row>
    <row r="3694" spans="8:12" x14ac:dyDescent="0.25">
      <c r="H3694" s="151" t="s">
        <v>5192</v>
      </c>
      <c r="I3694" s="151" t="s">
        <v>391</v>
      </c>
      <c r="J3694" s="151" t="s">
        <v>8306</v>
      </c>
      <c r="K3694" s="151">
        <f t="shared" si="87"/>
        <v>650000000000989</v>
      </c>
      <c r="L3694" s="151" t="s">
        <v>9021</v>
      </c>
    </row>
    <row r="3695" spans="8:12" x14ac:dyDescent="0.25">
      <c r="H3695" s="151" t="s">
        <v>5193</v>
      </c>
      <c r="I3695" s="151" t="s">
        <v>6962</v>
      </c>
      <c r="J3695" s="151" t="s">
        <v>6962</v>
      </c>
      <c r="K3695" s="151">
        <f t="shared" si="87"/>
        <v>0</v>
      </c>
      <c r="L3695" s="151" t="s">
        <v>9021</v>
      </c>
    </row>
    <row r="3696" spans="8:12" x14ac:dyDescent="0.25">
      <c r="H3696" s="151" t="s">
        <v>5193</v>
      </c>
      <c r="I3696" s="151" t="s">
        <v>391</v>
      </c>
      <c r="J3696" s="151" t="s">
        <v>8307</v>
      </c>
      <c r="K3696" s="151">
        <f t="shared" si="87"/>
        <v>650000000000990</v>
      </c>
      <c r="L3696" s="151" t="s">
        <v>9021</v>
      </c>
    </row>
    <row r="3697" spans="8:12" x14ac:dyDescent="0.25">
      <c r="H3697" s="151" t="s">
        <v>5194</v>
      </c>
      <c r="I3697" s="151" t="s">
        <v>6962</v>
      </c>
      <c r="J3697" s="151" t="s">
        <v>6962</v>
      </c>
      <c r="K3697" s="151">
        <f t="shared" si="87"/>
        <v>0</v>
      </c>
      <c r="L3697" s="151" t="s">
        <v>9021</v>
      </c>
    </row>
    <row r="3698" spans="8:12" x14ac:dyDescent="0.25">
      <c r="H3698" s="151" t="s">
        <v>5194</v>
      </c>
      <c r="I3698" s="151" t="s">
        <v>391</v>
      </c>
      <c r="J3698" s="151" t="s">
        <v>8308</v>
      </c>
      <c r="K3698" s="151">
        <f t="shared" si="87"/>
        <v>650000000000991</v>
      </c>
      <c r="L3698" s="151" t="s">
        <v>9021</v>
      </c>
    </row>
    <row r="3699" spans="8:12" x14ac:dyDescent="0.25">
      <c r="H3699" s="151" t="s">
        <v>5195</v>
      </c>
      <c r="I3699" s="151" t="s">
        <v>6962</v>
      </c>
      <c r="J3699" s="151" t="s">
        <v>6962</v>
      </c>
      <c r="K3699" s="151">
        <f t="shared" si="87"/>
        <v>0</v>
      </c>
      <c r="L3699" s="151" t="s">
        <v>9021</v>
      </c>
    </row>
    <row r="3700" spans="8:12" x14ac:dyDescent="0.25">
      <c r="H3700" s="151" t="s">
        <v>5195</v>
      </c>
      <c r="I3700" s="151" t="s">
        <v>391</v>
      </c>
      <c r="J3700" s="151" t="s">
        <v>8309</v>
      </c>
      <c r="K3700" s="151">
        <f t="shared" si="87"/>
        <v>650000000000992</v>
      </c>
      <c r="L3700" s="151" t="s">
        <v>9021</v>
      </c>
    </row>
    <row r="3701" spans="8:12" x14ac:dyDescent="0.25">
      <c r="H3701" s="151" t="s">
        <v>5196</v>
      </c>
      <c r="I3701" s="151" t="s">
        <v>6962</v>
      </c>
      <c r="J3701" s="151" t="s">
        <v>6962</v>
      </c>
      <c r="K3701" s="151">
        <f t="shared" si="87"/>
        <v>0</v>
      </c>
      <c r="L3701" s="151" t="s">
        <v>9021</v>
      </c>
    </row>
    <row r="3702" spans="8:12" x14ac:dyDescent="0.25">
      <c r="H3702" s="151" t="s">
        <v>5196</v>
      </c>
      <c r="I3702" s="151" t="s">
        <v>391</v>
      </c>
      <c r="J3702" s="151" t="s">
        <v>8310</v>
      </c>
      <c r="K3702" s="151">
        <f t="shared" si="87"/>
        <v>650000000001929</v>
      </c>
      <c r="L3702" s="151" t="s">
        <v>9021</v>
      </c>
    </row>
    <row r="3703" spans="8:12" x14ac:dyDescent="0.25">
      <c r="H3703" s="151" t="s">
        <v>5197</v>
      </c>
      <c r="I3703" s="151" t="s">
        <v>6962</v>
      </c>
      <c r="J3703" s="151" t="s">
        <v>6962</v>
      </c>
      <c r="K3703" s="151">
        <f t="shared" si="87"/>
        <v>0</v>
      </c>
      <c r="L3703" s="151" t="s">
        <v>9021</v>
      </c>
    </row>
    <row r="3704" spans="8:12" x14ac:dyDescent="0.25">
      <c r="H3704" s="151" t="s">
        <v>5197</v>
      </c>
      <c r="I3704" s="151" t="s">
        <v>391</v>
      </c>
      <c r="J3704" s="151" t="s">
        <v>8311</v>
      </c>
      <c r="K3704" s="151">
        <f t="shared" si="87"/>
        <v>650000000000993</v>
      </c>
      <c r="L3704" s="151" t="s">
        <v>9021</v>
      </c>
    </row>
    <row r="3705" spans="8:12" x14ac:dyDescent="0.25">
      <c r="H3705" s="151" t="s">
        <v>5198</v>
      </c>
      <c r="I3705" s="151" t="s">
        <v>6962</v>
      </c>
      <c r="J3705" s="151" t="s">
        <v>6962</v>
      </c>
      <c r="K3705" s="151">
        <f t="shared" si="87"/>
        <v>0</v>
      </c>
      <c r="L3705" s="151" t="s">
        <v>9021</v>
      </c>
    </row>
    <row r="3706" spans="8:12" x14ac:dyDescent="0.25">
      <c r="H3706" s="151" t="s">
        <v>5198</v>
      </c>
      <c r="I3706" s="151" t="s">
        <v>391</v>
      </c>
      <c r="J3706" s="151" t="s">
        <v>8312</v>
      </c>
      <c r="K3706" s="151">
        <f t="shared" si="87"/>
        <v>650000000000994</v>
      </c>
      <c r="L3706" s="151" t="s">
        <v>9021</v>
      </c>
    </row>
    <row r="3707" spans="8:12" x14ac:dyDescent="0.25">
      <c r="H3707" s="151" t="s">
        <v>5199</v>
      </c>
      <c r="I3707" s="151" t="s">
        <v>6962</v>
      </c>
      <c r="J3707" s="151" t="s">
        <v>6962</v>
      </c>
      <c r="K3707" s="151">
        <f t="shared" si="87"/>
        <v>0</v>
      </c>
      <c r="L3707" s="151" t="s">
        <v>9021</v>
      </c>
    </row>
    <row r="3708" spans="8:12" x14ac:dyDescent="0.25">
      <c r="H3708" s="151" t="s">
        <v>5199</v>
      </c>
      <c r="I3708" s="151" t="s">
        <v>391</v>
      </c>
      <c r="J3708" s="151" t="s">
        <v>8313</v>
      </c>
      <c r="K3708" s="151">
        <f t="shared" si="87"/>
        <v>650000000000995</v>
      </c>
      <c r="L3708" s="151" t="s">
        <v>9021</v>
      </c>
    </row>
    <row r="3709" spans="8:12" x14ac:dyDescent="0.25">
      <c r="H3709" s="151" t="s">
        <v>5200</v>
      </c>
      <c r="I3709" s="151" t="s">
        <v>6962</v>
      </c>
      <c r="J3709" s="151" t="s">
        <v>6962</v>
      </c>
      <c r="K3709" s="151">
        <f t="shared" si="87"/>
        <v>0</v>
      </c>
      <c r="L3709" s="151" t="s">
        <v>9021</v>
      </c>
    </row>
    <row r="3710" spans="8:12" x14ac:dyDescent="0.25">
      <c r="H3710" s="151" t="s">
        <v>5200</v>
      </c>
      <c r="I3710" s="151" t="s">
        <v>391</v>
      </c>
      <c r="J3710" s="151" t="s">
        <v>8314</v>
      </c>
      <c r="K3710" s="151">
        <f t="shared" si="87"/>
        <v>650000000001930</v>
      </c>
      <c r="L3710" s="151" t="s">
        <v>9021</v>
      </c>
    </row>
    <row r="3711" spans="8:12" x14ac:dyDescent="0.25">
      <c r="H3711" s="151" t="s">
        <v>5201</v>
      </c>
      <c r="I3711" s="151" t="s">
        <v>6962</v>
      </c>
      <c r="J3711" s="151" t="s">
        <v>6962</v>
      </c>
      <c r="K3711" s="151">
        <f t="shared" si="87"/>
        <v>0</v>
      </c>
      <c r="L3711" s="151" t="s">
        <v>9021</v>
      </c>
    </row>
    <row r="3712" spans="8:12" x14ac:dyDescent="0.25">
      <c r="H3712" s="151" t="s">
        <v>5201</v>
      </c>
      <c r="I3712" s="151" t="s">
        <v>391</v>
      </c>
      <c r="J3712" s="151" t="s">
        <v>8315</v>
      </c>
      <c r="K3712" s="151">
        <f t="shared" si="87"/>
        <v>650000000001931</v>
      </c>
      <c r="L3712" s="151" t="s">
        <v>9021</v>
      </c>
    </row>
    <row r="3713" spans="8:12" x14ac:dyDescent="0.25">
      <c r="H3713" s="151" t="s">
        <v>5202</v>
      </c>
      <c r="I3713" s="151" t="s">
        <v>6962</v>
      </c>
      <c r="J3713" s="151" t="s">
        <v>6962</v>
      </c>
      <c r="K3713" s="151">
        <f t="shared" si="87"/>
        <v>0</v>
      </c>
      <c r="L3713" s="151" t="s">
        <v>9021</v>
      </c>
    </row>
    <row r="3714" spans="8:12" x14ac:dyDescent="0.25">
      <c r="H3714" s="151" t="s">
        <v>5202</v>
      </c>
      <c r="I3714" s="151" t="s">
        <v>391</v>
      </c>
      <c r="J3714" s="151" t="s">
        <v>8316</v>
      </c>
      <c r="K3714" s="151">
        <f t="shared" si="87"/>
        <v>650000000000996</v>
      </c>
      <c r="L3714" s="151" t="s">
        <v>9021</v>
      </c>
    </row>
    <row r="3715" spans="8:12" x14ac:dyDescent="0.25">
      <c r="H3715" s="151" t="s">
        <v>6900</v>
      </c>
      <c r="I3715" s="151" t="s">
        <v>6962</v>
      </c>
      <c r="J3715" s="151" t="s">
        <v>6962</v>
      </c>
      <c r="K3715" s="151">
        <f t="shared" ref="K3715:K3778" si="88">+IFERROR(J3715*1,0)</f>
        <v>0</v>
      </c>
      <c r="L3715" s="151" t="s">
        <v>9021</v>
      </c>
    </row>
    <row r="3716" spans="8:12" x14ac:dyDescent="0.25">
      <c r="H3716" s="151" t="s">
        <v>5203</v>
      </c>
      <c r="I3716" s="151" t="s">
        <v>6962</v>
      </c>
      <c r="J3716" s="151" t="s">
        <v>6962</v>
      </c>
      <c r="K3716" s="151">
        <f t="shared" si="88"/>
        <v>0</v>
      </c>
      <c r="L3716" s="151" t="s">
        <v>9021</v>
      </c>
    </row>
    <row r="3717" spans="8:12" x14ac:dyDescent="0.25">
      <c r="H3717" s="151" t="s">
        <v>5203</v>
      </c>
      <c r="I3717" s="151" t="s">
        <v>391</v>
      </c>
      <c r="J3717" s="151" t="s">
        <v>8317</v>
      </c>
      <c r="K3717" s="151">
        <f t="shared" si="88"/>
        <v>650000000000997</v>
      </c>
      <c r="L3717" s="151" t="s">
        <v>9021</v>
      </c>
    </row>
    <row r="3718" spans="8:12" x14ac:dyDescent="0.25">
      <c r="H3718" s="151" t="s">
        <v>5204</v>
      </c>
      <c r="I3718" s="151" t="s">
        <v>6962</v>
      </c>
      <c r="J3718" s="151" t="s">
        <v>6962</v>
      </c>
      <c r="K3718" s="151">
        <f t="shared" si="88"/>
        <v>0</v>
      </c>
      <c r="L3718" s="151" t="s">
        <v>9021</v>
      </c>
    </row>
    <row r="3719" spans="8:12" x14ac:dyDescent="0.25">
      <c r="H3719" s="151" t="s">
        <v>5204</v>
      </c>
      <c r="I3719" s="151" t="s">
        <v>391</v>
      </c>
      <c r="J3719" s="151" t="s">
        <v>8318</v>
      </c>
      <c r="K3719" s="151">
        <f t="shared" si="88"/>
        <v>650000000001932</v>
      </c>
      <c r="L3719" s="151" t="s">
        <v>9021</v>
      </c>
    </row>
    <row r="3720" spans="8:12" x14ac:dyDescent="0.25">
      <c r="H3720" s="151" t="s">
        <v>5205</v>
      </c>
      <c r="I3720" s="151" t="s">
        <v>6962</v>
      </c>
      <c r="J3720" s="151" t="s">
        <v>6962</v>
      </c>
      <c r="K3720" s="151">
        <f t="shared" si="88"/>
        <v>0</v>
      </c>
      <c r="L3720" s="151" t="s">
        <v>9021</v>
      </c>
    </row>
    <row r="3721" spans="8:12" x14ac:dyDescent="0.25">
      <c r="H3721" s="151" t="s">
        <v>5205</v>
      </c>
      <c r="I3721" s="151" t="s">
        <v>391</v>
      </c>
      <c r="J3721" s="151" t="s">
        <v>8319</v>
      </c>
      <c r="K3721" s="151">
        <f t="shared" si="88"/>
        <v>650000000000998</v>
      </c>
      <c r="L3721" s="151" t="s">
        <v>9021</v>
      </c>
    </row>
    <row r="3722" spans="8:12" x14ac:dyDescent="0.25">
      <c r="H3722" s="151" t="s">
        <v>5206</v>
      </c>
      <c r="I3722" s="151" t="s">
        <v>6962</v>
      </c>
      <c r="J3722" s="151" t="s">
        <v>6962</v>
      </c>
      <c r="K3722" s="151">
        <f t="shared" si="88"/>
        <v>0</v>
      </c>
      <c r="L3722" s="151" t="s">
        <v>9021</v>
      </c>
    </row>
    <row r="3723" spans="8:12" x14ac:dyDescent="0.25">
      <c r="H3723" s="151" t="s">
        <v>5206</v>
      </c>
      <c r="I3723" s="151" t="s">
        <v>391</v>
      </c>
      <c r="J3723" s="151" t="s">
        <v>8320</v>
      </c>
      <c r="K3723" s="151">
        <f t="shared" si="88"/>
        <v>650000000000999</v>
      </c>
      <c r="L3723" s="151" t="s">
        <v>9021</v>
      </c>
    </row>
    <row r="3724" spans="8:12" x14ac:dyDescent="0.25">
      <c r="H3724" s="151" t="s">
        <v>5207</v>
      </c>
      <c r="I3724" s="151" t="s">
        <v>6962</v>
      </c>
      <c r="J3724" s="151" t="s">
        <v>6962</v>
      </c>
      <c r="K3724" s="151">
        <f t="shared" si="88"/>
        <v>0</v>
      </c>
      <c r="L3724" s="151" t="s">
        <v>9021</v>
      </c>
    </row>
    <row r="3725" spans="8:12" x14ac:dyDescent="0.25">
      <c r="H3725" s="151" t="s">
        <v>5207</v>
      </c>
      <c r="I3725" s="151" t="s">
        <v>391</v>
      </c>
      <c r="J3725" s="151" t="s">
        <v>8321</v>
      </c>
      <c r="K3725" s="151">
        <f t="shared" si="88"/>
        <v>650000000001000</v>
      </c>
      <c r="L3725" s="151" t="s">
        <v>9021</v>
      </c>
    </row>
    <row r="3726" spans="8:12" x14ac:dyDescent="0.25">
      <c r="H3726" s="151" t="s">
        <v>5208</v>
      </c>
      <c r="I3726" s="151" t="s">
        <v>6962</v>
      </c>
      <c r="J3726" s="151" t="s">
        <v>6962</v>
      </c>
      <c r="K3726" s="151">
        <f t="shared" si="88"/>
        <v>0</v>
      </c>
      <c r="L3726" s="151" t="s">
        <v>9021</v>
      </c>
    </row>
    <row r="3727" spans="8:12" x14ac:dyDescent="0.25">
      <c r="H3727" s="151" t="s">
        <v>5208</v>
      </c>
      <c r="I3727" s="151" t="s">
        <v>391</v>
      </c>
      <c r="J3727" s="151" t="s">
        <v>8322</v>
      </c>
      <c r="K3727" s="151">
        <f t="shared" si="88"/>
        <v>650000000001001</v>
      </c>
      <c r="L3727" s="151" t="s">
        <v>9021</v>
      </c>
    </row>
    <row r="3728" spans="8:12" x14ac:dyDescent="0.25">
      <c r="H3728" s="151" t="s">
        <v>5209</v>
      </c>
      <c r="I3728" s="151" t="s">
        <v>6962</v>
      </c>
      <c r="J3728" s="151" t="s">
        <v>6962</v>
      </c>
      <c r="K3728" s="151">
        <f t="shared" si="88"/>
        <v>0</v>
      </c>
      <c r="L3728" s="151" t="s">
        <v>9021</v>
      </c>
    </row>
    <row r="3729" spans="8:12" x14ac:dyDescent="0.25">
      <c r="H3729" s="151" t="s">
        <v>5209</v>
      </c>
      <c r="I3729" s="151" t="s">
        <v>391</v>
      </c>
      <c r="J3729" s="151" t="s">
        <v>8323</v>
      </c>
      <c r="K3729" s="151">
        <f t="shared" si="88"/>
        <v>650000000001933</v>
      </c>
      <c r="L3729" s="151" t="s">
        <v>9021</v>
      </c>
    </row>
    <row r="3730" spans="8:12" x14ac:dyDescent="0.25">
      <c r="H3730" s="151" t="s">
        <v>5210</v>
      </c>
      <c r="I3730" s="151" t="s">
        <v>6962</v>
      </c>
      <c r="J3730" s="151" t="s">
        <v>6962</v>
      </c>
      <c r="K3730" s="151">
        <f t="shared" si="88"/>
        <v>0</v>
      </c>
      <c r="L3730" s="151" t="s">
        <v>9021</v>
      </c>
    </row>
    <row r="3731" spans="8:12" x14ac:dyDescent="0.25">
      <c r="H3731" s="151" t="s">
        <v>5210</v>
      </c>
      <c r="I3731" s="151" t="s">
        <v>391</v>
      </c>
      <c r="J3731" s="151" t="s">
        <v>8324</v>
      </c>
      <c r="K3731" s="151">
        <f t="shared" si="88"/>
        <v>650000000001002</v>
      </c>
      <c r="L3731" s="151" t="s">
        <v>9021</v>
      </c>
    </row>
    <row r="3732" spans="8:12" x14ac:dyDescent="0.25">
      <c r="H3732" s="151" t="s">
        <v>5211</v>
      </c>
      <c r="I3732" s="151" t="s">
        <v>6962</v>
      </c>
      <c r="J3732" s="151" t="s">
        <v>6962</v>
      </c>
      <c r="K3732" s="151">
        <f t="shared" si="88"/>
        <v>0</v>
      </c>
      <c r="L3732" s="151" t="s">
        <v>9021</v>
      </c>
    </row>
    <row r="3733" spans="8:12" x14ac:dyDescent="0.25">
      <c r="H3733" s="151" t="s">
        <v>5211</v>
      </c>
      <c r="I3733" s="151" t="s">
        <v>391</v>
      </c>
      <c r="J3733" s="151" t="s">
        <v>8325</v>
      </c>
      <c r="K3733" s="151">
        <f t="shared" si="88"/>
        <v>650000000001003</v>
      </c>
      <c r="L3733" s="151" t="s">
        <v>9021</v>
      </c>
    </row>
    <row r="3734" spans="8:12" x14ac:dyDescent="0.25">
      <c r="H3734" s="151" t="s">
        <v>5212</v>
      </c>
      <c r="I3734" s="151" t="s">
        <v>6962</v>
      </c>
      <c r="J3734" s="151" t="s">
        <v>6962</v>
      </c>
      <c r="K3734" s="151">
        <f t="shared" si="88"/>
        <v>0</v>
      </c>
      <c r="L3734" s="151" t="s">
        <v>9021</v>
      </c>
    </row>
    <row r="3735" spans="8:12" x14ac:dyDescent="0.25">
      <c r="H3735" s="151" t="s">
        <v>5212</v>
      </c>
      <c r="I3735" s="151" t="s">
        <v>391</v>
      </c>
      <c r="J3735" s="151" t="s">
        <v>8326</v>
      </c>
      <c r="K3735" s="151">
        <f t="shared" si="88"/>
        <v>650000000001934</v>
      </c>
      <c r="L3735" s="151" t="s">
        <v>9021</v>
      </c>
    </row>
    <row r="3736" spans="8:12" x14ac:dyDescent="0.25">
      <c r="H3736" s="151" t="s">
        <v>5213</v>
      </c>
      <c r="I3736" s="151" t="s">
        <v>6962</v>
      </c>
      <c r="J3736" s="151" t="s">
        <v>6962</v>
      </c>
      <c r="K3736" s="151">
        <f t="shared" si="88"/>
        <v>0</v>
      </c>
      <c r="L3736" s="151" t="s">
        <v>9021</v>
      </c>
    </row>
    <row r="3737" spans="8:12" x14ac:dyDescent="0.25">
      <c r="H3737" s="151" t="s">
        <v>5213</v>
      </c>
      <c r="I3737" s="151" t="s">
        <v>391</v>
      </c>
      <c r="J3737" s="151" t="s">
        <v>8327</v>
      </c>
      <c r="K3737" s="151">
        <f t="shared" si="88"/>
        <v>650000000001004</v>
      </c>
      <c r="L3737" s="151" t="s">
        <v>9021</v>
      </c>
    </row>
    <row r="3738" spans="8:12" x14ac:dyDescent="0.25">
      <c r="H3738" s="151" t="s">
        <v>5214</v>
      </c>
      <c r="I3738" s="151" t="s">
        <v>6962</v>
      </c>
      <c r="J3738" s="151" t="s">
        <v>6962</v>
      </c>
      <c r="K3738" s="151">
        <f t="shared" si="88"/>
        <v>0</v>
      </c>
      <c r="L3738" s="151" t="s">
        <v>9021</v>
      </c>
    </row>
    <row r="3739" spans="8:12" x14ac:dyDescent="0.25">
      <c r="H3739" s="151" t="s">
        <v>5214</v>
      </c>
      <c r="I3739" s="151" t="s">
        <v>391</v>
      </c>
      <c r="J3739" s="151" t="s">
        <v>8328</v>
      </c>
      <c r="K3739" s="151">
        <f t="shared" si="88"/>
        <v>650000000001935</v>
      </c>
      <c r="L3739" s="151" t="s">
        <v>9021</v>
      </c>
    </row>
    <row r="3740" spans="8:12" x14ac:dyDescent="0.25">
      <c r="H3740" s="151" t="s">
        <v>5215</v>
      </c>
      <c r="I3740" s="151" t="s">
        <v>6962</v>
      </c>
      <c r="J3740" s="151" t="s">
        <v>6962</v>
      </c>
      <c r="K3740" s="151">
        <f t="shared" si="88"/>
        <v>0</v>
      </c>
      <c r="L3740" s="151" t="s">
        <v>9021</v>
      </c>
    </row>
    <row r="3741" spans="8:12" x14ac:dyDescent="0.25">
      <c r="H3741" s="151" t="s">
        <v>5215</v>
      </c>
      <c r="I3741" s="151" t="s">
        <v>391</v>
      </c>
      <c r="J3741" s="151" t="s">
        <v>8329</v>
      </c>
      <c r="K3741" s="151">
        <f t="shared" si="88"/>
        <v>650000000001936</v>
      </c>
      <c r="L3741" s="151" t="s">
        <v>9021</v>
      </c>
    </row>
    <row r="3742" spans="8:12" x14ac:dyDescent="0.25">
      <c r="H3742" s="151" t="s">
        <v>5216</v>
      </c>
      <c r="I3742" s="151" t="s">
        <v>6962</v>
      </c>
      <c r="J3742" s="151" t="s">
        <v>6962</v>
      </c>
      <c r="K3742" s="151">
        <f t="shared" si="88"/>
        <v>0</v>
      </c>
      <c r="L3742" s="151" t="s">
        <v>9021</v>
      </c>
    </row>
    <row r="3743" spans="8:12" x14ac:dyDescent="0.25">
      <c r="H3743" s="151" t="s">
        <v>5216</v>
      </c>
      <c r="I3743" s="151" t="s">
        <v>391</v>
      </c>
      <c r="J3743" s="151" t="s">
        <v>8330</v>
      </c>
      <c r="K3743" s="151">
        <f t="shared" si="88"/>
        <v>650000000001005</v>
      </c>
      <c r="L3743" s="151" t="s">
        <v>9021</v>
      </c>
    </row>
    <row r="3744" spans="8:12" x14ac:dyDescent="0.25">
      <c r="H3744" s="151" t="s">
        <v>5217</v>
      </c>
      <c r="I3744" s="151" t="s">
        <v>6962</v>
      </c>
      <c r="J3744" s="151" t="s">
        <v>6962</v>
      </c>
      <c r="K3744" s="151">
        <f t="shared" si="88"/>
        <v>0</v>
      </c>
      <c r="L3744" s="151" t="s">
        <v>9021</v>
      </c>
    </row>
    <row r="3745" spans="8:12" x14ac:dyDescent="0.25">
      <c r="H3745" s="151" t="s">
        <v>5217</v>
      </c>
      <c r="I3745" s="151" t="s">
        <v>391</v>
      </c>
      <c r="J3745" s="151" t="s">
        <v>8331</v>
      </c>
      <c r="K3745" s="151">
        <f t="shared" si="88"/>
        <v>650000000001937</v>
      </c>
      <c r="L3745" s="151" t="s">
        <v>9021</v>
      </c>
    </row>
    <row r="3746" spans="8:12" x14ac:dyDescent="0.25">
      <c r="H3746" s="151" t="s">
        <v>5218</v>
      </c>
      <c r="I3746" s="151" t="s">
        <v>6962</v>
      </c>
      <c r="J3746" s="151" t="s">
        <v>6962</v>
      </c>
      <c r="K3746" s="151">
        <f t="shared" si="88"/>
        <v>0</v>
      </c>
      <c r="L3746" s="151" t="s">
        <v>9021</v>
      </c>
    </row>
    <row r="3747" spans="8:12" x14ac:dyDescent="0.25">
      <c r="H3747" s="151" t="s">
        <v>5218</v>
      </c>
      <c r="I3747" s="151" t="s">
        <v>391</v>
      </c>
      <c r="J3747" s="151" t="s">
        <v>8332</v>
      </c>
      <c r="K3747" s="151">
        <f t="shared" si="88"/>
        <v>650000000001006</v>
      </c>
      <c r="L3747" s="151" t="s">
        <v>9021</v>
      </c>
    </row>
    <row r="3748" spans="8:12" x14ac:dyDescent="0.25">
      <c r="H3748" s="151" t="s">
        <v>5219</v>
      </c>
      <c r="I3748" s="151" t="s">
        <v>6962</v>
      </c>
      <c r="J3748" s="151" t="s">
        <v>6962</v>
      </c>
      <c r="K3748" s="151">
        <f t="shared" si="88"/>
        <v>0</v>
      </c>
      <c r="L3748" s="151" t="s">
        <v>9021</v>
      </c>
    </row>
    <row r="3749" spans="8:12" x14ac:dyDescent="0.25">
      <c r="H3749" s="151" t="s">
        <v>5219</v>
      </c>
      <c r="I3749" s="151" t="s">
        <v>391</v>
      </c>
      <c r="J3749" s="151" t="s">
        <v>8333</v>
      </c>
      <c r="K3749" s="151">
        <f t="shared" si="88"/>
        <v>650000000001938</v>
      </c>
      <c r="L3749" s="151" t="s">
        <v>9021</v>
      </c>
    </row>
    <row r="3750" spans="8:12" x14ac:dyDescent="0.25">
      <c r="H3750" s="151" t="s">
        <v>5220</v>
      </c>
      <c r="I3750" s="151" t="s">
        <v>6962</v>
      </c>
      <c r="J3750" s="151" t="s">
        <v>6962</v>
      </c>
      <c r="K3750" s="151">
        <f t="shared" si="88"/>
        <v>0</v>
      </c>
      <c r="L3750" s="151" t="s">
        <v>9021</v>
      </c>
    </row>
    <row r="3751" spans="8:12" x14ac:dyDescent="0.25">
      <c r="H3751" s="151" t="s">
        <v>5220</v>
      </c>
      <c r="I3751" s="151" t="s">
        <v>391</v>
      </c>
      <c r="J3751" s="151" t="s">
        <v>8334</v>
      </c>
      <c r="K3751" s="151">
        <f t="shared" si="88"/>
        <v>650000000001939</v>
      </c>
      <c r="L3751" s="151" t="s">
        <v>9021</v>
      </c>
    </row>
    <row r="3752" spans="8:12" x14ac:dyDescent="0.25">
      <c r="H3752" s="151" t="s">
        <v>5221</v>
      </c>
      <c r="I3752" s="151" t="s">
        <v>6962</v>
      </c>
      <c r="J3752" s="151" t="s">
        <v>6962</v>
      </c>
      <c r="K3752" s="151">
        <f t="shared" si="88"/>
        <v>0</v>
      </c>
      <c r="L3752" s="151" t="s">
        <v>9021</v>
      </c>
    </row>
    <row r="3753" spans="8:12" x14ac:dyDescent="0.25">
      <c r="H3753" s="151" t="s">
        <v>5221</v>
      </c>
      <c r="I3753" s="151" t="s">
        <v>391</v>
      </c>
      <c r="J3753" s="151" t="s">
        <v>8335</v>
      </c>
      <c r="K3753" s="151">
        <f t="shared" si="88"/>
        <v>650000000001007</v>
      </c>
      <c r="L3753" s="151" t="s">
        <v>9021</v>
      </c>
    </row>
    <row r="3754" spans="8:12" x14ac:dyDescent="0.25">
      <c r="H3754" s="151" t="s">
        <v>5222</v>
      </c>
      <c r="I3754" s="151" t="s">
        <v>6962</v>
      </c>
      <c r="J3754" s="151" t="s">
        <v>6962</v>
      </c>
      <c r="K3754" s="151">
        <f t="shared" si="88"/>
        <v>0</v>
      </c>
      <c r="L3754" s="151" t="s">
        <v>9021</v>
      </c>
    </row>
    <row r="3755" spans="8:12" x14ac:dyDescent="0.25">
      <c r="H3755" s="151" t="s">
        <v>5222</v>
      </c>
      <c r="I3755" s="151" t="s">
        <v>391</v>
      </c>
      <c r="J3755" s="151" t="s">
        <v>8336</v>
      </c>
      <c r="K3755" s="151">
        <f t="shared" si="88"/>
        <v>650000000001008</v>
      </c>
      <c r="L3755" s="151" t="s">
        <v>9021</v>
      </c>
    </row>
    <row r="3756" spans="8:12" x14ac:dyDescent="0.25">
      <c r="H3756" s="151" t="s">
        <v>5223</v>
      </c>
      <c r="I3756" s="151" t="s">
        <v>6962</v>
      </c>
      <c r="J3756" s="151" t="s">
        <v>6962</v>
      </c>
      <c r="K3756" s="151">
        <f t="shared" si="88"/>
        <v>0</v>
      </c>
      <c r="L3756" s="151" t="s">
        <v>9021</v>
      </c>
    </row>
    <row r="3757" spans="8:12" x14ac:dyDescent="0.25">
      <c r="H3757" s="151" t="s">
        <v>5223</v>
      </c>
      <c r="I3757" s="151" t="s">
        <v>391</v>
      </c>
      <c r="J3757" s="151" t="s">
        <v>8337</v>
      </c>
      <c r="K3757" s="151">
        <f t="shared" si="88"/>
        <v>650000000001940</v>
      </c>
      <c r="L3757" s="151" t="s">
        <v>9021</v>
      </c>
    </row>
    <row r="3758" spans="8:12" x14ac:dyDescent="0.25">
      <c r="H3758" s="151" t="s">
        <v>5224</v>
      </c>
      <c r="I3758" s="151" t="s">
        <v>6962</v>
      </c>
      <c r="J3758" s="151" t="s">
        <v>6962</v>
      </c>
      <c r="K3758" s="151">
        <f t="shared" si="88"/>
        <v>0</v>
      </c>
      <c r="L3758" s="151" t="s">
        <v>9021</v>
      </c>
    </row>
    <row r="3759" spans="8:12" x14ac:dyDescent="0.25">
      <c r="H3759" s="151" t="s">
        <v>5224</v>
      </c>
      <c r="I3759" s="151" t="s">
        <v>391</v>
      </c>
      <c r="J3759" s="151" t="s">
        <v>8338</v>
      </c>
      <c r="K3759" s="151">
        <f t="shared" si="88"/>
        <v>650000000001941</v>
      </c>
      <c r="L3759" s="151" t="s">
        <v>9021</v>
      </c>
    </row>
    <row r="3760" spans="8:12" x14ac:dyDescent="0.25">
      <c r="H3760" s="151" t="s">
        <v>5225</v>
      </c>
      <c r="I3760" s="151" t="s">
        <v>6962</v>
      </c>
      <c r="J3760" s="151" t="s">
        <v>6962</v>
      </c>
      <c r="K3760" s="151">
        <f t="shared" si="88"/>
        <v>0</v>
      </c>
      <c r="L3760" s="151" t="s">
        <v>9021</v>
      </c>
    </row>
    <row r="3761" spans="8:12" x14ac:dyDescent="0.25">
      <c r="H3761" s="151" t="s">
        <v>5225</v>
      </c>
      <c r="I3761" s="151" t="s">
        <v>391</v>
      </c>
      <c r="J3761" s="151" t="s">
        <v>8339</v>
      </c>
      <c r="K3761" s="151">
        <f t="shared" si="88"/>
        <v>650000000001009</v>
      </c>
      <c r="L3761" s="151" t="s">
        <v>9021</v>
      </c>
    </row>
    <row r="3762" spans="8:12" x14ac:dyDescent="0.25">
      <c r="H3762" s="151" t="s">
        <v>6901</v>
      </c>
      <c r="I3762" s="151" t="s">
        <v>6962</v>
      </c>
      <c r="J3762" s="151" t="s">
        <v>6962</v>
      </c>
      <c r="K3762" s="151">
        <f t="shared" si="88"/>
        <v>0</v>
      </c>
      <c r="L3762" s="151" t="s">
        <v>9021</v>
      </c>
    </row>
    <row r="3763" spans="8:12" x14ac:dyDescent="0.25">
      <c r="H3763" s="151" t="s">
        <v>5226</v>
      </c>
      <c r="I3763" s="151" t="s">
        <v>6962</v>
      </c>
      <c r="J3763" s="151" t="s">
        <v>6962</v>
      </c>
      <c r="K3763" s="151">
        <f t="shared" si="88"/>
        <v>0</v>
      </c>
      <c r="L3763" s="151" t="s">
        <v>9021</v>
      </c>
    </row>
    <row r="3764" spans="8:12" x14ac:dyDescent="0.25">
      <c r="H3764" s="151" t="s">
        <v>5226</v>
      </c>
      <c r="I3764" s="151" t="s">
        <v>391</v>
      </c>
      <c r="J3764" s="151" t="s">
        <v>8340</v>
      </c>
      <c r="K3764" s="151">
        <f t="shared" si="88"/>
        <v>650000000001010</v>
      </c>
      <c r="L3764" s="151" t="s">
        <v>9021</v>
      </c>
    </row>
    <row r="3765" spans="8:12" x14ac:dyDescent="0.25">
      <c r="H3765" s="151" t="s">
        <v>5227</v>
      </c>
      <c r="I3765" s="151" t="s">
        <v>6962</v>
      </c>
      <c r="J3765" s="151" t="s">
        <v>6962</v>
      </c>
      <c r="K3765" s="151">
        <f t="shared" si="88"/>
        <v>0</v>
      </c>
      <c r="L3765" s="151" t="s">
        <v>9021</v>
      </c>
    </row>
    <row r="3766" spans="8:12" x14ac:dyDescent="0.25">
      <c r="H3766" s="151" t="s">
        <v>5227</v>
      </c>
      <c r="I3766" s="151" t="s">
        <v>391</v>
      </c>
      <c r="J3766" s="151" t="s">
        <v>8341</v>
      </c>
      <c r="K3766" s="151">
        <f t="shared" si="88"/>
        <v>650000000001011</v>
      </c>
      <c r="L3766" s="151" t="s">
        <v>9021</v>
      </c>
    </row>
    <row r="3767" spans="8:12" x14ac:dyDescent="0.25">
      <c r="H3767" s="151" t="s">
        <v>5228</v>
      </c>
      <c r="I3767" s="151" t="s">
        <v>6962</v>
      </c>
      <c r="J3767" s="151" t="s">
        <v>6962</v>
      </c>
      <c r="K3767" s="151">
        <f t="shared" si="88"/>
        <v>0</v>
      </c>
      <c r="L3767" s="151" t="s">
        <v>9021</v>
      </c>
    </row>
    <row r="3768" spans="8:12" x14ac:dyDescent="0.25">
      <c r="H3768" s="151" t="s">
        <v>5228</v>
      </c>
      <c r="I3768" s="151" t="s">
        <v>391</v>
      </c>
      <c r="J3768" s="151" t="s">
        <v>8342</v>
      </c>
      <c r="K3768" s="151">
        <f t="shared" si="88"/>
        <v>650000000001942</v>
      </c>
      <c r="L3768" s="151" t="s">
        <v>9021</v>
      </c>
    </row>
    <row r="3769" spans="8:12" x14ac:dyDescent="0.25">
      <c r="H3769" s="151" t="s">
        <v>5229</v>
      </c>
      <c r="I3769" s="151" t="s">
        <v>6962</v>
      </c>
      <c r="J3769" s="151" t="s">
        <v>6962</v>
      </c>
      <c r="K3769" s="151">
        <f t="shared" si="88"/>
        <v>0</v>
      </c>
      <c r="L3769" s="151" t="s">
        <v>9021</v>
      </c>
    </row>
    <row r="3770" spans="8:12" x14ac:dyDescent="0.25">
      <c r="H3770" s="151" t="s">
        <v>5229</v>
      </c>
      <c r="I3770" s="151" t="s">
        <v>391</v>
      </c>
      <c r="J3770" s="151" t="s">
        <v>8343</v>
      </c>
      <c r="K3770" s="151">
        <f t="shared" si="88"/>
        <v>650000000001012</v>
      </c>
      <c r="L3770" s="151" t="s">
        <v>9021</v>
      </c>
    </row>
    <row r="3771" spans="8:12" x14ac:dyDescent="0.25">
      <c r="H3771" s="151" t="s">
        <v>5230</v>
      </c>
      <c r="I3771" s="151" t="s">
        <v>6962</v>
      </c>
      <c r="J3771" s="151" t="s">
        <v>6962</v>
      </c>
      <c r="K3771" s="151">
        <f t="shared" si="88"/>
        <v>0</v>
      </c>
      <c r="L3771" s="151" t="s">
        <v>9021</v>
      </c>
    </row>
    <row r="3772" spans="8:12" x14ac:dyDescent="0.25">
      <c r="H3772" s="151" t="s">
        <v>5230</v>
      </c>
      <c r="I3772" s="151" t="s">
        <v>391</v>
      </c>
      <c r="J3772" s="151" t="s">
        <v>8344</v>
      </c>
      <c r="K3772" s="151">
        <f t="shared" si="88"/>
        <v>650000000001013</v>
      </c>
      <c r="L3772" s="151" t="s">
        <v>9021</v>
      </c>
    </row>
    <row r="3773" spans="8:12" x14ac:dyDescent="0.25">
      <c r="H3773" s="151" t="s">
        <v>5231</v>
      </c>
      <c r="I3773" s="151" t="s">
        <v>6962</v>
      </c>
      <c r="J3773" s="151" t="s">
        <v>6962</v>
      </c>
      <c r="K3773" s="151">
        <f t="shared" si="88"/>
        <v>0</v>
      </c>
      <c r="L3773" s="151" t="s">
        <v>9021</v>
      </c>
    </row>
    <row r="3774" spans="8:12" x14ac:dyDescent="0.25">
      <c r="H3774" s="151" t="s">
        <v>5231</v>
      </c>
      <c r="I3774" s="151" t="s">
        <v>391</v>
      </c>
      <c r="J3774" s="151" t="s">
        <v>8345</v>
      </c>
      <c r="K3774" s="151">
        <f t="shared" si="88"/>
        <v>650000000001943</v>
      </c>
      <c r="L3774" s="151" t="s">
        <v>9021</v>
      </c>
    </row>
    <row r="3775" spans="8:12" x14ac:dyDescent="0.25">
      <c r="H3775" s="151" t="s">
        <v>5232</v>
      </c>
      <c r="I3775" s="151" t="s">
        <v>6962</v>
      </c>
      <c r="J3775" s="151" t="s">
        <v>6962</v>
      </c>
      <c r="K3775" s="151">
        <f t="shared" si="88"/>
        <v>0</v>
      </c>
      <c r="L3775" s="151" t="s">
        <v>9021</v>
      </c>
    </row>
    <row r="3776" spans="8:12" x14ac:dyDescent="0.25">
      <c r="H3776" s="151" t="s">
        <v>5232</v>
      </c>
      <c r="I3776" s="151" t="s">
        <v>391</v>
      </c>
      <c r="J3776" s="151" t="s">
        <v>8346</v>
      </c>
      <c r="K3776" s="151">
        <f t="shared" si="88"/>
        <v>650000000001014</v>
      </c>
      <c r="L3776" s="151" t="s">
        <v>9021</v>
      </c>
    </row>
    <row r="3777" spans="8:12" x14ac:dyDescent="0.25">
      <c r="H3777" s="151" t="s">
        <v>5233</v>
      </c>
      <c r="I3777" s="151" t="s">
        <v>6962</v>
      </c>
      <c r="J3777" s="151" t="s">
        <v>6962</v>
      </c>
      <c r="K3777" s="151">
        <f t="shared" si="88"/>
        <v>0</v>
      </c>
      <c r="L3777" s="151" t="s">
        <v>9021</v>
      </c>
    </row>
    <row r="3778" spans="8:12" x14ac:dyDescent="0.25">
      <c r="H3778" s="151" t="s">
        <v>5233</v>
      </c>
      <c r="I3778" s="151" t="s">
        <v>391</v>
      </c>
      <c r="J3778" s="151" t="s">
        <v>8347</v>
      </c>
      <c r="K3778" s="151">
        <f t="shared" si="88"/>
        <v>650000000001944</v>
      </c>
      <c r="L3778" s="151" t="s">
        <v>9021</v>
      </c>
    </row>
    <row r="3779" spans="8:12" x14ac:dyDescent="0.25">
      <c r="H3779" s="151" t="s">
        <v>5234</v>
      </c>
      <c r="I3779" s="151" t="s">
        <v>6962</v>
      </c>
      <c r="J3779" s="151" t="s">
        <v>6962</v>
      </c>
      <c r="K3779" s="151">
        <f t="shared" ref="K3779:K3842" si="89">+IFERROR(J3779*1,0)</f>
        <v>0</v>
      </c>
      <c r="L3779" s="151" t="s">
        <v>9021</v>
      </c>
    </row>
    <row r="3780" spans="8:12" x14ac:dyDescent="0.25">
      <c r="H3780" s="151" t="s">
        <v>5234</v>
      </c>
      <c r="I3780" s="151" t="s">
        <v>391</v>
      </c>
      <c r="J3780" s="151" t="s">
        <v>8348</v>
      </c>
      <c r="K3780" s="151">
        <f t="shared" si="89"/>
        <v>650000000001945</v>
      </c>
      <c r="L3780" s="151" t="s">
        <v>9021</v>
      </c>
    </row>
    <row r="3781" spans="8:12" x14ac:dyDescent="0.25">
      <c r="H3781" s="151" t="s">
        <v>5235</v>
      </c>
      <c r="I3781" s="151" t="s">
        <v>6962</v>
      </c>
      <c r="J3781" s="151" t="s">
        <v>6962</v>
      </c>
      <c r="K3781" s="151">
        <f t="shared" si="89"/>
        <v>0</v>
      </c>
      <c r="L3781" s="151" t="s">
        <v>9021</v>
      </c>
    </row>
    <row r="3782" spans="8:12" x14ac:dyDescent="0.25">
      <c r="H3782" s="151" t="s">
        <v>5235</v>
      </c>
      <c r="I3782" s="151" t="s">
        <v>391</v>
      </c>
      <c r="J3782" s="151" t="s">
        <v>8349</v>
      </c>
      <c r="K3782" s="151">
        <f t="shared" si="89"/>
        <v>650000000001015</v>
      </c>
      <c r="L3782" s="151" t="s">
        <v>9021</v>
      </c>
    </row>
    <row r="3783" spans="8:12" x14ac:dyDescent="0.25">
      <c r="H3783" s="151" t="s">
        <v>5236</v>
      </c>
      <c r="I3783" s="151" t="s">
        <v>6962</v>
      </c>
      <c r="J3783" s="151" t="s">
        <v>6962</v>
      </c>
      <c r="K3783" s="151">
        <f t="shared" si="89"/>
        <v>0</v>
      </c>
      <c r="L3783" s="151" t="s">
        <v>9021</v>
      </c>
    </row>
    <row r="3784" spans="8:12" x14ac:dyDescent="0.25">
      <c r="H3784" s="151" t="s">
        <v>5236</v>
      </c>
      <c r="I3784" s="151" t="s">
        <v>391</v>
      </c>
      <c r="J3784" s="151" t="s">
        <v>8350</v>
      </c>
      <c r="K3784" s="151">
        <f t="shared" si="89"/>
        <v>650000000001946</v>
      </c>
      <c r="L3784" s="151" t="s">
        <v>9021</v>
      </c>
    </row>
    <row r="3785" spans="8:12" x14ac:dyDescent="0.25">
      <c r="H3785" s="151" t="s">
        <v>5237</v>
      </c>
      <c r="I3785" s="151" t="s">
        <v>6962</v>
      </c>
      <c r="J3785" s="151" t="s">
        <v>6962</v>
      </c>
      <c r="K3785" s="151">
        <f t="shared" si="89"/>
        <v>0</v>
      </c>
      <c r="L3785" s="151" t="s">
        <v>9021</v>
      </c>
    </row>
    <row r="3786" spans="8:12" x14ac:dyDescent="0.25">
      <c r="H3786" s="151" t="s">
        <v>5237</v>
      </c>
      <c r="I3786" s="151" t="s">
        <v>391</v>
      </c>
      <c r="J3786" s="151" t="s">
        <v>8351</v>
      </c>
      <c r="K3786" s="151">
        <f t="shared" si="89"/>
        <v>650000000001016</v>
      </c>
      <c r="L3786" s="151" t="s">
        <v>9021</v>
      </c>
    </row>
    <row r="3787" spans="8:12" x14ac:dyDescent="0.25">
      <c r="H3787" s="151" t="s">
        <v>5238</v>
      </c>
      <c r="I3787" s="151" t="s">
        <v>6962</v>
      </c>
      <c r="J3787" s="151" t="s">
        <v>6962</v>
      </c>
      <c r="K3787" s="151">
        <f t="shared" si="89"/>
        <v>0</v>
      </c>
      <c r="L3787" s="151" t="s">
        <v>9021</v>
      </c>
    </row>
    <row r="3788" spans="8:12" x14ac:dyDescent="0.25">
      <c r="H3788" s="151" t="s">
        <v>5238</v>
      </c>
      <c r="I3788" s="151" t="s">
        <v>391</v>
      </c>
      <c r="J3788" s="151" t="s">
        <v>8352</v>
      </c>
      <c r="K3788" s="151">
        <f t="shared" si="89"/>
        <v>650000000001017</v>
      </c>
      <c r="L3788" s="151" t="s">
        <v>9021</v>
      </c>
    </row>
    <row r="3789" spans="8:12" x14ac:dyDescent="0.25">
      <c r="H3789" s="151" t="s">
        <v>6902</v>
      </c>
      <c r="I3789" s="151" t="s">
        <v>6962</v>
      </c>
      <c r="J3789" s="151" t="s">
        <v>6962</v>
      </c>
      <c r="K3789" s="151">
        <f t="shared" si="89"/>
        <v>0</v>
      </c>
      <c r="L3789" s="151" t="s">
        <v>9021</v>
      </c>
    </row>
    <row r="3790" spans="8:12" x14ac:dyDescent="0.25">
      <c r="H3790" s="151" t="s">
        <v>5239</v>
      </c>
      <c r="I3790" s="151" t="s">
        <v>6962</v>
      </c>
      <c r="J3790" s="151" t="s">
        <v>6962</v>
      </c>
      <c r="K3790" s="151">
        <f t="shared" si="89"/>
        <v>0</v>
      </c>
      <c r="L3790" s="151" t="s">
        <v>9021</v>
      </c>
    </row>
    <row r="3791" spans="8:12" x14ac:dyDescent="0.25">
      <c r="H3791" s="151" t="s">
        <v>5239</v>
      </c>
      <c r="I3791" s="151" t="s">
        <v>391</v>
      </c>
      <c r="J3791" s="151" t="s">
        <v>8353</v>
      </c>
      <c r="K3791" s="151">
        <f t="shared" si="89"/>
        <v>650000000001947</v>
      </c>
      <c r="L3791" s="151" t="s">
        <v>9021</v>
      </c>
    </row>
    <row r="3792" spans="8:12" x14ac:dyDescent="0.25">
      <c r="H3792" s="151" t="s">
        <v>6903</v>
      </c>
      <c r="I3792" s="151" t="s">
        <v>6962</v>
      </c>
      <c r="J3792" s="151" t="s">
        <v>6962</v>
      </c>
      <c r="K3792" s="151">
        <f t="shared" si="89"/>
        <v>0</v>
      </c>
      <c r="L3792" s="151" t="s">
        <v>9021</v>
      </c>
    </row>
    <row r="3793" spans="8:12" x14ac:dyDescent="0.25">
      <c r="H3793" s="151" t="s">
        <v>5240</v>
      </c>
      <c r="I3793" s="151" t="s">
        <v>6962</v>
      </c>
      <c r="J3793" s="151" t="s">
        <v>6962</v>
      </c>
      <c r="K3793" s="151">
        <f t="shared" si="89"/>
        <v>0</v>
      </c>
      <c r="L3793" s="151" t="s">
        <v>9021</v>
      </c>
    </row>
    <row r="3794" spans="8:12" x14ac:dyDescent="0.25">
      <c r="H3794" s="151" t="s">
        <v>5240</v>
      </c>
      <c r="I3794" s="151" t="s">
        <v>391</v>
      </c>
      <c r="J3794" s="151" t="s">
        <v>8354</v>
      </c>
      <c r="K3794" s="151">
        <f t="shared" si="89"/>
        <v>650000000001018</v>
      </c>
      <c r="L3794" s="151" t="s">
        <v>9021</v>
      </c>
    </row>
    <row r="3795" spans="8:12" x14ac:dyDescent="0.25">
      <c r="H3795" s="151" t="s">
        <v>5241</v>
      </c>
      <c r="I3795" s="151" t="s">
        <v>6962</v>
      </c>
      <c r="J3795" s="151" t="s">
        <v>6962</v>
      </c>
      <c r="K3795" s="151">
        <f t="shared" si="89"/>
        <v>0</v>
      </c>
      <c r="L3795" s="151" t="s">
        <v>9021</v>
      </c>
    </row>
    <row r="3796" spans="8:12" x14ac:dyDescent="0.25">
      <c r="H3796" s="151" t="s">
        <v>5241</v>
      </c>
      <c r="I3796" s="151" t="s">
        <v>391</v>
      </c>
      <c r="J3796" s="151" t="s">
        <v>8355</v>
      </c>
      <c r="K3796" s="151">
        <f t="shared" si="89"/>
        <v>650000000001019</v>
      </c>
      <c r="L3796" s="151" t="s">
        <v>9021</v>
      </c>
    </row>
    <row r="3797" spans="8:12" x14ac:dyDescent="0.25">
      <c r="H3797" s="151" t="s">
        <v>5242</v>
      </c>
      <c r="I3797" s="151" t="s">
        <v>6962</v>
      </c>
      <c r="J3797" s="151" t="s">
        <v>6962</v>
      </c>
      <c r="K3797" s="151">
        <f t="shared" si="89"/>
        <v>0</v>
      </c>
      <c r="L3797" s="151" t="s">
        <v>9021</v>
      </c>
    </row>
    <row r="3798" spans="8:12" x14ac:dyDescent="0.25">
      <c r="H3798" s="151" t="s">
        <v>5242</v>
      </c>
      <c r="I3798" s="151" t="s">
        <v>391</v>
      </c>
      <c r="J3798" s="151" t="s">
        <v>8356</v>
      </c>
      <c r="K3798" s="151">
        <f t="shared" si="89"/>
        <v>650000000001020</v>
      </c>
      <c r="L3798" s="151" t="s">
        <v>9021</v>
      </c>
    </row>
    <row r="3799" spans="8:12" x14ac:dyDescent="0.25">
      <c r="H3799" s="151" t="s">
        <v>5243</v>
      </c>
      <c r="I3799" s="151" t="s">
        <v>6962</v>
      </c>
      <c r="J3799" s="151" t="s">
        <v>6962</v>
      </c>
      <c r="K3799" s="151">
        <f t="shared" si="89"/>
        <v>0</v>
      </c>
      <c r="L3799" s="151" t="s">
        <v>9021</v>
      </c>
    </row>
    <row r="3800" spans="8:12" x14ac:dyDescent="0.25">
      <c r="H3800" s="151" t="s">
        <v>5243</v>
      </c>
      <c r="I3800" s="151" t="s">
        <v>391</v>
      </c>
      <c r="J3800" s="151" t="s">
        <v>8357</v>
      </c>
      <c r="K3800" s="151">
        <f t="shared" si="89"/>
        <v>650000000001021</v>
      </c>
      <c r="L3800" s="151" t="s">
        <v>9021</v>
      </c>
    </row>
    <row r="3801" spans="8:12" x14ac:dyDescent="0.25">
      <c r="H3801" s="151" t="s">
        <v>5244</v>
      </c>
      <c r="I3801" s="151" t="s">
        <v>6962</v>
      </c>
      <c r="J3801" s="151" t="s">
        <v>6962</v>
      </c>
      <c r="K3801" s="151">
        <f t="shared" si="89"/>
        <v>0</v>
      </c>
      <c r="L3801" s="151" t="s">
        <v>9021</v>
      </c>
    </row>
    <row r="3802" spans="8:12" x14ac:dyDescent="0.25">
      <c r="H3802" s="151" t="s">
        <v>5244</v>
      </c>
      <c r="I3802" s="151" t="s">
        <v>391</v>
      </c>
      <c r="J3802" s="151" t="s">
        <v>8358</v>
      </c>
      <c r="K3802" s="151">
        <f t="shared" si="89"/>
        <v>650000000001022</v>
      </c>
      <c r="L3802" s="151" t="s">
        <v>9021</v>
      </c>
    </row>
    <row r="3803" spans="8:12" x14ac:dyDescent="0.25">
      <c r="H3803" s="151" t="s">
        <v>5245</v>
      </c>
      <c r="I3803" s="151" t="s">
        <v>6962</v>
      </c>
      <c r="J3803" s="151" t="s">
        <v>6962</v>
      </c>
      <c r="K3803" s="151">
        <f t="shared" si="89"/>
        <v>0</v>
      </c>
      <c r="L3803" s="151" t="s">
        <v>9026</v>
      </c>
    </row>
    <row r="3804" spans="8:12" x14ac:dyDescent="0.25">
      <c r="H3804" s="151" t="s">
        <v>5245</v>
      </c>
      <c r="I3804" s="151" t="s">
        <v>391</v>
      </c>
      <c r="J3804" s="151" t="s">
        <v>8359</v>
      </c>
      <c r="K3804" s="151">
        <f t="shared" si="89"/>
        <v>650000000001023</v>
      </c>
      <c r="L3804" s="151" t="s">
        <v>9026</v>
      </c>
    </row>
    <row r="3805" spans="8:12" x14ac:dyDescent="0.25">
      <c r="H3805" s="151" t="s">
        <v>5246</v>
      </c>
      <c r="I3805" s="151" t="s">
        <v>6962</v>
      </c>
      <c r="J3805" s="151" t="s">
        <v>6962</v>
      </c>
      <c r="K3805" s="151">
        <f t="shared" si="89"/>
        <v>0</v>
      </c>
      <c r="L3805" s="151" t="s">
        <v>9025</v>
      </c>
    </row>
    <row r="3806" spans="8:12" x14ac:dyDescent="0.25">
      <c r="H3806" s="151" t="s">
        <v>5246</v>
      </c>
      <c r="I3806" s="151" t="s">
        <v>391</v>
      </c>
      <c r="J3806" s="151" t="s">
        <v>8360</v>
      </c>
      <c r="K3806" s="151">
        <f t="shared" si="89"/>
        <v>650000000001024</v>
      </c>
      <c r="L3806" s="151" t="s">
        <v>9025</v>
      </c>
    </row>
    <row r="3807" spans="8:12" x14ac:dyDescent="0.25">
      <c r="H3807" s="151" t="s">
        <v>5247</v>
      </c>
      <c r="I3807" s="151" t="s">
        <v>6962</v>
      </c>
      <c r="J3807" s="151" t="s">
        <v>6962</v>
      </c>
      <c r="K3807" s="151">
        <f t="shared" si="89"/>
        <v>0</v>
      </c>
      <c r="L3807" s="151" t="s">
        <v>9021</v>
      </c>
    </row>
    <row r="3808" spans="8:12" x14ac:dyDescent="0.25">
      <c r="H3808" s="151" t="s">
        <v>5247</v>
      </c>
      <c r="I3808" s="151" t="s">
        <v>391</v>
      </c>
      <c r="J3808" s="151" t="s">
        <v>8361</v>
      </c>
      <c r="K3808" s="151">
        <f t="shared" si="89"/>
        <v>650000000001025</v>
      </c>
      <c r="L3808" s="151" t="s">
        <v>9021</v>
      </c>
    </row>
    <row r="3809" spans="8:12" x14ac:dyDescent="0.25">
      <c r="H3809" s="151" t="s">
        <v>5248</v>
      </c>
      <c r="I3809" s="151" t="s">
        <v>6962</v>
      </c>
      <c r="J3809" s="151" t="s">
        <v>6962</v>
      </c>
      <c r="K3809" s="151">
        <f t="shared" si="89"/>
        <v>0</v>
      </c>
      <c r="L3809" s="151" t="s">
        <v>9021</v>
      </c>
    </row>
    <row r="3810" spans="8:12" x14ac:dyDescent="0.25">
      <c r="H3810" s="151" t="s">
        <v>5248</v>
      </c>
      <c r="I3810" s="151" t="s">
        <v>391</v>
      </c>
      <c r="J3810" s="151" t="s">
        <v>8362</v>
      </c>
      <c r="K3810" s="151">
        <f t="shared" si="89"/>
        <v>650000000001026</v>
      </c>
      <c r="L3810" s="151" t="s">
        <v>9021</v>
      </c>
    </row>
    <row r="3811" spans="8:12" x14ac:dyDescent="0.25">
      <c r="H3811" s="151" t="s">
        <v>5249</v>
      </c>
      <c r="I3811" s="151" t="s">
        <v>6962</v>
      </c>
      <c r="J3811" s="151" t="s">
        <v>6962</v>
      </c>
      <c r="K3811" s="151">
        <f t="shared" si="89"/>
        <v>0</v>
      </c>
      <c r="L3811" s="151" t="s">
        <v>9021</v>
      </c>
    </row>
    <row r="3812" spans="8:12" x14ac:dyDescent="0.25">
      <c r="H3812" s="151" t="s">
        <v>5249</v>
      </c>
      <c r="I3812" s="151" t="s">
        <v>391</v>
      </c>
      <c r="J3812" s="151" t="s">
        <v>8363</v>
      </c>
      <c r="K3812" s="151">
        <f t="shared" si="89"/>
        <v>650000000001948</v>
      </c>
      <c r="L3812" s="151" t="s">
        <v>9021</v>
      </c>
    </row>
    <row r="3813" spans="8:12" x14ac:dyDescent="0.25">
      <c r="H3813" s="151" t="s">
        <v>6904</v>
      </c>
      <c r="I3813" s="151" t="s">
        <v>6962</v>
      </c>
      <c r="J3813" s="151" t="s">
        <v>6962</v>
      </c>
      <c r="K3813" s="151">
        <f t="shared" si="89"/>
        <v>0</v>
      </c>
      <c r="L3813" s="151" t="s">
        <v>9021</v>
      </c>
    </row>
    <row r="3814" spans="8:12" x14ac:dyDescent="0.25">
      <c r="H3814" s="151" t="s">
        <v>5250</v>
      </c>
      <c r="I3814" s="151" t="s">
        <v>6962</v>
      </c>
      <c r="J3814" s="151" t="s">
        <v>6962</v>
      </c>
      <c r="K3814" s="151">
        <f t="shared" si="89"/>
        <v>0</v>
      </c>
      <c r="L3814" s="151" t="s">
        <v>9021</v>
      </c>
    </row>
    <row r="3815" spans="8:12" x14ac:dyDescent="0.25">
      <c r="H3815" s="151" t="s">
        <v>5250</v>
      </c>
      <c r="I3815" s="151" t="s">
        <v>391</v>
      </c>
      <c r="J3815" s="151" t="s">
        <v>8364</v>
      </c>
      <c r="K3815" s="151">
        <f t="shared" si="89"/>
        <v>650000000001949</v>
      </c>
      <c r="L3815" s="151" t="s">
        <v>9021</v>
      </c>
    </row>
    <row r="3816" spans="8:12" x14ac:dyDescent="0.25">
      <c r="H3816" s="151" t="s">
        <v>5251</v>
      </c>
      <c r="I3816" s="151" t="s">
        <v>6962</v>
      </c>
      <c r="J3816" s="151" t="s">
        <v>6962</v>
      </c>
      <c r="K3816" s="151">
        <f t="shared" si="89"/>
        <v>0</v>
      </c>
      <c r="L3816" s="151" t="s">
        <v>9021</v>
      </c>
    </row>
    <row r="3817" spans="8:12" x14ac:dyDescent="0.25">
      <c r="H3817" s="151" t="s">
        <v>5251</v>
      </c>
      <c r="I3817" s="151" t="s">
        <v>391</v>
      </c>
      <c r="J3817" s="151" t="s">
        <v>8365</v>
      </c>
      <c r="K3817" s="151">
        <f t="shared" si="89"/>
        <v>650000000001027</v>
      </c>
      <c r="L3817" s="151" t="s">
        <v>9021</v>
      </c>
    </row>
    <row r="3818" spans="8:12" x14ac:dyDescent="0.25">
      <c r="H3818" s="151" t="s">
        <v>5252</v>
      </c>
      <c r="I3818" s="151" t="s">
        <v>6962</v>
      </c>
      <c r="J3818" s="151" t="s">
        <v>6962</v>
      </c>
      <c r="K3818" s="151">
        <f t="shared" si="89"/>
        <v>0</v>
      </c>
      <c r="L3818" s="151" t="s">
        <v>9021</v>
      </c>
    </row>
    <row r="3819" spans="8:12" x14ac:dyDescent="0.25">
      <c r="H3819" s="151" t="s">
        <v>5252</v>
      </c>
      <c r="I3819" s="151" t="s">
        <v>391</v>
      </c>
      <c r="J3819" s="151" t="s">
        <v>8366</v>
      </c>
      <c r="K3819" s="151">
        <f t="shared" si="89"/>
        <v>650000000001028</v>
      </c>
      <c r="L3819" s="151" t="s">
        <v>9021</v>
      </c>
    </row>
    <row r="3820" spans="8:12" x14ac:dyDescent="0.25">
      <c r="H3820" s="151" t="s">
        <v>5253</v>
      </c>
      <c r="I3820" s="151" t="s">
        <v>6962</v>
      </c>
      <c r="J3820" s="151" t="s">
        <v>6962</v>
      </c>
      <c r="K3820" s="151">
        <f t="shared" si="89"/>
        <v>0</v>
      </c>
      <c r="L3820" s="151" t="s">
        <v>9021</v>
      </c>
    </row>
    <row r="3821" spans="8:12" x14ac:dyDescent="0.25">
      <c r="H3821" s="151" t="s">
        <v>5253</v>
      </c>
      <c r="I3821" s="151" t="s">
        <v>391</v>
      </c>
      <c r="J3821" s="151" t="s">
        <v>8367</v>
      </c>
      <c r="K3821" s="151">
        <f t="shared" si="89"/>
        <v>650000000001029</v>
      </c>
      <c r="L3821" s="151" t="s">
        <v>9021</v>
      </c>
    </row>
    <row r="3822" spans="8:12" x14ac:dyDescent="0.25">
      <c r="H3822" s="151" t="s">
        <v>5254</v>
      </c>
      <c r="I3822" s="151" t="s">
        <v>6962</v>
      </c>
      <c r="J3822" s="151" t="s">
        <v>6962</v>
      </c>
      <c r="K3822" s="151">
        <f t="shared" si="89"/>
        <v>0</v>
      </c>
      <c r="L3822" s="151" t="s">
        <v>9021</v>
      </c>
    </row>
    <row r="3823" spans="8:12" x14ac:dyDescent="0.25">
      <c r="H3823" s="151" t="s">
        <v>5254</v>
      </c>
      <c r="I3823" s="151" t="s">
        <v>391</v>
      </c>
      <c r="J3823" s="151" t="s">
        <v>8368</v>
      </c>
      <c r="K3823" s="151">
        <f t="shared" si="89"/>
        <v>650000000001030</v>
      </c>
      <c r="L3823" s="151" t="s">
        <v>9021</v>
      </c>
    </row>
    <row r="3824" spans="8:12" x14ac:dyDescent="0.25">
      <c r="H3824" s="151" t="s">
        <v>5255</v>
      </c>
      <c r="I3824" s="151" t="s">
        <v>6962</v>
      </c>
      <c r="J3824" s="151" t="s">
        <v>6962</v>
      </c>
      <c r="K3824" s="151">
        <f t="shared" si="89"/>
        <v>0</v>
      </c>
      <c r="L3824" s="151" t="s">
        <v>9021</v>
      </c>
    </row>
    <row r="3825" spans="8:12" x14ac:dyDescent="0.25">
      <c r="H3825" s="151" t="s">
        <v>5255</v>
      </c>
      <c r="I3825" s="151" t="s">
        <v>391</v>
      </c>
      <c r="J3825" s="151" t="s">
        <v>8369</v>
      </c>
      <c r="K3825" s="151">
        <f t="shared" si="89"/>
        <v>650000000001031</v>
      </c>
      <c r="L3825" s="151" t="s">
        <v>9021</v>
      </c>
    </row>
    <row r="3826" spans="8:12" x14ac:dyDescent="0.25">
      <c r="H3826" s="151" t="s">
        <v>5256</v>
      </c>
      <c r="I3826" s="151" t="s">
        <v>6962</v>
      </c>
      <c r="J3826" s="151" t="s">
        <v>6962</v>
      </c>
      <c r="K3826" s="151">
        <f t="shared" si="89"/>
        <v>0</v>
      </c>
      <c r="L3826" s="151" t="s">
        <v>9021</v>
      </c>
    </row>
    <row r="3827" spans="8:12" x14ac:dyDescent="0.25">
      <c r="H3827" s="151" t="s">
        <v>5256</v>
      </c>
      <c r="I3827" s="151" t="s">
        <v>391</v>
      </c>
      <c r="J3827" s="151" t="s">
        <v>8370</v>
      </c>
      <c r="K3827" s="151">
        <f t="shared" si="89"/>
        <v>650000000001032</v>
      </c>
      <c r="L3827" s="151" t="s">
        <v>9021</v>
      </c>
    </row>
    <row r="3828" spans="8:12" x14ac:dyDescent="0.25">
      <c r="H3828" s="151" t="s">
        <v>5257</v>
      </c>
      <c r="I3828" s="151" t="s">
        <v>6962</v>
      </c>
      <c r="J3828" s="151" t="s">
        <v>6962</v>
      </c>
      <c r="K3828" s="151">
        <f t="shared" si="89"/>
        <v>0</v>
      </c>
      <c r="L3828" s="151" t="s">
        <v>9021</v>
      </c>
    </row>
    <row r="3829" spans="8:12" x14ac:dyDescent="0.25">
      <c r="H3829" s="151" t="s">
        <v>5257</v>
      </c>
      <c r="I3829" s="151" t="s">
        <v>391</v>
      </c>
      <c r="J3829" s="151" t="s">
        <v>8371</v>
      </c>
      <c r="K3829" s="151">
        <f t="shared" si="89"/>
        <v>650000000001033</v>
      </c>
      <c r="L3829" s="151" t="s">
        <v>9021</v>
      </c>
    </row>
    <row r="3830" spans="8:12" x14ac:dyDescent="0.25">
      <c r="H3830" s="151" t="s">
        <v>5258</v>
      </c>
      <c r="I3830" s="151" t="s">
        <v>6962</v>
      </c>
      <c r="J3830" s="151" t="s">
        <v>6962</v>
      </c>
      <c r="K3830" s="151">
        <f t="shared" si="89"/>
        <v>0</v>
      </c>
      <c r="L3830" s="151" t="s">
        <v>9021</v>
      </c>
    </row>
    <row r="3831" spans="8:12" x14ac:dyDescent="0.25">
      <c r="H3831" s="151" t="s">
        <v>5258</v>
      </c>
      <c r="I3831" s="151" t="s">
        <v>391</v>
      </c>
      <c r="J3831" s="151" t="s">
        <v>8372</v>
      </c>
      <c r="K3831" s="151">
        <f t="shared" si="89"/>
        <v>650000000001034</v>
      </c>
      <c r="L3831" s="151" t="s">
        <v>9021</v>
      </c>
    </row>
    <row r="3832" spans="8:12" x14ac:dyDescent="0.25">
      <c r="H3832" s="151" t="s">
        <v>5259</v>
      </c>
      <c r="I3832" s="151" t="s">
        <v>6962</v>
      </c>
      <c r="J3832" s="151" t="s">
        <v>6962</v>
      </c>
      <c r="K3832" s="151">
        <f t="shared" si="89"/>
        <v>0</v>
      </c>
      <c r="L3832" s="151" t="s">
        <v>9021</v>
      </c>
    </row>
    <row r="3833" spans="8:12" x14ac:dyDescent="0.25">
      <c r="H3833" s="151" t="s">
        <v>5259</v>
      </c>
      <c r="I3833" s="151" t="s">
        <v>391</v>
      </c>
      <c r="J3833" s="151" t="s">
        <v>8373</v>
      </c>
      <c r="K3833" s="151">
        <f t="shared" si="89"/>
        <v>650000000001035</v>
      </c>
      <c r="L3833" s="151" t="s">
        <v>9021</v>
      </c>
    </row>
    <row r="3834" spans="8:12" x14ac:dyDescent="0.25">
      <c r="H3834" s="151" t="s">
        <v>5260</v>
      </c>
      <c r="I3834" s="151" t="s">
        <v>6962</v>
      </c>
      <c r="J3834" s="151" t="s">
        <v>6962</v>
      </c>
      <c r="K3834" s="151">
        <f t="shared" si="89"/>
        <v>0</v>
      </c>
      <c r="L3834" s="151" t="s">
        <v>9021</v>
      </c>
    </row>
    <row r="3835" spans="8:12" x14ac:dyDescent="0.25">
      <c r="H3835" s="151" t="s">
        <v>5260</v>
      </c>
      <c r="I3835" s="151" t="s">
        <v>391</v>
      </c>
      <c r="J3835" s="151" t="s">
        <v>8374</v>
      </c>
      <c r="K3835" s="151">
        <f t="shared" si="89"/>
        <v>650000000001950</v>
      </c>
      <c r="L3835" s="151" t="s">
        <v>9021</v>
      </c>
    </row>
    <row r="3836" spans="8:12" x14ac:dyDescent="0.25">
      <c r="H3836" s="151" t="s">
        <v>5261</v>
      </c>
      <c r="I3836" s="151" t="s">
        <v>6962</v>
      </c>
      <c r="J3836" s="151" t="s">
        <v>6962</v>
      </c>
      <c r="K3836" s="151">
        <f t="shared" si="89"/>
        <v>0</v>
      </c>
      <c r="L3836" s="151" t="s">
        <v>9021</v>
      </c>
    </row>
    <row r="3837" spans="8:12" x14ac:dyDescent="0.25">
      <c r="H3837" s="151" t="s">
        <v>5261</v>
      </c>
      <c r="I3837" s="151" t="s">
        <v>391</v>
      </c>
      <c r="J3837" s="151" t="s">
        <v>8375</v>
      </c>
      <c r="K3837" s="151">
        <f t="shared" si="89"/>
        <v>650000000001036</v>
      </c>
      <c r="L3837" s="151" t="s">
        <v>9021</v>
      </c>
    </row>
    <row r="3838" spans="8:12" x14ac:dyDescent="0.25">
      <c r="H3838" s="151" t="s">
        <v>5262</v>
      </c>
      <c r="I3838" s="151" t="s">
        <v>6962</v>
      </c>
      <c r="J3838" s="151" t="s">
        <v>6962</v>
      </c>
      <c r="K3838" s="151">
        <f t="shared" si="89"/>
        <v>0</v>
      </c>
      <c r="L3838" s="151" t="s">
        <v>9021</v>
      </c>
    </row>
    <row r="3839" spans="8:12" x14ac:dyDescent="0.25">
      <c r="H3839" s="151" t="s">
        <v>5262</v>
      </c>
      <c r="I3839" s="151" t="s">
        <v>391</v>
      </c>
      <c r="J3839" s="151" t="s">
        <v>8376</v>
      </c>
      <c r="K3839" s="151">
        <f t="shared" si="89"/>
        <v>650000000001037</v>
      </c>
      <c r="L3839" s="151" t="s">
        <v>9021</v>
      </c>
    </row>
    <row r="3840" spans="8:12" x14ac:dyDescent="0.25">
      <c r="H3840" s="151" t="s">
        <v>6905</v>
      </c>
      <c r="I3840" s="151" t="s">
        <v>6962</v>
      </c>
      <c r="J3840" s="151" t="s">
        <v>6962</v>
      </c>
      <c r="K3840" s="151">
        <f t="shared" si="89"/>
        <v>0</v>
      </c>
      <c r="L3840" s="151" t="s">
        <v>9021</v>
      </c>
    </row>
    <row r="3841" spans="8:12" x14ac:dyDescent="0.25">
      <c r="H3841" s="151" t="s">
        <v>5263</v>
      </c>
      <c r="I3841" s="151" t="s">
        <v>6962</v>
      </c>
      <c r="J3841" s="151" t="s">
        <v>6962</v>
      </c>
      <c r="K3841" s="151">
        <f t="shared" si="89"/>
        <v>0</v>
      </c>
      <c r="L3841" s="151" t="s">
        <v>9021</v>
      </c>
    </row>
    <row r="3842" spans="8:12" x14ac:dyDescent="0.25">
      <c r="H3842" s="151" t="s">
        <v>5263</v>
      </c>
      <c r="I3842" s="151" t="s">
        <v>391</v>
      </c>
      <c r="J3842" s="151" t="s">
        <v>8377</v>
      </c>
      <c r="K3842" s="151">
        <f t="shared" si="89"/>
        <v>650000000001951</v>
      </c>
      <c r="L3842" s="151" t="s">
        <v>9021</v>
      </c>
    </row>
    <row r="3843" spans="8:12" x14ac:dyDescent="0.25">
      <c r="H3843" s="151" t="s">
        <v>5264</v>
      </c>
      <c r="I3843" s="151" t="s">
        <v>6962</v>
      </c>
      <c r="J3843" s="151" t="s">
        <v>6962</v>
      </c>
      <c r="K3843" s="151">
        <f t="shared" ref="K3843:K3906" si="90">+IFERROR(J3843*1,0)</f>
        <v>0</v>
      </c>
      <c r="L3843" s="151" t="s">
        <v>9021</v>
      </c>
    </row>
    <row r="3844" spans="8:12" x14ac:dyDescent="0.25">
      <c r="H3844" s="151" t="s">
        <v>5264</v>
      </c>
      <c r="I3844" s="151" t="s">
        <v>391</v>
      </c>
      <c r="J3844" s="151" t="s">
        <v>8378</v>
      </c>
      <c r="K3844" s="151">
        <f t="shared" si="90"/>
        <v>650000000001952</v>
      </c>
      <c r="L3844" s="151" t="s">
        <v>9021</v>
      </c>
    </row>
    <row r="3845" spans="8:12" x14ac:dyDescent="0.25">
      <c r="H3845" s="151" t="s">
        <v>5265</v>
      </c>
      <c r="I3845" s="151" t="s">
        <v>6962</v>
      </c>
      <c r="J3845" s="151" t="s">
        <v>6962</v>
      </c>
      <c r="K3845" s="151">
        <f t="shared" si="90"/>
        <v>0</v>
      </c>
      <c r="L3845" s="151" t="s">
        <v>9021</v>
      </c>
    </row>
    <row r="3846" spans="8:12" x14ac:dyDescent="0.25">
      <c r="H3846" s="151" t="s">
        <v>5265</v>
      </c>
      <c r="I3846" s="151" t="s">
        <v>391</v>
      </c>
      <c r="J3846" s="151" t="s">
        <v>8379</v>
      </c>
      <c r="K3846" s="151">
        <f t="shared" si="90"/>
        <v>650000000001953</v>
      </c>
      <c r="L3846" s="151" t="s">
        <v>9021</v>
      </c>
    </row>
    <row r="3847" spans="8:12" x14ac:dyDescent="0.25">
      <c r="H3847" s="151" t="s">
        <v>5266</v>
      </c>
      <c r="I3847" s="151" t="s">
        <v>6962</v>
      </c>
      <c r="J3847" s="151" t="s">
        <v>6962</v>
      </c>
      <c r="K3847" s="151">
        <f t="shared" si="90"/>
        <v>0</v>
      </c>
      <c r="L3847" s="151" t="s">
        <v>9021</v>
      </c>
    </row>
    <row r="3848" spans="8:12" x14ac:dyDescent="0.25">
      <c r="H3848" s="151" t="s">
        <v>5266</v>
      </c>
      <c r="I3848" s="151" t="s">
        <v>391</v>
      </c>
      <c r="J3848" s="151" t="s">
        <v>8380</v>
      </c>
      <c r="K3848" s="151">
        <f t="shared" si="90"/>
        <v>650000000001954</v>
      </c>
      <c r="L3848" s="151" t="s">
        <v>9021</v>
      </c>
    </row>
    <row r="3849" spans="8:12" x14ac:dyDescent="0.25">
      <c r="H3849" s="151" t="s">
        <v>6906</v>
      </c>
      <c r="I3849" s="151" t="s">
        <v>6962</v>
      </c>
      <c r="J3849" s="151" t="s">
        <v>6962</v>
      </c>
      <c r="K3849" s="151">
        <f t="shared" si="90"/>
        <v>0</v>
      </c>
      <c r="L3849" s="151" t="s">
        <v>9021</v>
      </c>
    </row>
    <row r="3850" spans="8:12" x14ac:dyDescent="0.25">
      <c r="H3850" s="151" t="s">
        <v>5267</v>
      </c>
      <c r="I3850" s="151" t="s">
        <v>6962</v>
      </c>
      <c r="J3850" s="151" t="s">
        <v>6962</v>
      </c>
      <c r="K3850" s="151">
        <f t="shared" si="90"/>
        <v>0</v>
      </c>
      <c r="L3850" s="151" t="s">
        <v>9021</v>
      </c>
    </row>
    <row r="3851" spans="8:12" x14ac:dyDescent="0.25">
      <c r="H3851" s="151" t="s">
        <v>5267</v>
      </c>
      <c r="I3851" s="151" t="s">
        <v>391</v>
      </c>
      <c r="J3851" s="151" t="s">
        <v>8381</v>
      </c>
      <c r="K3851" s="151">
        <f t="shared" si="90"/>
        <v>650000000001955</v>
      </c>
      <c r="L3851" s="151" t="s">
        <v>9021</v>
      </c>
    </row>
    <row r="3852" spans="8:12" x14ac:dyDescent="0.25">
      <c r="H3852" s="151" t="s">
        <v>6907</v>
      </c>
      <c r="I3852" s="151" t="s">
        <v>6962</v>
      </c>
      <c r="J3852" s="151" t="s">
        <v>6962</v>
      </c>
      <c r="K3852" s="151">
        <f t="shared" si="90"/>
        <v>0</v>
      </c>
      <c r="L3852" s="151" t="s">
        <v>9021</v>
      </c>
    </row>
    <row r="3853" spans="8:12" x14ac:dyDescent="0.25">
      <c r="H3853" s="151" t="s">
        <v>5268</v>
      </c>
      <c r="I3853" s="151" t="s">
        <v>6962</v>
      </c>
      <c r="J3853" s="151" t="s">
        <v>6962</v>
      </c>
      <c r="K3853" s="151">
        <f t="shared" si="90"/>
        <v>0</v>
      </c>
      <c r="L3853" s="151" t="s">
        <v>9021</v>
      </c>
    </row>
    <row r="3854" spans="8:12" x14ac:dyDescent="0.25">
      <c r="H3854" s="151" t="s">
        <v>5268</v>
      </c>
      <c r="I3854" s="151" t="s">
        <v>391</v>
      </c>
      <c r="J3854" s="151" t="s">
        <v>8382</v>
      </c>
      <c r="K3854" s="151">
        <f t="shared" si="90"/>
        <v>650000000001956</v>
      </c>
      <c r="L3854" s="151" t="s">
        <v>9021</v>
      </c>
    </row>
    <row r="3855" spans="8:12" x14ac:dyDescent="0.25">
      <c r="H3855" s="151" t="s">
        <v>5269</v>
      </c>
      <c r="I3855" s="151" t="s">
        <v>6962</v>
      </c>
      <c r="J3855" s="151" t="s">
        <v>6962</v>
      </c>
      <c r="K3855" s="151">
        <f t="shared" si="90"/>
        <v>0</v>
      </c>
      <c r="L3855" s="151" t="s">
        <v>9021</v>
      </c>
    </row>
    <row r="3856" spans="8:12" x14ac:dyDescent="0.25">
      <c r="H3856" s="151" t="s">
        <v>5269</v>
      </c>
      <c r="I3856" s="151" t="s">
        <v>391</v>
      </c>
      <c r="J3856" s="151" t="s">
        <v>8383</v>
      </c>
      <c r="K3856" s="151">
        <f t="shared" si="90"/>
        <v>650000000001038</v>
      </c>
      <c r="L3856" s="151" t="s">
        <v>9021</v>
      </c>
    </row>
    <row r="3857" spans="8:12" x14ac:dyDescent="0.25">
      <c r="H3857" s="151" t="s">
        <v>5270</v>
      </c>
      <c r="I3857" s="151" t="s">
        <v>6962</v>
      </c>
      <c r="J3857" s="151" t="s">
        <v>6962</v>
      </c>
      <c r="K3857" s="151">
        <f t="shared" si="90"/>
        <v>0</v>
      </c>
      <c r="L3857" s="151" t="s">
        <v>9021</v>
      </c>
    </row>
    <row r="3858" spans="8:12" x14ac:dyDescent="0.25">
      <c r="H3858" s="151" t="s">
        <v>5270</v>
      </c>
      <c r="I3858" s="151" t="s">
        <v>391</v>
      </c>
      <c r="J3858" s="151" t="s">
        <v>8384</v>
      </c>
      <c r="K3858" s="151">
        <f t="shared" si="90"/>
        <v>650000000001957</v>
      </c>
      <c r="L3858" s="151" t="s">
        <v>9021</v>
      </c>
    </row>
    <row r="3859" spans="8:12" x14ac:dyDescent="0.25">
      <c r="H3859" s="151" t="s">
        <v>5271</v>
      </c>
      <c r="I3859" s="151" t="s">
        <v>6962</v>
      </c>
      <c r="J3859" s="151" t="s">
        <v>6962</v>
      </c>
      <c r="K3859" s="151">
        <f t="shared" si="90"/>
        <v>0</v>
      </c>
      <c r="L3859" s="151" t="s">
        <v>9021</v>
      </c>
    </row>
    <row r="3860" spans="8:12" x14ac:dyDescent="0.25">
      <c r="H3860" s="151" t="s">
        <v>5271</v>
      </c>
      <c r="I3860" s="151" t="s">
        <v>391</v>
      </c>
      <c r="J3860" s="151" t="s">
        <v>8385</v>
      </c>
      <c r="K3860" s="151">
        <f t="shared" si="90"/>
        <v>650000000001039</v>
      </c>
      <c r="L3860" s="151" t="s">
        <v>9021</v>
      </c>
    </row>
    <row r="3861" spans="8:12" x14ac:dyDescent="0.25">
      <c r="H3861" s="151" t="s">
        <v>5272</v>
      </c>
      <c r="I3861" s="151" t="s">
        <v>6962</v>
      </c>
      <c r="J3861" s="151" t="s">
        <v>6962</v>
      </c>
      <c r="K3861" s="151">
        <f t="shared" si="90"/>
        <v>0</v>
      </c>
      <c r="L3861" s="151" t="s">
        <v>9021</v>
      </c>
    </row>
    <row r="3862" spans="8:12" x14ac:dyDescent="0.25">
      <c r="H3862" s="151" t="s">
        <v>5272</v>
      </c>
      <c r="I3862" s="151" t="s">
        <v>391</v>
      </c>
      <c r="J3862" s="151" t="s">
        <v>8386</v>
      </c>
      <c r="K3862" s="151">
        <f t="shared" si="90"/>
        <v>650000000001040</v>
      </c>
      <c r="L3862" s="151" t="s">
        <v>9021</v>
      </c>
    </row>
    <row r="3863" spans="8:12" x14ac:dyDescent="0.25">
      <c r="H3863" s="151" t="s">
        <v>5273</v>
      </c>
      <c r="I3863" s="151" t="s">
        <v>6962</v>
      </c>
      <c r="J3863" s="151" t="s">
        <v>6962</v>
      </c>
      <c r="K3863" s="151">
        <f t="shared" si="90"/>
        <v>0</v>
      </c>
      <c r="L3863" s="151" t="s">
        <v>9021</v>
      </c>
    </row>
    <row r="3864" spans="8:12" x14ac:dyDescent="0.25">
      <c r="H3864" s="151" t="s">
        <v>5273</v>
      </c>
      <c r="I3864" s="151" t="s">
        <v>391</v>
      </c>
      <c r="J3864" s="151" t="s">
        <v>8387</v>
      </c>
      <c r="K3864" s="151">
        <f t="shared" si="90"/>
        <v>650000000001958</v>
      </c>
      <c r="L3864" s="151" t="s">
        <v>9021</v>
      </c>
    </row>
    <row r="3865" spans="8:12" x14ac:dyDescent="0.25">
      <c r="H3865" s="151" t="s">
        <v>6908</v>
      </c>
      <c r="I3865" s="151" t="s">
        <v>6962</v>
      </c>
      <c r="J3865" s="151" t="s">
        <v>6962</v>
      </c>
      <c r="K3865" s="151">
        <f t="shared" si="90"/>
        <v>0</v>
      </c>
      <c r="L3865" s="151" t="s">
        <v>9021</v>
      </c>
    </row>
    <row r="3866" spans="8:12" x14ac:dyDescent="0.25">
      <c r="H3866" s="151" t="s">
        <v>5274</v>
      </c>
      <c r="I3866" s="151" t="s">
        <v>6962</v>
      </c>
      <c r="J3866" s="151" t="s">
        <v>6962</v>
      </c>
      <c r="K3866" s="151">
        <f t="shared" si="90"/>
        <v>0</v>
      </c>
      <c r="L3866" s="151" t="s">
        <v>9021</v>
      </c>
    </row>
    <row r="3867" spans="8:12" x14ac:dyDescent="0.25">
      <c r="H3867" s="151" t="s">
        <v>5274</v>
      </c>
      <c r="I3867" s="151" t="s">
        <v>391</v>
      </c>
      <c r="J3867" s="151" t="s">
        <v>8388</v>
      </c>
      <c r="K3867" s="151">
        <f t="shared" si="90"/>
        <v>650000000001041</v>
      </c>
      <c r="L3867" s="151" t="s">
        <v>9021</v>
      </c>
    </row>
    <row r="3868" spans="8:12" x14ac:dyDescent="0.25">
      <c r="H3868" s="151" t="s">
        <v>5275</v>
      </c>
      <c r="I3868" s="151" t="s">
        <v>6962</v>
      </c>
      <c r="J3868" s="151" t="s">
        <v>6962</v>
      </c>
      <c r="K3868" s="151">
        <f t="shared" si="90"/>
        <v>0</v>
      </c>
      <c r="L3868" s="151" t="s">
        <v>9021</v>
      </c>
    </row>
    <row r="3869" spans="8:12" x14ac:dyDescent="0.25">
      <c r="H3869" s="151" t="s">
        <v>5275</v>
      </c>
      <c r="I3869" s="151" t="s">
        <v>391</v>
      </c>
      <c r="J3869" s="151" t="s">
        <v>8389</v>
      </c>
      <c r="K3869" s="151">
        <f t="shared" si="90"/>
        <v>650000000001042</v>
      </c>
      <c r="L3869" s="151" t="s">
        <v>9021</v>
      </c>
    </row>
    <row r="3870" spans="8:12" x14ac:dyDescent="0.25">
      <c r="H3870" s="151" t="s">
        <v>5276</v>
      </c>
      <c r="I3870" s="151" t="s">
        <v>6962</v>
      </c>
      <c r="J3870" s="151" t="s">
        <v>6962</v>
      </c>
      <c r="K3870" s="151">
        <f t="shared" si="90"/>
        <v>0</v>
      </c>
      <c r="L3870" s="151" t="s">
        <v>9021</v>
      </c>
    </row>
    <row r="3871" spans="8:12" x14ac:dyDescent="0.25">
      <c r="H3871" s="151" t="s">
        <v>5276</v>
      </c>
      <c r="I3871" s="151" t="s">
        <v>391</v>
      </c>
      <c r="J3871" s="151" t="s">
        <v>8390</v>
      </c>
      <c r="K3871" s="151">
        <f t="shared" si="90"/>
        <v>650000000001959</v>
      </c>
      <c r="L3871" s="151" t="s">
        <v>9021</v>
      </c>
    </row>
    <row r="3872" spans="8:12" x14ac:dyDescent="0.25">
      <c r="H3872" s="151" t="s">
        <v>5277</v>
      </c>
      <c r="I3872" s="151" t="s">
        <v>6962</v>
      </c>
      <c r="J3872" s="151" t="s">
        <v>6962</v>
      </c>
      <c r="K3872" s="151">
        <f t="shared" si="90"/>
        <v>0</v>
      </c>
      <c r="L3872" s="151" t="s">
        <v>9021</v>
      </c>
    </row>
    <row r="3873" spans="8:12" x14ac:dyDescent="0.25">
      <c r="H3873" s="151" t="s">
        <v>5277</v>
      </c>
      <c r="I3873" s="151" t="s">
        <v>391</v>
      </c>
      <c r="J3873" s="151" t="s">
        <v>8391</v>
      </c>
      <c r="K3873" s="151">
        <f t="shared" si="90"/>
        <v>650000000001043</v>
      </c>
      <c r="L3873" s="151" t="s">
        <v>9021</v>
      </c>
    </row>
    <row r="3874" spans="8:12" x14ac:dyDescent="0.25">
      <c r="H3874" s="151" t="s">
        <v>5278</v>
      </c>
      <c r="I3874" s="151" t="s">
        <v>6962</v>
      </c>
      <c r="J3874" s="151" t="s">
        <v>6962</v>
      </c>
      <c r="K3874" s="151">
        <f t="shared" si="90"/>
        <v>0</v>
      </c>
      <c r="L3874" s="151" t="s">
        <v>9021</v>
      </c>
    </row>
    <row r="3875" spans="8:12" x14ac:dyDescent="0.25">
      <c r="H3875" s="151" t="s">
        <v>5278</v>
      </c>
      <c r="I3875" s="151" t="s">
        <v>391</v>
      </c>
      <c r="J3875" s="151" t="s">
        <v>8392</v>
      </c>
      <c r="K3875" s="151">
        <f t="shared" si="90"/>
        <v>650000000001044</v>
      </c>
      <c r="L3875" s="151" t="s">
        <v>9021</v>
      </c>
    </row>
    <row r="3876" spans="8:12" x14ac:dyDescent="0.25">
      <c r="H3876" s="151" t="s">
        <v>5279</v>
      </c>
      <c r="I3876" s="151" t="s">
        <v>6962</v>
      </c>
      <c r="J3876" s="151" t="s">
        <v>6962</v>
      </c>
      <c r="K3876" s="151">
        <f t="shared" si="90"/>
        <v>0</v>
      </c>
      <c r="L3876" s="151" t="s">
        <v>9021</v>
      </c>
    </row>
    <row r="3877" spans="8:12" x14ac:dyDescent="0.25">
      <c r="H3877" s="151" t="s">
        <v>5279</v>
      </c>
      <c r="I3877" s="151" t="s">
        <v>391</v>
      </c>
      <c r="J3877" s="151" t="s">
        <v>8393</v>
      </c>
      <c r="K3877" s="151">
        <f t="shared" si="90"/>
        <v>650000000001960</v>
      </c>
      <c r="L3877" s="151" t="s">
        <v>9021</v>
      </c>
    </row>
    <row r="3878" spans="8:12" x14ac:dyDescent="0.25">
      <c r="H3878" s="151" t="s">
        <v>5280</v>
      </c>
      <c r="I3878" s="151" t="s">
        <v>6962</v>
      </c>
      <c r="J3878" s="151" t="s">
        <v>6962</v>
      </c>
      <c r="K3878" s="151">
        <f t="shared" si="90"/>
        <v>0</v>
      </c>
      <c r="L3878" s="151" t="s">
        <v>9021</v>
      </c>
    </row>
    <row r="3879" spans="8:12" x14ac:dyDescent="0.25">
      <c r="H3879" s="151" t="s">
        <v>5280</v>
      </c>
      <c r="I3879" s="151" t="s">
        <v>391</v>
      </c>
      <c r="J3879" s="151" t="s">
        <v>8394</v>
      </c>
      <c r="K3879" s="151">
        <f t="shared" si="90"/>
        <v>650000000001045</v>
      </c>
      <c r="L3879" s="151" t="s">
        <v>9021</v>
      </c>
    </row>
    <row r="3880" spans="8:12" x14ac:dyDescent="0.25">
      <c r="H3880" s="151" t="s">
        <v>5281</v>
      </c>
      <c r="I3880" s="151" t="s">
        <v>6962</v>
      </c>
      <c r="J3880" s="151" t="s">
        <v>6962</v>
      </c>
      <c r="K3880" s="151">
        <f t="shared" si="90"/>
        <v>0</v>
      </c>
      <c r="L3880" s="151" t="s">
        <v>9021</v>
      </c>
    </row>
    <row r="3881" spans="8:12" x14ac:dyDescent="0.25">
      <c r="H3881" s="151" t="s">
        <v>5281</v>
      </c>
      <c r="I3881" s="151" t="s">
        <v>391</v>
      </c>
      <c r="J3881" s="151" t="s">
        <v>8395</v>
      </c>
      <c r="K3881" s="151">
        <f t="shared" si="90"/>
        <v>650000000001961</v>
      </c>
      <c r="L3881" s="151" t="s">
        <v>9021</v>
      </c>
    </row>
    <row r="3882" spans="8:12" x14ac:dyDescent="0.25">
      <c r="H3882" s="151" t="s">
        <v>5282</v>
      </c>
      <c r="I3882" s="151" t="s">
        <v>6962</v>
      </c>
      <c r="J3882" s="151" t="s">
        <v>6962</v>
      </c>
      <c r="K3882" s="151">
        <f t="shared" si="90"/>
        <v>0</v>
      </c>
      <c r="L3882" s="151" t="s">
        <v>9021</v>
      </c>
    </row>
    <row r="3883" spans="8:12" x14ac:dyDescent="0.25">
      <c r="H3883" s="151" t="s">
        <v>5282</v>
      </c>
      <c r="I3883" s="151" t="s">
        <v>391</v>
      </c>
      <c r="J3883" s="151" t="s">
        <v>8396</v>
      </c>
      <c r="K3883" s="151">
        <f t="shared" si="90"/>
        <v>650000000001046</v>
      </c>
      <c r="L3883" s="151" t="s">
        <v>9021</v>
      </c>
    </row>
    <row r="3884" spans="8:12" x14ac:dyDescent="0.25">
      <c r="H3884" s="151" t="s">
        <v>5283</v>
      </c>
      <c r="I3884" s="151" t="s">
        <v>6962</v>
      </c>
      <c r="J3884" s="151" t="s">
        <v>6962</v>
      </c>
      <c r="K3884" s="151">
        <f t="shared" si="90"/>
        <v>0</v>
      </c>
      <c r="L3884" s="151" t="s">
        <v>9021</v>
      </c>
    </row>
    <row r="3885" spans="8:12" x14ac:dyDescent="0.25">
      <c r="H3885" s="151" t="s">
        <v>5283</v>
      </c>
      <c r="I3885" s="151" t="s">
        <v>391</v>
      </c>
      <c r="J3885" s="151" t="s">
        <v>8397</v>
      </c>
      <c r="K3885" s="151">
        <f t="shared" si="90"/>
        <v>650000000001047</v>
      </c>
      <c r="L3885" s="151" t="s">
        <v>9021</v>
      </c>
    </row>
    <row r="3886" spans="8:12" x14ac:dyDescent="0.25">
      <c r="H3886" s="151" t="s">
        <v>6909</v>
      </c>
      <c r="I3886" s="151" t="s">
        <v>6962</v>
      </c>
      <c r="J3886" s="151" t="s">
        <v>6962</v>
      </c>
      <c r="K3886" s="151">
        <f t="shared" si="90"/>
        <v>0</v>
      </c>
      <c r="L3886" s="151" t="s">
        <v>9021</v>
      </c>
    </row>
    <row r="3887" spans="8:12" x14ac:dyDescent="0.25">
      <c r="H3887" s="151" t="s">
        <v>5284</v>
      </c>
      <c r="I3887" s="151" t="s">
        <v>6962</v>
      </c>
      <c r="J3887" s="151" t="s">
        <v>6962</v>
      </c>
      <c r="K3887" s="151">
        <f t="shared" si="90"/>
        <v>0</v>
      </c>
      <c r="L3887" s="151" t="s">
        <v>9021</v>
      </c>
    </row>
    <row r="3888" spans="8:12" x14ac:dyDescent="0.25">
      <c r="H3888" s="151" t="s">
        <v>5284</v>
      </c>
      <c r="I3888" s="151" t="s">
        <v>391</v>
      </c>
      <c r="J3888" s="151" t="s">
        <v>8398</v>
      </c>
      <c r="K3888" s="151">
        <f t="shared" si="90"/>
        <v>650000000001048</v>
      </c>
      <c r="L3888" s="151" t="s">
        <v>9021</v>
      </c>
    </row>
    <row r="3889" spans="8:12" x14ac:dyDescent="0.25">
      <c r="H3889" s="151" t="s">
        <v>5285</v>
      </c>
      <c r="I3889" s="151" t="s">
        <v>6962</v>
      </c>
      <c r="J3889" s="151" t="s">
        <v>6962</v>
      </c>
      <c r="K3889" s="151">
        <f t="shared" si="90"/>
        <v>0</v>
      </c>
      <c r="L3889" s="151" t="s">
        <v>9021</v>
      </c>
    </row>
    <row r="3890" spans="8:12" x14ac:dyDescent="0.25">
      <c r="H3890" s="151" t="s">
        <v>5285</v>
      </c>
      <c r="I3890" s="151" t="s">
        <v>391</v>
      </c>
      <c r="J3890" s="151" t="s">
        <v>8399</v>
      </c>
      <c r="K3890" s="151">
        <f t="shared" si="90"/>
        <v>650000000001049</v>
      </c>
      <c r="L3890" s="151" t="s">
        <v>9021</v>
      </c>
    </row>
    <row r="3891" spans="8:12" x14ac:dyDescent="0.25">
      <c r="H3891" s="151" t="s">
        <v>5286</v>
      </c>
      <c r="I3891" s="151" t="s">
        <v>6962</v>
      </c>
      <c r="J3891" s="151" t="s">
        <v>6962</v>
      </c>
      <c r="K3891" s="151">
        <f t="shared" si="90"/>
        <v>0</v>
      </c>
      <c r="L3891" s="151" t="s">
        <v>9021</v>
      </c>
    </row>
    <row r="3892" spans="8:12" x14ac:dyDescent="0.25">
      <c r="H3892" s="151" t="s">
        <v>5286</v>
      </c>
      <c r="I3892" s="151" t="s">
        <v>391</v>
      </c>
      <c r="J3892" s="151" t="s">
        <v>8400</v>
      </c>
      <c r="K3892" s="151">
        <f t="shared" si="90"/>
        <v>650000000001962</v>
      </c>
      <c r="L3892" s="151" t="s">
        <v>9021</v>
      </c>
    </row>
    <row r="3893" spans="8:12" x14ac:dyDescent="0.25">
      <c r="H3893" s="151" t="s">
        <v>5287</v>
      </c>
      <c r="I3893" s="151" t="s">
        <v>6962</v>
      </c>
      <c r="J3893" s="151" t="s">
        <v>6962</v>
      </c>
      <c r="K3893" s="151">
        <f t="shared" si="90"/>
        <v>0</v>
      </c>
      <c r="L3893" s="151" t="s">
        <v>9021</v>
      </c>
    </row>
    <row r="3894" spans="8:12" x14ac:dyDescent="0.25">
      <c r="H3894" s="151" t="s">
        <v>5287</v>
      </c>
      <c r="I3894" s="151" t="s">
        <v>391</v>
      </c>
      <c r="J3894" s="151" t="s">
        <v>8401</v>
      </c>
      <c r="K3894" s="151">
        <f t="shared" si="90"/>
        <v>650000000001963</v>
      </c>
      <c r="L3894" s="151" t="s">
        <v>9021</v>
      </c>
    </row>
    <row r="3895" spans="8:12" x14ac:dyDescent="0.25">
      <c r="H3895" s="151" t="s">
        <v>6910</v>
      </c>
      <c r="I3895" s="151" t="s">
        <v>6962</v>
      </c>
      <c r="J3895" s="151" t="s">
        <v>6962</v>
      </c>
      <c r="K3895" s="151">
        <f t="shared" si="90"/>
        <v>0</v>
      </c>
      <c r="L3895" s="151" t="s">
        <v>9021</v>
      </c>
    </row>
    <row r="3896" spans="8:12" x14ac:dyDescent="0.25">
      <c r="H3896" s="151" t="s">
        <v>5288</v>
      </c>
      <c r="I3896" s="151" t="s">
        <v>6962</v>
      </c>
      <c r="J3896" s="151" t="s">
        <v>6962</v>
      </c>
      <c r="K3896" s="151">
        <f t="shared" si="90"/>
        <v>0</v>
      </c>
      <c r="L3896" s="151" t="s">
        <v>9021</v>
      </c>
    </row>
    <row r="3897" spans="8:12" x14ac:dyDescent="0.25">
      <c r="H3897" s="151" t="s">
        <v>5288</v>
      </c>
      <c r="I3897" s="151" t="s">
        <v>391</v>
      </c>
      <c r="J3897" s="151" t="s">
        <v>8402</v>
      </c>
      <c r="K3897" s="151">
        <f t="shared" si="90"/>
        <v>650000000001964</v>
      </c>
      <c r="L3897" s="151" t="s">
        <v>9021</v>
      </c>
    </row>
    <row r="3898" spans="8:12" x14ac:dyDescent="0.25">
      <c r="H3898" s="151" t="s">
        <v>6911</v>
      </c>
      <c r="I3898" s="151" t="s">
        <v>6962</v>
      </c>
      <c r="J3898" s="151" t="s">
        <v>6962</v>
      </c>
      <c r="K3898" s="151">
        <f t="shared" si="90"/>
        <v>0</v>
      </c>
      <c r="L3898" s="151" t="s">
        <v>9021</v>
      </c>
    </row>
    <row r="3899" spans="8:12" x14ac:dyDescent="0.25">
      <c r="H3899" s="151" t="s">
        <v>5289</v>
      </c>
      <c r="I3899" s="151" t="s">
        <v>6962</v>
      </c>
      <c r="J3899" s="151" t="s">
        <v>6962</v>
      </c>
      <c r="K3899" s="151">
        <f t="shared" si="90"/>
        <v>0</v>
      </c>
      <c r="L3899" s="151" t="s">
        <v>9021</v>
      </c>
    </row>
    <row r="3900" spans="8:12" x14ac:dyDescent="0.25">
      <c r="H3900" s="151" t="s">
        <v>5289</v>
      </c>
      <c r="I3900" s="151" t="s">
        <v>391</v>
      </c>
      <c r="J3900" s="151" t="s">
        <v>8403</v>
      </c>
      <c r="K3900" s="151">
        <f t="shared" si="90"/>
        <v>650000000001050</v>
      </c>
      <c r="L3900" s="151" t="s">
        <v>9021</v>
      </c>
    </row>
    <row r="3901" spans="8:12" x14ac:dyDescent="0.25">
      <c r="H3901" s="151" t="s">
        <v>5290</v>
      </c>
      <c r="I3901" s="151" t="s">
        <v>6962</v>
      </c>
      <c r="J3901" s="151" t="s">
        <v>6962</v>
      </c>
      <c r="K3901" s="151">
        <f t="shared" si="90"/>
        <v>0</v>
      </c>
      <c r="L3901" s="151" t="s">
        <v>9021</v>
      </c>
    </row>
    <row r="3902" spans="8:12" x14ac:dyDescent="0.25">
      <c r="H3902" s="151" t="s">
        <v>5290</v>
      </c>
      <c r="I3902" s="151" t="s">
        <v>391</v>
      </c>
      <c r="J3902" s="151" t="s">
        <v>8404</v>
      </c>
      <c r="K3902" s="151">
        <f t="shared" si="90"/>
        <v>650000000001965</v>
      </c>
      <c r="L3902" s="151" t="s">
        <v>9021</v>
      </c>
    </row>
    <row r="3903" spans="8:12" x14ac:dyDescent="0.25">
      <c r="H3903" s="151" t="s">
        <v>5291</v>
      </c>
      <c r="I3903" s="151" t="s">
        <v>6962</v>
      </c>
      <c r="J3903" s="151" t="s">
        <v>6962</v>
      </c>
      <c r="K3903" s="151">
        <f t="shared" si="90"/>
        <v>0</v>
      </c>
      <c r="L3903" s="151" t="s">
        <v>9021</v>
      </c>
    </row>
    <row r="3904" spans="8:12" x14ac:dyDescent="0.25">
      <c r="H3904" s="151" t="s">
        <v>5291</v>
      </c>
      <c r="I3904" s="151" t="s">
        <v>391</v>
      </c>
      <c r="J3904" s="151" t="s">
        <v>8405</v>
      </c>
      <c r="K3904" s="151">
        <f t="shared" si="90"/>
        <v>650000000001966</v>
      </c>
      <c r="L3904" s="151" t="s">
        <v>9021</v>
      </c>
    </row>
    <row r="3905" spans="8:12" x14ac:dyDescent="0.25">
      <c r="H3905" s="151" t="s">
        <v>5292</v>
      </c>
      <c r="I3905" s="151" t="s">
        <v>6962</v>
      </c>
      <c r="J3905" s="151" t="s">
        <v>6962</v>
      </c>
      <c r="K3905" s="151">
        <f t="shared" si="90"/>
        <v>0</v>
      </c>
      <c r="L3905" s="151" t="s">
        <v>9021</v>
      </c>
    </row>
    <row r="3906" spans="8:12" x14ac:dyDescent="0.25">
      <c r="H3906" s="151" t="s">
        <v>5292</v>
      </c>
      <c r="I3906" s="151" t="s">
        <v>391</v>
      </c>
      <c r="J3906" s="151" t="s">
        <v>8406</v>
      </c>
      <c r="K3906" s="151">
        <f t="shared" si="90"/>
        <v>650000000001967</v>
      </c>
      <c r="L3906" s="151" t="s">
        <v>9021</v>
      </c>
    </row>
    <row r="3907" spans="8:12" x14ac:dyDescent="0.25">
      <c r="H3907" s="151" t="s">
        <v>5293</v>
      </c>
      <c r="I3907" s="151" t="s">
        <v>6962</v>
      </c>
      <c r="J3907" s="151" t="s">
        <v>6962</v>
      </c>
      <c r="K3907" s="151">
        <f t="shared" ref="K3907:K3970" si="91">+IFERROR(J3907*1,0)</f>
        <v>0</v>
      </c>
      <c r="L3907" s="151" t="s">
        <v>9021</v>
      </c>
    </row>
    <row r="3908" spans="8:12" x14ac:dyDescent="0.25">
      <c r="H3908" s="151" t="s">
        <v>5293</v>
      </c>
      <c r="I3908" s="151" t="s">
        <v>391</v>
      </c>
      <c r="J3908" s="151" t="s">
        <v>8407</v>
      </c>
      <c r="K3908" s="151">
        <f t="shared" si="91"/>
        <v>650000000001968</v>
      </c>
      <c r="L3908" s="151" t="s">
        <v>9021</v>
      </c>
    </row>
    <row r="3909" spans="8:12" x14ac:dyDescent="0.25">
      <c r="H3909" s="151" t="s">
        <v>5294</v>
      </c>
      <c r="I3909" s="151" t="s">
        <v>6962</v>
      </c>
      <c r="J3909" s="151" t="s">
        <v>6962</v>
      </c>
      <c r="K3909" s="151">
        <f t="shared" si="91"/>
        <v>0</v>
      </c>
      <c r="L3909" s="151" t="s">
        <v>9021</v>
      </c>
    </row>
    <row r="3910" spans="8:12" x14ac:dyDescent="0.25">
      <c r="H3910" s="151" t="s">
        <v>5294</v>
      </c>
      <c r="I3910" s="151" t="s">
        <v>391</v>
      </c>
      <c r="J3910" s="151" t="s">
        <v>8408</v>
      </c>
      <c r="K3910" s="151">
        <f t="shared" si="91"/>
        <v>650000000001051</v>
      </c>
      <c r="L3910" s="151" t="s">
        <v>9021</v>
      </c>
    </row>
    <row r="3911" spans="8:12" x14ac:dyDescent="0.25">
      <c r="H3911" s="151" t="s">
        <v>5295</v>
      </c>
      <c r="I3911" s="151" t="s">
        <v>6962</v>
      </c>
      <c r="J3911" s="151" t="s">
        <v>6962</v>
      </c>
      <c r="K3911" s="151">
        <f t="shared" si="91"/>
        <v>0</v>
      </c>
      <c r="L3911" s="151" t="s">
        <v>9021</v>
      </c>
    </row>
    <row r="3912" spans="8:12" x14ac:dyDescent="0.25">
      <c r="H3912" s="151" t="s">
        <v>5295</v>
      </c>
      <c r="I3912" s="151" t="s">
        <v>391</v>
      </c>
      <c r="J3912" s="151" t="s">
        <v>8409</v>
      </c>
      <c r="K3912" s="151">
        <f t="shared" si="91"/>
        <v>650000000001052</v>
      </c>
      <c r="L3912" s="151" t="s">
        <v>9021</v>
      </c>
    </row>
    <row r="3913" spans="8:12" x14ac:dyDescent="0.25">
      <c r="H3913" s="151" t="s">
        <v>5296</v>
      </c>
      <c r="I3913" s="151" t="s">
        <v>6962</v>
      </c>
      <c r="J3913" s="151" t="s">
        <v>6962</v>
      </c>
      <c r="K3913" s="151">
        <f t="shared" si="91"/>
        <v>0</v>
      </c>
      <c r="L3913" s="151" t="s">
        <v>9021</v>
      </c>
    </row>
    <row r="3914" spans="8:12" x14ac:dyDescent="0.25">
      <c r="H3914" s="151" t="s">
        <v>5296</v>
      </c>
      <c r="I3914" s="151" t="s">
        <v>391</v>
      </c>
      <c r="J3914" s="151" t="s">
        <v>8410</v>
      </c>
      <c r="K3914" s="151">
        <f t="shared" si="91"/>
        <v>650000000001969</v>
      </c>
      <c r="L3914" s="151" t="s">
        <v>9021</v>
      </c>
    </row>
    <row r="3915" spans="8:12" x14ac:dyDescent="0.25">
      <c r="H3915" s="151" t="s">
        <v>5297</v>
      </c>
      <c r="I3915" s="151" t="s">
        <v>6962</v>
      </c>
      <c r="J3915" s="151" t="s">
        <v>6962</v>
      </c>
      <c r="K3915" s="151">
        <f t="shared" si="91"/>
        <v>0</v>
      </c>
      <c r="L3915" s="151" t="s">
        <v>9021</v>
      </c>
    </row>
    <row r="3916" spans="8:12" x14ac:dyDescent="0.25">
      <c r="H3916" s="151" t="s">
        <v>5297</v>
      </c>
      <c r="I3916" s="151" t="s">
        <v>391</v>
      </c>
      <c r="J3916" s="151" t="s">
        <v>8411</v>
      </c>
      <c r="K3916" s="151">
        <f t="shared" si="91"/>
        <v>650000000001053</v>
      </c>
      <c r="L3916" s="151" t="s">
        <v>9021</v>
      </c>
    </row>
    <row r="3917" spans="8:12" x14ac:dyDescent="0.25">
      <c r="H3917" s="151" t="s">
        <v>5298</v>
      </c>
      <c r="I3917" s="151" t="s">
        <v>6962</v>
      </c>
      <c r="J3917" s="151" t="s">
        <v>6962</v>
      </c>
      <c r="K3917" s="151">
        <f t="shared" si="91"/>
        <v>0</v>
      </c>
      <c r="L3917" s="151" t="s">
        <v>9021</v>
      </c>
    </row>
    <row r="3918" spans="8:12" x14ac:dyDescent="0.25">
      <c r="H3918" s="151" t="s">
        <v>5298</v>
      </c>
      <c r="I3918" s="151" t="s">
        <v>391</v>
      </c>
      <c r="J3918" s="151" t="s">
        <v>8412</v>
      </c>
      <c r="K3918" s="151">
        <f t="shared" si="91"/>
        <v>650000000001054</v>
      </c>
      <c r="L3918" s="151" t="s">
        <v>9021</v>
      </c>
    </row>
    <row r="3919" spans="8:12" x14ac:dyDescent="0.25">
      <c r="H3919" s="151" t="s">
        <v>5299</v>
      </c>
      <c r="I3919" s="151" t="s">
        <v>6962</v>
      </c>
      <c r="J3919" s="151" t="s">
        <v>6962</v>
      </c>
      <c r="K3919" s="151">
        <f t="shared" si="91"/>
        <v>0</v>
      </c>
      <c r="L3919" s="151" t="s">
        <v>9021</v>
      </c>
    </row>
    <row r="3920" spans="8:12" x14ac:dyDescent="0.25">
      <c r="H3920" s="151" t="s">
        <v>5299</v>
      </c>
      <c r="I3920" s="151" t="s">
        <v>391</v>
      </c>
      <c r="J3920" s="151" t="s">
        <v>8413</v>
      </c>
      <c r="K3920" s="151">
        <f t="shared" si="91"/>
        <v>650000000001970</v>
      </c>
      <c r="L3920" s="151" t="s">
        <v>9021</v>
      </c>
    </row>
    <row r="3921" spans="8:12" x14ac:dyDescent="0.25">
      <c r="H3921" s="151" t="s">
        <v>5300</v>
      </c>
      <c r="I3921" s="151" t="s">
        <v>6962</v>
      </c>
      <c r="J3921" s="151" t="s">
        <v>6962</v>
      </c>
      <c r="K3921" s="151">
        <f t="shared" si="91"/>
        <v>0</v>
      </c>
      <c r="L3921" s="151" t="s">
        <v>9021</v>
      </c>
    </row>
    <row r="3922" spans="8:12" x14ac:dyDescent="0.25">
      <c r="H3922" s="151" t="s">
        <v>5300</v>
      </c>
      <c r="I3922" s="151" t="s">
        <v>391</v>
      </c>
      <c r="J3922" s="151" t="s">
        <v>8414</v>
      </c>
      <c r="K3922" s="151">
        <f t="shared" si="91"/>
        <v>650000000001971</v>
      </c>
      <c r="L3922" s="151" t="s">
        <v>9021</v>
      </c>
    </row>
    <row r="3923" spans="8:12" x14ac:dyDescent="0.25">
      <c r="H3923" s="151" t="s">
        <v>5301</v>
      </c>
      <c r="I3923" s="151" t="s">
        <v>6962</v>
      </c>
      <c r="J3923" s="151" t="s">
        <v>6962</v>
      </c>
      <c r="K3923" s="151">
        <f t="shared" si="91"/>
        <v>0</v>
      </c>
      <c r="L3923" s="151" t="s">
        <v>9021</v>
      </c>
    </row>
    <row r="3924" spans="8:12" x14ac:dyDescent="0.25">
      <c r="H3924" s="151" t="s">
        <v>5301</v>
      </c>
      <c r="I3924" s="151" t="s">
        <v>391</v>
      </c>
      <c r="J3924" s="151" t="s">
        <v>8415</v>
      </c>
      <c r="K3924" s="151">
        <f t="shared" si="91"/>
        <v>650000000001055</v>
      </c>
      <c r="L3924" s="151" t="s">
        <v>9021</v>
      </c>
    </row>
    <row r="3925" spans="8:12" x14ac:dyDescent="0.25">
      <c r="H3925" s="151" t="s">
        <v>5302</v>
      </c>
      <c r="I3925" s="151" t="s">
        <v>6962</v>
      </c>
      <c r="J3925" s="151" t="s">
        <v>6962</v>
      </c>
      <c r="K3925" s="151">
        <f t="shared" si="91"/>
        <v>0</v>
      </c>
      <c r="L3925" s="151" t="s">
        <v>9021</v>
      </c>
    </row>
    <row r="3926" spans="8:12" x14ac:dyDescent="0.25">
      <c r="H3926" s="151" t="s">
        <v>5302</v>
      </c>
      <c r="I3926" s="151" t="s">
        <v>391</v>
      </c>
      <c r="J3926" s="151" t="s">
        <v>8416</v>
      </c>
      <c r="K3926" s="151">
        <f t="shared" si="91"/>
        <v>650000000001056</v>
      </c>
      <c r="L3926" s="151" t="s">
        <v>9021</v>
      </c>
    </row>
    <row r="3927" spans="8:12" x14ac:dyDescent="0.25">
      <c r="H3927" s="151" t="s">
        <v>5303</v>
      </c>
      <c r="I3927" s="151" t="s">
        <v>6962</v>
      </c>
      <c r="J3927" s="151" t="s">
        <v>6962</v>
      </c>
      <c r="K3927" s="151">
        <f t="shared" si="91"/>
        <v>0</v>
      </c>
      <c r="L3927" s="151" t="s">
        <v>9021</v>
      </c>
    </row>
    <row r="3928" spans="8:12" x14ac:dyDescent="0.25">
      <c r="H3928" s="151" t="s">
        <v>5303</v>
      </c>
      <c r="I3928" s="151" t="s">
        <v>391</v>
      </c>
      <c r="J3928" s="151" t="s">
        <v>8417</v>
      </c>
      <c r="K3928" s="151">
        <f t="shared" si="91"/>
        <v>650000000001057</v>
      </c>
      <c r="L3928" s="151" t="s">
        <v>9021</v>
      </c>
    </row>
    <row r="3929" spans="8:12" x14ac:dyDescent="0.25">
      <c r="H3929" s="151" t="s">
        <v>5304</v>
      </c>
      <c r="I3929" s="151" t="s">
        <v>6962</v>
      </c>
      <c r="J3929" s="151" t="s">
        <v>6962</v>
      </c>
      <c r="K3929" s="151">
        <f t="shared" si="91"/>
        <v>0</v>
      </c>
      <c r="L3929" s="151" t="s">
        <v>9021</v>
      </c>
    </row>
    <row r="3930" spans="8:12" x14ac:dyDescent="0.25">
      <c r="H3930" s="151" t="s">
        <v>5304</v>
      </c>
      <c r="I3930" s="151" t="s">
        <v>391</v>
      </c>
      <c r="J3930" s="151" t="s">
        <v>8418</v>
      </c>
      <c r="K3930" s="151">
        <f t="shared" si="91"/>
        <v>650000000001058</v>
      </c>
      <c r="L3930" s="151" t="s">
        <v>9021</v>
      </c>
    </row>
    <row r="3931" spans="8:12" x14ac:dyDescent="0.25">
      <c r="H3931" s="151" t="s">
        <v>5305</v>
      </c>
      <c r="I3931" s="151" t="s">
        <v>6962</v>
      </c>
      <c r="J3931" s="151" t="s">
        <v>6962</v>
      </c>
      <c r="K3931" s="151">
        <f t="shared" si="91"/>
        <v>0</v>
      </c>
      <c r="L3931" s="151" t="s">
        <v>9021</v>
      </c>
    </row>
    <row r="3932" spans="8:12" x14ac:dyDescent="0.25">
      <c r="H3932" s="151" t="s">
        <v>5305</v>
      </c>
      <c r="I3932" s="151" t="s">
        <v>391</v>
      </c>
      <c r="J3932" s="151" t="s">
        <v>8419</v>
      </c>
      <c r="K3932" s="151">
        <f t="shared" si="91"/>
        <v>650000000001059</v>
      </c>
      <c r="L3932" s="151" t="s">
        <v>9021</v>
      </c>
    </row>
    <row r="3933" spans="8:12" x14ac:dyDescent="0.25">
      <c r="H3933" s="151" t="s">
        <v>5306</v>
      </c>
      <c r="I3933" s="151" t="s">
        <v>6962</v>
      </c>
      <c r="J3933" s="151" t="s">
        <v>6962</v>
      </c>
      <c r="K3933" s="151">
        <f t="shared" si="91"/>
        <v>0</v>
      </c>
      <c r="L3933" s="151" t="s">
        <v>9021</v>
      </c>
    </row>
    <row r="3934" spans="8:12" x14ac:dyDescent="0.25">
      <c r="H3934" s="151" t="s">
        <v>5306</v>
      </c>
      <c r="I3934" s="151" t="s">
        <v>391</v>
      </c>
      <c r="J3934" s="151" t="s">
        <v>8420</v>
      </c>
      <c r="K3934" s="151">
        <f t="shared" si="91"/>
        <v>650000000001060</v>
      </c>
      <c r="L3934" s="151" t="s">
        <v>9021</v>
      </c>
    </row>
    <row r="3935" spans="8:12" x14ac:dyDescent="0.25">
      <c r="H3935" s="151" t="s">
        <v>5307</v>
      </c>
      <c r="I3935" s="151" t="s">
        <v>6962</v>
      </c>
      <c r="J3935" s="151" t="s">
        <v>6962</v>
      </c>
      <c r="K3935" s="151">
        <f t="shared" si="91"/>
        <v>0</v>
      </c>
      <c r="L3935" s="151" t="s">
        <v>9021</v>
      </c>
    </row>
    <row r="3936" spans="8:12" x14ac:dyDescent="0.25">
      <c r="H3936" s="151" t="s">
        <v>5307</v>
      </c>
      <c r="I3936" s="151" t="s">
        <v>391</v>
      </c>
      <c r="J3936" s="151" t="s">
        <v>8421</v>
      </c>
      <c r="K3936" s="151">
        <f t="shared" si="91"/>
        <v>650000000001061</v>
      </c>
      <c r="L3936" s="151" t="s">
        <v>9021</v>
      </c>
    </row>
    <row r="3937" spans="8:12" x14ac:dyDescent="0.25">
      <c r="H3937" s="151" t="s">
        <v>5308</v>
      </c>
      <c r="I3937" s="151" t="s">
        <v>6962</v>
      </c>
      <c r="J3937" s="151" t="s">
        <v>6962</v>
      </c>
      <c r="K3937" s="151">
        <f t="shared" si="91"/>
        <v>0</v>
      </c>
      <c r="L3937" s="151" t="s">
        <v>9021</v>
      </c>
    </row>
    <row r="3938" spans="8:12" x14ac:dyDescent="0.25">
      <c r="H3938" s="151" t="s">
        <v>5308</v>
      </c>
      <c r="I3938" s="151" t="s">
        <v>391</v>
      </c>
      <c r="J3938" s="151" t="s">
        <v>8422</v>
      </c>
      <c r="K3938" s="151">
        <f t="shared" si="91"/>
        <v>650000000001062</v>
      </c>
      <c r="L3938" s="151" t="s">
        <v>9021</v>
      </c>
    </row>
    <row r="3939" spans="8:12" x14ac:dyDescent="0.25">
      <c r="H3939" s="151" t="s">
        <v>5309</v>
      </c>
      <c r="I3939" s="151" t="s">
        <v>6962</v>
      </c>
      <c r="J3939" s="151" t="s">
        <v>6962</v>
      </c>
      <c r="K3939" s="151">
        <f t="shared" si="91"/>
        <v>0</v>
      </c>
      <c r="L3939" s="151" t="s">
        <v>9021</v>
      </c>
    </row>
    <row r="3940" spans="8:12" x14ac:dyDescent="0.25">
      <c r="H3940" s="151" t="s">
        <v>5309</v>
      </c>
      <c r="I3940" s="151" t="s">
        <v>391</v>
      </c>
      <c r="J3940" s="151" t="s">
        <v>8423</v>
      </c>
      <c r="K3940" s="151">
        <f t="shared" si="91"/>
        <v>650000000001063</v>
      </c>
      <c r="L3940" s="151" t="s">
        <v>9021</v>
      </c>
    </row>
    <row r="3941" spans="8:12" x14ac:dyDescent="0.25">
      <c r="H3941" s="151" t="s">
        <v>6912</v>
      </c>
      <c r="I3941" s="151" t="s">
        <v>6962</v>
      </c>
      <c r="J3941" s="151" t="s">
        <v>6962</v>
      </c>
      <c r="K3941" s="151">
        <f t="shared" si="91"/>
        <v>0</v>
      </c>
      <c r="L3941" s="151" t="s">
        <v>9021</v>
      </c>
    </row>
    <row r="3942" spans="8:12" x14ac:dyDescent="0.25">
      <c r="H3942" s="151" t="s">
        <v>5310</v>
      </c>
      <c r="I3942" s="151" t="s">
        <v>6962</v>
      </c>
      <c r="J3942" s="151" t="s">
        <v>6962</v>
      </c>
      <c r="K3942" s="151">
        <f t="shared" si="91"/>
        <v>0</v>
      </c>
      <c r="L3942" s="151" t="s">
        <v>9021</v>
      </c>
    </row>
    <row r="3943" spans="8:12" x14ac:dyDescent="0.25">
      <c r="H3943" s="151" t="s">
        <v>5310</v>
      </c>
      <c r="I3943" s="151" t="s">
        <v>391</v>
      </c>
      <c r="J3943" s="151" t="s">
        <v>8424</v>
      </c>
      <c r="K3943" s="151">
        <f t="shared" si="91"/>
        <v>650000000001064</v>
      </c>
      <c r="L3943" s="151" t="s">
        <v>9021</v>
      </c>
    </row>
    <row r="3944" spans="8:12" x14ac:dyDescent="0.25">
      <c r="H3944" s="151" t="s">
        <v>5311</v>
      </c>
      <c r="I3944" s="151" t="s">
        <v>6962</v>
      </c>
      <c r="J3944" s="151" t="s">
        <v>6962</v>
      </c>
      <c r="K3944" s="151">
        <f t="shared" si="91"/>
        <v>0</v>
      </c>
      <c r="L3944" s="151" t="s">
        <v>9021</v>
      </c>
    </row>
    <row r="3945" spans="8:12" x14ac:dyDescent="0.25">
      <c r="H3945" s="151" t="s">
        <v>5311</v>
      </c>
      <c r="I3945" s="151" t="s">
        <v>391</v>
      </c>
      <c r="J3945" s="151" t="s">
        <v>8425</v>
      </c>
      <c r="K3945" s="151">
        <f t="shared" si="91"/>
        <v>650000000001065</v>
      </c>
      <c r="L3945" s="151" t="s">
        <v>9021</v>
      </c>
    </row>
    <row r="3946" spans="8:12" x14ac:dyDescent="0.25">
      <c r="H3946" s="151" t="s">
        <v>5312</v>
      </c>
      <c r="I3946" s="151" t="s">
        <v>6962</v>
      </c>
      <c r="J3946" s="151" t="s">
        <v>6962</v>
      </c>
      <c r="K3946" s="151">
        <f t="shared" si="91"/>
        <v>0</v>
      </c>
      <c r="L3946" s="151" t="s">
        <v>9021</v>
      </c>
    </row>
    <row r="3947" spans="8:12" x14ac:dyDescent="0.25">
      <c r="H3947" s="151" t="s">
        <v>5312</v>
      </c>
      <c r="I3947" s="151" t="s">
        <v>391</v>
      </c>
      <c r="J3947" s="151" t="s">
        <v>8426</v>
      </c>
      <c r="K3947" s="151">
        <f t="shared" si="91"/>
        <v>650000000001066</v>
      </c>
      <c r="L3947" s="151" t="s">
        <v>9021</v>
      </c>
    </row>
    <row r="3948" spans="8:12" x14ac:dyDescent="0.25">
      <c r="H3948" s="151" t="s">
        <v>5313</v>
      </c>
      <c r="I3948" s="151" t="s">
        <v>6962</v>
      </c>
      <c r="J3948" s="151" t="s">
        <v>6962</v>
      </c>
      <c r="K3948" s="151">
        <f t="shared" si="91"/>
        <v>0</v>
      </c>
      <c r="L3948" s="151" t="s">
        <v>9021</v>
      </c>
    </row>
    <row r="3949" spans="8:12" x14ac:dyDescent="0.25">
      <c r="H3949" s="151" t="s">
        <v>5313</v>
      </c>
      <c r="I3949" s="151" t="s">
        <v>391</v>
      </c>
      <c r="J3949" s="151" t="s">
        <v>8427</v>
      </c>
      <c r="K3949" s="151">
        <f t="shared" si="91"/>
        <v>650000000001067</v>
      </c>
      <c r="L3949" s="151" t="s">
        <v>9021</v>
      </c>
    </row>
    <row r="3950" spans="8:12" x14ac:dyDescent="0.25">
      <c r="H3950" s="151" t="s">
        <v>5314</v>
      </c>
      <c r="I3950" s="151" t="s">
        <v>6962</v>
      </c>
      <c r="J3950" s="151" t="s">
        <v>6962</v>
      </c>
      <c r="K3950" s="151">
        <f t="shared" si="91"/>
        <v>0</v>
      </c>
      <c r="L3950" s="151" t="s">
        <v>9021</v>
      </c>
    </row>
    <row r="3951" spans="8:12" x14ac:dyDescent="0.25">
      <c r="H3951" s="151" t="s">
        <v>5314</v>
      </c>
      <c r="I3951" s="151" t="s">
        <v>391</v>
      </c>
      <c r="J3951" s="151" t="s">
        <v>8428</v>
      </c>
      <c r="K3951" s="151">
        <f t="shared" si="91"/>
        <v>650000000001068</v>
      </c>
      <c r="L3951" s="151" t="s">
        <v>9021</v>
      </c>
    </row>
    <row r="3952" spans="8:12" x14ac:dyDescent="0.25">
      <c r="H3952" s="151" t="s">
        <v>5315</v>
      </c>
      <c r="I3952" s="151" t="s">
        <v>6962</v>
      </c>
      <c r="J3952" s="151" t="s">
        <v>6962</v>
      </c>
      <c r="K3952" s="151">
        <f t="shared" si="91"/>
        <v>0</v>
      </c>
      <c r="L3952" s="151" t="s">
        <v>9021</v>
      </c>
    </row>
    <row r="3953" spans="8:12" x14ac:dyDescent="0.25">
      <c r="H3953" s="151" t="s">
        <v>5315</v>
      </c>
      <c r="I3953" s="151" t="s">
        <v>391</v>
      </c>
      <c r="J3953" s="151" t="s">
        <v>8429</v>
      </c>
      <c r="K3953" s="151">
        <f t="shared" si="91"/>
        <v>650000000001972</v>
      </c>
      <c r="L3953" s="151" t="s">
        <v>9021</v>
      </c>
    </row>
    <row r="3954" spans="8:12" x14ac:dyDescent="0.25">
      <c r="H3954" s="151" t="s">
        <v>5316</v>
      </c>
      <c r="I3954" s="151" t="s">
        <v>6962</v>
      </c>
      <c r="J3954" s="151" t="s">
        <v>6962</v>
      </c>
      <c r="K3954" s="151">
        <f t="shared" si="91"/>
        <v>0</v>
      </c>
      <c r="L3954" s="151" t="s">
        <v>9021</v>
      </c>
    </row>
    <row r="3955" spans="8:12" x14ac:dyDescent="0.25">
      <c r="H3955" s="151" t="s">
        <v>5316</v>
      </c>
      <c r="I3955" s="151" t="s">
        <v>391</v>
      </c>
      <c r="J3955" s="151" t="s">
        <v>8430</v>
      </c>
      <c r="K3955" s="151">
        <f t="shared" si="91"/>
        <v>650000000001069</v>
      </c>
      <c r="L3955" s="151" t="s">
        <v>9021</v>
      </c>
    </row>
    <row r="3956" spans="8:12" x14ac:dyDescent="0.25">
      <c r="H3956" s="151" t="s">
        <v>5317</v>
      </c>
      <c r="I3956" s="151" t="s">
        <v>6962</v>
      </c>
      <c r="J3956" s="151" t="s">
        <v>6962</v>
      </c>
      <c r="K3956" s="151">
        <f t="shared" si="91"/>
        <v>0</v>
      </c>
      <c r="L3956" s="151" t="s">
        <v>9021</v>
      </c>
    </row>
    <row r="3957" spans="8:12" x14ac:dyDescent="0.25">
      <c r="H3957" s="151" t="s">
        <v>5317</v>
      </c>
      <c r="I3957" s="151" t="s">
        <v>391</v>
      </c>
      <c r="J3957" s="151" t="s">
        <v>8431</v>
      </c>
      <c r="K3957" s="151">
        <f t="shared" si="91"/>
        <v>650000000001070</v>
      </c>
      <c r="L3957" s="151" t="s">
        <v>9021</v>
      </c>
    </row>
    <row r="3958" spans="8:12" x14ac:dyDescent="0.25">
      <c r="H3958" s="151" t="s">
        <v>5318</v>
      </c>
      <c r="I3958" s="151" t="s">
        <v>6962</v>
      </c>
      <c r="J3958" s="151" t="s">
        <v>6962</v>
      </c>
      <c r="K3958" s="151">
        <f t="shared" si="91"/>
        <v>0</v>
      </c>
      <c r="L3958" s="151" t="s">
        <v>9021</v>
      </c>
    </row>
    <row r="3959" spans="8:12" x14ac:dyDescent="0.25">
      <c r="H3959" s="151" t="s">
        <v>5318</v>
      </c>
      <c r="I3959" s="151" t="s">
        <v>391</v>
      </c>
      <c r="J3959" s="151" t="s">
        <v>8432</v>
      </c>
      <c r="K3959" s="151">
        <f t="shared" si="91"/>
        <v>650000000001973</v>
      </c>
      <c r="L3959" s="151" t="s">
        <v>9021</v>
      </c>
    </row>
    <row r="3960" spans="8:12" x14ac:dyDescent="0.25">
      <c r="H3960" s="151" t="s">
        <v>5319</v>
      </c>
      <c r="I3960" s="151" t="s">
        <v>6962</v>
      </c>
      <c r="J3960" s="151" t="s">
        <v>6962</v>
      </c>
      <c r="K3960" s="151">
        <f t="shared" si="91"/>
        <v>0</v>
      </c>
      <c r="L3960" s="151" t="s">
        <v>9021</v>
      </c>
    </row>
    <row r="3961" spans="8:12" x14ac:dyDescent="0.25">
      <c r="H3961" s="151" t="s">
        <v>5319</v>
      </c>
      <c r="I3961" s="151" t="s">
        <v>391</v>
      </c>
      <c r="J3961" s="151" t="s">
        <v>8433</v>
      </c>
      <c r="K3961" s="151">
        <f t="shared" si="91"/>
        <v>650000000001071</v>
      </c>
      <c r="L3961" s="151" t="s">
        <v>9021</v>
      </c>
    </row>
    <row r="3962" spans="8:12" x14ac:dyDescent="0.25">
      <c r="H3962" s="151" t="s">
        <v>5320</v>
      </c>
      <c r="I3962" s="151" t="s">
        <v>6962</v>
      </c>
      <c r="J3962" s="151" t="s">
        <v>6962</v>
      </c>
      <c r="K3962" s="151">
        <f t="shared" si="91"/>
        <v>0</v>
      </c>
      <c r="L3962" s="151" t="s">
        <v>9021</v>
      </c>
    </row>
    <row r="3963" spans="8:12" x14ac:dyDescent="0.25">
      <c r="H3963" s="151" t="s">
        <v>5320</v>
      </c>
      <c r="I3963" s="151" t="s">
        <v>391</v>
      </c>
      <c r="J3963" s="151" t="s">
        <v>8434</v>
      </c>
      <c r="K3963" s="151">
        <f t="shared" si="91"/>
        <v>650000000001072</v>
      </c>
      <c r="L3963" s="151" t="s">
        <v>9021</v>
      </c>
    </row>
    <row r="3964" spans="8:12" x14ac:dyDescent="0.25">
      <c r="H3964" s="151" t="s">
        <v>5321</v>
      </c>
      <c r="I3964" s="151" t="s">
        <v>6962</v>
      </c>
      <c r="J3964" s="151" t="s">
        <v>6962</v>
      </c>
      <c r="K3964" s="151">
        <f t="shared" si="91"/>
        <v>0</v>
      </c>
      <c r="L3964" s="151" t="s">
        <v>9021</v>
      </c>
    </row>
    <row r="3965" spans="8:12" x14ac:dyDescent="0.25">
      <c r="H3965" s="151" t="s">
        <v>5321</v>
      </c>
      <c r="I3965" s="151" t="s">
        <v>391</v>
      </c>
      <c r="J3965" s="151" t="s">
        <v>8435</v>
      </c>
      <c r="K3965" s="151">
        <f t="shared" si="91"/>
        <v>650000000001073</v>
      </c>
      <c r="L3965" s="151" t="s">
        <v>9021</v>
      </c>
    </row>
    <row r="3966" spans="8:12" x14ac:dyDescent="0.25">
      <c r="H3966" s="151" t="s">
        <v>5322</v>
      </c>
      <c r="I3966" s="151" t="s">
        <v>6962</v>
      </c>
      <c r="J3966" s="151" t="s">
        <v>6962</v>
      </c>
      <c r="K3966" s="151">
        <f t="shared" si="91"/>
        <v>0</v>
      </c>
      <c r="L3966" s="151" t="s">
        <v>9021</v>
      </c>
    </row>
    <row r="3967" spans="8:12" x14ac:dyDescent="0.25">
      <c r="H3967" s="151" t="s">
        <v>5322</v>
      </c>
      <c r="I3967" s="151" t="s">
        <v>391</v>
      </c>
      <c r="J3967" s="151" t="s">
        <v>8436</v>
      </c>
      <c r="K3967" s="151">
        <f t="shared" si="91"/>
        <v>650000000001074</v>
      </c>
      <c r="L3967" s="151" t="s">
        <v>9021</v>
      </c>
    </row>
    <row r="3968" spans="8:12" x14ac:dyDescent="0.25">
      <c r="H3968" s="151" t="s">
        <v>5323</v>
      </c>
      <c r="I3968" s="151" t="s">
        <v>6962</v>
      </c>
      <c r="J3968" s="151" t="s">
        <v>6962</v>
      </c>
      <c r="K3968" s="151">
        <f t="shared" si="91"/>
        <v>0</v>
      </c>
      <c r="L3968" s="151" t="s">
        <v>9021</v>
      </c>
    </row>
    <row r="3969" spans="8:12" x14ac:dyDescent="0.25">
      <c r="H3969" s="151" t="s">
        <v>5323</v>
      </c>
      <c r="I3969" s="151" t="s">
        <v>391</v>
      </c>
      <c r="J3969" s="151" t="s">
        <v>8437</v>
      </c>
      <c r="K3969" s="151">
        <f t="shared" si="91"/>
        <v>650000000001075</v>
      </c>
      <c r="L3969" s="151" t="s">
        <v>9021</v>
      </c>
    </row>
    <row r="3970" spans="8:12" x14ac:dyDescent="0.25">
      <c r="H3970" s="151" t="s">
        <v>5324</v>
      </c>
      <c r="I3970" s="151" t="s">
        <v>6962</v>
      </c>
      <c r="J3970" s="151" t="s">
        <v>6962</v>
      </c>
      <c r="K3970" s="151">
        <f t="shared" si="91"/>
        <v>0</v>
      </c>
      <c r="L3970" s="151" t="s">
        <v>9021</v>
      </c>
    </row>
    <row r="3971" spans="8:12" x14ac:dyDescent="0.25">
      <c r="H3971" s="151" t="s">
        <v>5324</v>
      </c>
      <c r="I3971" s="151" t="s">
        <v>391</v>
      </c>
      <c r="J3971" s="151" t="s">
        <v>8438</v>
      </c>
      <c r="K3971" s="151">
        <f t="shared" ref="K3971:K4034" si="92">+IFERROR(J3971*1,0)</f>
        <v>650000000001076</v>
      </c>
      <c r="L3971" s="151" t="s">
        <v>9021</v>
      </c>
    </row>
    <row r="3972" spans="8:12" x14ac:dyDescent="0.25">
      <c r="H3972" s="151" t="s">
        <v>5325</v>
      </c>
      <c r="I3972" s="151" t="s">
        <v>6962</v>
      </c>
      <c r="J3972" s="151" t="s">
        <v>6962</v>
      </c>
      <c r="K3972" s="151">
        <f t="shared" si="92"/>
        <v>0</v>
      </c>
      <c r="L3972" s="151" t="s">
        <v>9021</v>
      </c>
    </row>
    <row r="3973" spans="8:12" x14ac:dyDescent="0.25">
      <c r="H3973" s="151" t="s">
        <v>5325</v>
      </c>
      <c r="I3973" s="151" t="s">
        <v>391</v>
      </c>
      <c r="J3973" s="151" t="s">
        <v>8439</v>
      </c>
      <c r="K3973" s="151">
        <f t="shared" si="92"/>
        <v>650000000001077</v>
      </c>
      <c r="L3973" s="151" t="s">
        <v>9021</v>
      </c>
    </row>
    <row r="3974" spans="8:12" x14ac:dyDescent="0.25">
      <c r="H3974" s="151" t="s">
        <v>5326</v>
      </c>
      <c r="I3974" s="151" t="s">
        <v>6962</v>
      </c>
      <c r="J3974" s="151" t="s">
        <v>6962</v>
      </c>
      <c r="K3974" s="151">
        <f t="shared" si="92"/>
        <v>0</v>
      </c>
      <c r="L3974" s="151" t="s">
        <v>9021</v>
      </c>
    </row>
    <row r="3975" spans="8:12" x14ac:dyDescent="0.25">
      <c r="H3975" s="151" t="s">
        <v>5326</v>
      </c>
      <c r="I3975" s="151" t="s">
        <v>391</v>
      </c>
      <c r="J3975" s="151" t="s">
        <v>8440</v>
      </c>
      <c r="K3975" s="151">
        <f t="shared" si="92"/>
        <v>650000000001078</v>
      </c>
      <c r="L3975" s="151" t="s">
        <v>9021</v>
      </c>
    </row>
    <row r="3976" spans="8:12" x14ac:dyDescent="0.25">
      <c r="H3976" s="151" t="s">
        <v>5327</v>
      </c>
      <c r="I3976" s="151" t="s">
        <v>6962</v>
      </c>
      <c r="J3976" s="151" t="s">
        <v>6962</v>
      </c>
      <c r="K3976" s="151">
        <f t="shared" si="92"/>
        <v>0</v>
      </c>
      <c r="L3976" s="151" t="s">
        <v>9021</v>
      </c>
    </row>
    <row r="3977" spans="8:12" x14ac:dyDescent="0.25">
      <c r="H3977" s="151" t="s">
        <v>5327</v>
      </c>
      <c r="I3977" s="151" t="s">
        <v>391</v>
      </c>
      <c r="J3977" s="151" t="s">
        <v>8441</v>
      </c>
      <c r="K3977" s="151">
        <f t="shared" si="92"/>
        <v>650000000001079</v>
      </c>
      <c r="L3977" s="151" t="s">
        <v>9021</v>
      </c>
    </row>
    <row r="3978" spans="8:12" x14ac:dyDescent="0.25">
      <c r="H3978" s="151" t="s">
        <v>5328</v>
      </c>
      <c r="I3978" s="151" t="s">
        <v>6962</v>
      </c>
      <c r="J3978" s="151" t="s">
        <v>6962</v>
      </c>
      <c r="K3978" s="151">
        <f t="shared" si="92"/>
        <v>0</v>
      </c>
      <c r="L3978" s="151" t="s">
        <v>9021</v>
      </c>
    </row>
    <row r="3979" spans="8:12" x14ac:dyDescent="0.25">
      <c r="H3979" s="151" t="s">
        <v>5328</v>
      </c>
      <c r="I3979" s="151" t="s">
        <v>391</v>
      </c>
      <c r="J3979" s="151" t="s">
        <v>8442</v>
      </c>
      <c r="K3979" s="151">
        <f t="shared" si="92"/>
        <v>650000000001080</v>
      </c>
      <c r="L3979" s="151" t="s">
        <v>9021</v>
      </c>
    </row>
    <row r="3980" spans="8:12" x14ac:dyDescent="0.25">
      <c r="H3980" s="151" t="s">
        <v>5329</v>
      </c>
      <c r="I3980" s="151" t="s">
        <v>6962</v>
      </c>
      <c r="J3980" s="151" t="s">
        <v>6962</v>
      </c>
      <c r="K3980" s="151">
        <f t="shared" si="92"/>
        <v>0</v>
      </c>
      <c r="L3980" s="151" t="s">
        <v>9021</v>
      </c>
    </row>
    <row r="3981" spans="8:12" x14ac:dyDescent="0.25">
      <c r="H3981" s="151" t="s">
        <v>5329</v>
      </c>
      <c r="I3981" s="151" t="s">
        <v>391</v>
      </c>
      <c r="J3981" s="151" t="s">
        <v>8443</v>
      </c>
      <c r="K3981" s="151">
        <f t="shared" si="92"/>
        <v>650000000001081</v>
      </c>
      <c r="L3981" s="151" t="s">
        <v>9021</v>
      </c>
    </row>
    <row r="3982" spans="8:12" x14ac:dyDescent="0.25">
      <c r="H3982" s="151" t="s">
        <v>5330</v>
      </c>
      <c r="I3982" s="151" t="s">
        <v>6962</v>
      </c>
      <c r="J3982" s="151" t="s">
        <v>6962</v>
      </c>
      <c r="K3982" s="151">
        <f t="shared" si="92"/>
        <v>0</v>
      </c>
      <c r="L3982" s="151" t="s">
        <v>9021</v>
      </c>
    </row>
    <row r="3983" spans="8:12" x14ac:dyDescent="0.25">
      <c r="H3983" s="151" t="s">
        <v>5330</v>
      </c>
      <c r="I3983" s="151" t="s">
        <v>391</v>
      </c>
      <c r="J3983" s="151" t="s">
        <v>8444</v>
      </c>
      <c r="K3983" s="151">
        <f t="shared" si="92"/>
        <v>650000000001974</v>
      </c>
      <c r="L3983" s="151" t="s">
        <v>9021</v>
      </c>
    </row>
    <row r="3984" spans="8:12" x14ac:dyDescent="0.25">
      <c r="H3984" s="151" t="s">
        <v>5331</v>
      </c>
      <c r="I3984" s="151" t="s">
        <v>6962</v>
      </c>
      <c r="J3984" s="151" t="s">
        <v>6962</v>
      </c>
      <c r="K3984" s="151">
        <f t="shared" si="92"/>
        <v>0</v>
      </c>
      <c r="L3984" s="151" t="s">
        <v>9021</v>
      </c>
    </row>
    <row r="3985" spans="8:12" x14ac:dyDescent="0.25">
      <c r="H3985" s="151" t="s">
        <v>5331</v>
      </c>
      <c r="I3985" s="151" t="s">
        <v>391</v>
      </c>
      <c r="J3985" s="151" t="s">
        <v>8445</v>
      </c>
      <c r="K3985" s="151">
        <f t="shared" si="92"/>
        <v>650000000001082</v>
      </c>
      <c r="L3985" s="151" t="s">
        <v>9021</v>
      </c>
    </row>
    <row r="3986" spans="8:12" x14ac:dyDescent="0.25">
      <c r="H3986" s="151" t="s">
        <v>5332</v>
      </c>
      <c r="I3986" s="151" t="s">
        <v>6962</v>
      </c>
      <c r="J3986" s="151" t="s">
        <v>6962</v>
      </c>
      <c r="K3986" s="151">
        <f t="shared" si="92"/>
        <v>0</v>
      </c>
      <c r="L3986" s="151" t="s">
        <v>9021</v>
      </c>
    </row>
    <row r="3987" spans="8:12" x14ac:dyDescent="0.25">
      <c r="H3987" s="151" t="s">
        <v>5332</v>
      </c>
      <c r="I3987" s="151" t="s">
        <v>391</v>
      </c>
      <c r="J3987" s="151" t="s">
        <v>8446</v>
      </c>
      <c r="K3987" s="151">
        <f t="shared" si="92"/>
        <v>650000000001975</v>
      </c>
      <c r="L3987" s="151" t="s">
        <v>9021</v>
      </c>
    </row>
    <row r="3988" spans="8:12" x14ac:dyDescent="0.25">
      <c r="H3988" s="151" t="s">
        <v>5333</v>
      </c>
      <c r="I3988" s="151" t="s">
        <v>6962</v>
      </c>
      <c r="J3988" s="151" t="s">
        <v>6962</v>
      </c>
      <c r="K3988" s="151">
        <f t="shared" si="92"/>
        <v>0</v>
      </c>
      <c r="L3988" s="151" t="s">
        <v>9021</v>
      </c>
    </row>
    <row r="3989" spans="8:12" x14ac:dyDescent="0.25">
      <c r="H3989" s="151" t="s">
        <v>5333</v>
      </c>
      <c r="I3989" s="151" t="s">
        <v>391</v>
      </c>
      <c r="J3989" s="151" t="s">
        <v>8447</v>
      </c>
      <c r="K3989" s="151">
        <f t="shared" si="92"/>
        <v>650000000001083</v>
      </c>
      <c r="L3989" s="151" t="s">
        <v>9021</v>
      </c>
    </row>
    <row r="3990" spans="8:12" x14ac:dyDescent="0.25">
      <c r="H3990" s="151" t="s">
        <v>5334</v>
      </c>
      <c r="I3990" s="151" t="s">
        <v>6962</v>
      </c>
      <c r="J3990" s="151" t="s">
        <v>6962</v>
      </c>
      <c r="K3990" s="151">
        <f t="shared" si="92"/>
        <v>0</v>
      </c>
      <c r="L3990" s="151" t="s">
        <v>9021</v>
      </c>
    </row>
    <row r="3991" spans="8:12" x14ac:dyDescent="0.25">
      <c r="H3991" s="151" t="s">
        <v>5334</v>
      </c>
      <c r="I3991" s="151" t="s">
        <v>391</v>
      </c>
      <c r="J3991" s="151" t="s">
        <v>8448</v>
      </c>
      <c r="K3991" s="151">
        <f t="shared" si="92"/>
        <v>650000000001084</v>
      </c>
      <c r="L3991" s="151" t="s">
        <v>9021</v>
      </c>
    </row>
    <row r="3992" spans="8:12" x14ac:dyDescent="0.25">
      <c r="H3992" s="151" t="s">
        <v>5335</v>
      </c>
      <c r="I3992" s="151" t="s">
        <v>6962</v>
      </c>
      <c r="J3992" s="151" t="s">
        <v>6962</v>
      </c>
      <c r="K3992" s="151">
        <f t="shared" si="92"/>
        <v>0</v>
      </c>
      <c r="L3992" s="151" t="s">
        <v>9021</v>
      </c>
    </row>
    <row r="3993" spans="8:12" x14ac:dyDescent="0.25">
      <c r="H3993" s="151" t="s">
        <v>5335</v>
      </c>
      <c r="I3993" s="151" t="s">
        <v>391</v>
      </c>
      <c r="J3993" s="151" t="s">
        <v>8449</v>
      </c>
      <c r="K3993" s="151">
        <f t="shared" si="92"/>
        <v>650000000001085</v>
      </c>
      <c r="L3993" s="151" t="s">
        <v>9021</v>
      </c>
    </row>
    <row r="3994" spans="8:12" x14ac:dyDescent="0.25">
      <c r="H3994" s="151" t="s">
        <v>5336</v>
      </c>
      <c r="I3994" s="151" t="s">
        <v>6962</v>
      </c>
      <c r="J3994" s="151" t="s">
        <v>6962</v>
      </c>
      <c r="K3994" s="151">
        <f t="shared" si="92"/>
        <v>0</v>
      </c>
      <c r="L3994" s="151" t="s">
        <v>9021</v>
      </c>
    </row>
    <row r="3995" spans="8:12" x14ac:dyDescent="0.25">
      <c r="H3995" s="151" t="s">
        <v>5336</v>
      </c>
      <c r="I3995" s="151" t="s">
        <v>391</v>
      </c>
      <c r="J3995" s="151" t="s">
        <v>8450</v>
      </c>
      <c r="K3995" s="151">
        <f t="shared" si="92"/>
        <v>650000000001976</v>
      </c>
      <c r="L3995" s="151" t="s">
        <v>9021</v>
      </c>
    </row>
    <row r="3996" spans="8:12" x14ac:dyDescent="0.25">
      <c r="H3996" s="151" t="s">
        <v>5337</v>
      </c>
      <c r="I3996" s="151" t="s">
        <v>6962</v>
      </c>
      <c r="J3996" s="151" t="s">
        <v>6962</v>
      </c>
      <c r="K3996" s="151">
        <f t="shared" si="92"/>
        <v>0</v>
      </c>
      <c r="L3996" s="151" t="s">
        <v>9021</v>
      </c>
    </row>
    <row r="3997" spans="8:12" x14ac:dyDescent="0.25">
      <c r="H3997" s="151" t="s">
        <v>5337</v>
      </c>
      <c r="I3997" s="151" t="s">
        <v>391</v>
      </c>
      <c r="J3997" s="151" t="s">
        <v>8451</v>
      </c>
      <c r="K3997" s="151">
        <f t="shared" si="92"/>
        <v>650000000001086</v>
      </c>
      <c r="L3997" s="151" t="s">
        <v>9021</v>
      </c>
    </row>
    <row r="3998" spans="8:12" x14ac:dyDescent="0.25">
      <c r="H3998" s="151" t="s">
        <v>6913</v>
      </c>
      <c r="I3998" s="151" t="s">
        <v>6962</v>
      </c>
      <c r="J3998" s="151" t="s">
        <v>6962</v>
      </c>
      <c r="K3998" s="151">
        <f t="shared" si="92"/>
        <v>0</v>
      </c>
      <c r="L3998" s="151" t="s">
        <v>9021</v>
      </c>
    </row>
    <row r="3999" spans="8:12" x14ac:dyDescent="0.25">
      <c r="H3999" s="151" t="s">
        <v>5338</v>
      </c>
      <c r="I3999" s="151" t="s">
        <v>6962</v>
      </c>
      <c r="J3999" s="151" t="s">
        <v>6962</v>
      </c>
      <c r="K3999" s="151">
        <f t="shared" si="92"/>
        <v>0</v>
      </c>
      <c r="L3999" s="151" t="s">
        <v>9021</v>
      </c>
    </row>
    <row r="4000" spans="8:12" x14ac:dyDescent="0.25">
      <c r="H4000" s="151" t="s">
        <v>5338</v>
      </c>
      <c r="I4000" s="151" t="s">
        <v>391</v>
      </c>
      <c r="J4000" s="151" t="s">
        <v>8452</v>
      </c>
      <c r="K4000" s="151">
        <f t="shared" si="92"/>
        <v>650000000001977</v>
      </c>
      <c r="L4000" s="151" t="s">
        <v>9021</v>
      </c>
    </row>
    <row r="4001" spans="8:12" x14ac:dyDescent="0.25">
      <c r="H4001" s="151" t="s">
        <v>5339</v>
      </c>
      <c r="I4001" s="151" t="s">
        <v>6962</v>
      </c>
      <c r="J4001" s="151" t="s">
        <v>6962</v>
      </c>
      <c r="K4001" s="151">
        <f t="shared" si="92"/>
        <v>0</v>
      </c>
      <c r="L4001" s="151" t="s">
        <v>9021</v>
      </c>
    </row>
    <row r="4002" spans="8:12" x14ac:dyDescent="0.25">
      <c r="H4002" s="151" t="s">
        <v>5339</v>
      </c>
      <c r="I4002" s="151" t="s">
        <v>391</v>
      </c>
      <c r="J4002" s="151" t="s">
        <v>8453</v>
      </c>
      <c r="K4002" s="151">
        <f t="shared" si="92"/>
        <v>650000000001978</v>
      </c>
      <c r="L4002" s="151" t="s">
        <v>9021</v>
      </c>
    </row>
    <row r="4003" spans="8:12" x14ac:dyDescent="0.25">
      <c r="H4003" s="151" t="s">
        <v>5340</v>
      </c>
      <c r="I4003" s="151" t="s">
        <v>6962</v>
      </c>
      <c r="J4003" s="151" t="s">
        <v>6962</v>
      </c>
      <c r="K4003" s="151">
        <f t="shared" si="92"/>
        <v>0</v>
      </c>
      <c r="L4003" s="151" t="s">
        <v>9021</v>
      </c>
    </row>
    <row r="4004" spans="8:12" x14ac:dyDescent="0.25">
      <c r="H4004" s="151" t="s">
        <v>5340</v>
      </c>
      <c r="I4004" s="151" t="s">
        <v>391</v>
      </c>
      <c r="J4004" s="151" t="s">
        <v>8454</v>
      </c>
      <c r="K4004" s="151">
        <f t="shared" si="92"/>
        <v>650000000001979</v>
      </c>
      <c r="L4004" s="151" t="s">
        <v>9021</v>
      </c>
    </row>
    <row r="4005" spans="8:12" x14ac:dyDescent="0.25">
      <c r="H4005" s="151" t="s">
        <v>5341</v>
      </c>
      <c r="I4005" s="151" t="s">
        <v>6962</v>
      </c>
      <c r="J4005" s="151" t="s">
        <v>6962</v>
      </c>
      <c r="K4005" s="151">
        <f t="shared" si="92"/>
        <v>0</v>
      </c>
      <c r="L4005" s="151" t="s">
        <v>9021</v>
      </c>
    </row>
    <row r="4006" spans="8:12" x14ac:dyDescent="0.25">
      <c r="H4006" s="151" t="s">
        <v>5341</v>
      </c>
      <c r="I4006" s="151" t="s">
        <v>391</v>
      </c>
      <c r="J4006" s="151" t="s">
        <v>8455</v>
      </c>
      <c r="K4006" s="151">
        <f t="shared" si="92"/>
        <v>650000000001087</v>
      </c>
      <c r="L4006" s="151" t="s">
        <v>9021</v>
      </c>
    </row>
    <row r="4007" spans="8:12" x14ac:dyDescent="0.25">
      <c r="H4007" s="151" t="s">
        <v>6914</v>
      </c>
      <c r="I4007" s="151" t="s">
        <v>6962</v>
      </c>
      <c r="J4007" s="151" t="s">
        <v>6962</v>
      </c>
      <c r="K4007" s="151">
        <f t="shared" si="92"/>
        <v>0</v>
      </c>
      <c r="L4007" s="151" t="s">
        <v>9021</v>
      </c>
    </row>
    <row r="4008" spans="8:12" x14ac:dyDescent="0.25">
      <c r="H4008" s="151" t="s">
        <v>6915</v>
      </c>
      <c r="I4008" s="151" t="s">
        <v>6962</v>
      </c>
      <c r="J4008" s="151" t="s">
        <v>6962</v>
      </c>
      <c r="K4008" s="151">
        <f t="shared" si="92"/>
        <v>0</v>
      </c>
      <c r="L4008" s="151" t="s">
        <v>9021</v>
      </c>
    </row>
    <row r="4009" spans="8:12" x14ac:dyDescent="0.25">
      <c r="H4009" s="151" t="s">
        <v>5342</v>
      </c>
      <c r="I4009" s="151" t="s">
        <v>6962</v>
      </c>
      <c r="J4009" s="151" t="s">
        <v>6962</v>
      </c>
      <c r="K4009" s="151">
        <f t="shared" si="92"/>
        <v>0</v>
      </c>
      <c r="L4009" s="151" t="s">
        <v>9021</v>
      </c>
    </row>
    <row r="4010" spans="8:12" x14ac:dyDescent="0.25">
      <c r="H4010" s="151" t="s">
        <v>5342</v>
      </c>
      <c r="I4010" s="151" t="s">
        <v>391</v>
      </c>
      <c r="J4010" s="151" t="s">
        <v>8456</v>
      </c>
      <c r="K4010" s="151">
        <f t="shared" si="92"/>
        <v>650000000001088</v>
      </c>
      <c r="L4010" s="151" t="s">
        <v>9021</v>
      </c>
    </row>
    <row r="4011" spans="8:12" x14ac:dyDescent="0.25">
      <c r="H4011" s="151" t="s">
        <v>5343</v>
      </c>
      <c r="I4011" s="151" t="s">
        <v>6962</v>
      </c>
      <c r="J4011" s="151" t="s">
        <v>6962</v>
      </c>
      <c r="K4011" s="151">
        <f t="shared" si="92"/>
        <v>0</v>
      </c>
      <c r="L4011" s="151" t="s">
        <v>9021</v>
      </c>
    </row>
    <row r="4012" spans="8:12" x14ac:dyDescent="0.25">
      <c r="H4012" s="151" t="s">
        <v>5343</v>
      </c>
      <c r="I4012" s="151" t="s">
        <v>391</v>
      </c>
      <c r="J4012" s="151" t="s">
        <v>8457</v>
      </c>
      <c r="K4012" s="151">
        <f t="shared" si="92"/>
        <v>650000000001089</v>
      </c>
      <c r="L4012" s="151" t="s">
        <v>9021</v>
      </c>
    </row>
    <row r="4013" spans="8:12" x14ac:dyDescent="0.25">
      <c r="H4013" s="151" t="s">
        <v>5344</v>
      </c>
      <c r="I4013" s="151" t="s">
        <v>6962</v>
      </c>
      <c r="J4013" s="151" t="s">
        <v>6962</v>
      </c>
      <c r="K4013" s="151">
        <f t="shared" si="92"/>
        <v>0</v>
      </c>
      <c r="L4013" s="151" t="s">
        <v>9021</v>
      </c>
    </row>
    <row r="4014" spans="8:12" x14ac:dyDescent="0.25">
      <c r="H4014" s="151" t="s">
        <v>5344</v>
      </c>
      <c r="I4014" s="151" t="s">
        <v>391</v>
      </c>
      <c r="J4014" s="151" t="s">
        <v>8458</v>
      </c>
      <c r="K4014" s="151">
        <f t="shared" si="92"/>
        <v>650000000001980</v>
      </c>
      <c r="L4014" s="151" t="s">
        <v>9021</v>
      </c>
    </row>
    <row r="4015" spans="8:12" x14ac:dyDescent="0.25">
      <c r="H4015" s="151" t="s">
        <v>5345</v>
      </c>
      <c r="I4015" s="151" t="s">
        <v>6962</v>
      </c>
      <c r="J4015" s="151" t="s">
        <v>6962</v>
      </c>
      <c r="K4015" s="151">
        <f t="shared" si="92"/>
        <v>0</v>
      </c>
      <c r="L4015" s="151" t="s">
        <v>9021</v>
      </c>
    </row>
    <row r="4016" spans="8:12" x14ac:dyDescent="0.25">
      <c r="H4016" s="151" t="s">
        <v>5345</v>
      </c>
      <c r="I4016" s="151" t="s">
        <v>391</v>
      </c>
      <c r="J4016" s="151" t="s">
        <v>8459</v>
      </c>
      <c r="K4016" s="151">
        <f t="shared" si="92"/>
        <v>650000000001090</v>
      </c>
      <c r="L4016" s="151" t="s">
        <v>9021</v>
      </c>
    </row>
    <row r="4017" spans="8:12" x14ac:dyDescent="0.25">
      <c r="H4017" s="151" t="s">
        <v>5346</v>
      </c>
      <c r="I4017" s="151" t="s">
        <v>6962</v>
      </c>
      <c r="J4017" s="151" t="s">
        <v>6962</v>
      </c>
      <c r="K4017" s="151">
        <f t="shared" si="92"/>
        <v>0</v>
      </c>
      <c r="L4017" s="151" t="s">
        <v>9021</v>
      </c>
    </row>
    <row r="4018" spans="8:12" x14ac:dyDescent="0.25">
      <c r="H4018" s="151" t="s">
        <v>5346</v>
      </c>
      <c r="I4018" s="151" t="s">
        <v>391</v>
      </c>
      <c r="J4018" s="151" t="s">
        <v>8460</v>
      </c>
      <c r="K4018" s="151">
        <f t="shared" si="92"/>
        <v>650000000001981</v>
      </c>
      <c r="L4018" s="151" t="s">
        <v>9021</v>
      </c>
    </row>
    <row r="4019" spans="8:12" x14ac:dyDescent="0.25">
      <c r="H4019" s="151" t="s">
        <v>6916</v>
      </c>
      <c r="I4019" s="151" t="s">
        <v>6962</v>
      </c>
      <c r="J4019" s="151" t="s">
        <v>6962</v>
      </c>
      <c r="K4019" s="151">
        <f t="shared" si="92"/>
        <v>0</v>
      </c>
      <c r="L4019" s="151" t="s">
        <v>9021</v>
      </c>
    </row>
    <row r="4020" spans="8:12" x14ac:dyDescent="0.25">
      <c r="H4020" s="151" t="s">
        <v>5347</v>
      </c>
      <c r="I4020" s="151" t="s">
        <v>6962</v>
      </c>
      <c r="J4020" s="151" t="s">
        <v>6962</v>
      </c>
      <c r="K4020" s="151">
        <f t="shared" si="92"/>
        <v>0</v>
      </c>
      <c r="L4020" s="151" t="s">
        <v>9021</v>
      </c>
    </row>
    <row r="4021" spans="8:12" x14ac:dyDescent="0.25">
      <c r="H4021" s="151" t="s">
        <v>5347</v>
      </c>
      <c r="I4021" s="151" t="s">
        <v>391</v>
      </c>
      <c r="J4021" s="151" t="s">
        <v>8461</v>
      </c>
      <c r="K4021" s="151">
        <f t="shared" si="92"/>
        <v>650000000001091</v>
      </c>
      <c r="L4021" s="151" t="s">
        <v>9021</v>
      </c>
    </row>
    <row r="4022" spans="8:12" x14ac:dyDescent="0.25">
      <c r="H4022" s="151" t="s">
        <v>5348</v>
      </c>
      <c r="I4022" s="151" t="s">
        <v>6962</v>
      </c>
      <c r="J4022" s="151" t="s">
        <v>6962</v>
      </c>
      <c r="K4022" s="151">
        <f t="shared" si="92"/>
        <v>0</v>
      </c>
      <c r="L4022" s="151" t="s">
        <v>9021</v>
      </c>
    </row>
    <row r="4023" spans="8:12" x14ac:dyDescent="0.25">
      <c r="H4023" s="151" t="s">
        <v>5348</v>
      </c>
      <c r="I4023" s="151" t="s">
        <v>391</v>
      </c>
      <c r="J4023" s="151" t="s">
        <v>8462</v>
      </c>
      <c r="K4023" s="151">
        <f t="shared" si="92"/>
        <v>650000000001092</v>
      </c>
      <c r="L4023" s="151" t="s">
        <v>9021</v>
      </c>
    </row>
    <row r="4024" spans="8:12" x14ac:dyDescent="0.25">
      <c r="H4024" s="151" t="s">
        <v>6917</v>
      </c>
      <c r="I4024" s="151" t="s">
        <v>6962</v>
      </c>
      <c r="J4024" s="151" t="s">
        <v>6962</v>
      </c>
      <c r="K4024" s="151">
        <f t="shared" si="92"/>
        <v>0</v>
      </c>
      <c r="L4024" s="151" t="s">
        <v>9024</v>
      </c>
    </row>
    <row r="4025" spans="8:12" x14ac:dyDescent="0.25">
      <c r="H4025" s="151" t="s">
        <v>6918</v>
      </c>
      <c r="I4025" s="151" t="s">
        <v>6962</v>
      </c>
      <c r="J4025" s="151" t="s">
        <v>6962</v>
      </c>
      <c r="K4025" s="151">
        <f t="shared" si="92"/>
        <v>0</v>
      </c>
      <c r="L4025" s="151" t="s">
        <v>9021</v>
      </c>
    </row>
    <row r="4026" spans="8:12" x14ac:dyDescent="0.25">
      <c r="H4026" s="151" t="s">
        <v>6919</v>
      </c>
      <c r="I4026" s="151" t="s">
        <v>6962</v>
      </c>
      <c r="J4026" s="151" t="s">
        <v>6962</v>
      </c>
      <c r="K4026" s="151">
        <f t="shared" si="92"/>
        <v>0</v>
      </c>
      <c r="L4026" s="151" t="s">
        <v>9021</v>
      </c>
    </row>
    <row r="4027" spans="8:12" x14ac:dyDescent="0.25">
      <c r="H4027" s="151" t="s">
        <v>6920</v>
      </c>
      <c r="I4027" s="151" t="s">
        <v>6962</v>
      </c>
      <c r="J4027" s="151" t="s">
        <v>6962</v>
      </c>
      <c r="K4027" s="151">
        <f t="shared" si="92"/>
        <v>0</v>
      </c>
      <c r="L4027" s="151" t="s">
        <v>9025</v>
      </c>
    </row>
    <row r="4028" spans="8:12" x14ac:dyDescent="0.25">
      <c r="H4028" s="151" t="s">
        <v>5349</v>
      </c>
      <c r="I4028" s="151" t="s">
        <v>6962</v>
      </c>
      <c r="J4028" s="151" t="s">
        <v>6962</v>
      </c>
      <c r="K4028" s="151">
        <f t="shared" si="92"/>
        <v>0</v>
      </c>
      <c r="L4028" s="151" t="s">
        <v>9021</v>
      </c>
    </row>
    <row r="4029" spans="8:12" x14ac:dyDescent="0.25">
      <c r="H4029" s="151" t="s">
        <v>5349</v>
      </c>
      <c r="I4029" s="151" t="s">
        <v>391</v>
      </c>
      <c r="J4029" s="151" t="s">
        <v>8463</v>
      </c>
      <c r="K4029" s="151">
        <f t="shared" si="92"/>
        <v>650000000001093</v>
      </c>
      <c r="L4029" s="151" t="s">
        <v>9021</v>
      </c>
    </row>
    <row r="4030" spans="8:12" x14ac:dyDescent="0.25">
      <c r="H4030" s="151" t="s">
        <v>5350</v>
      </c>
      <c r="I4030" s="151" t="s">
        <v>6962</v>
      </c>
      <c r="J4030" s="151" t="s">
        <v>6962</v>
      </c>
      <c r="K4030" s="151">
        <f t="shared" si="92"/>
        <v>0</v>
      </c>
      <c r="L4030" s="151" t="s">
        <v>9021</v>
      </c>
    </row>
    <row r="4031" spans="8:12" x14ac:dyDescent="0.25">
      <c r="H4031" s="151" t="s">
        <v>5350</v>
      </c>
      <c r="I4031" s="151" t="s">
        <v>391</v>
      </c>
      <c r="J4031" s="151" t="s">
        <v>8464</v>
      </c>
      <c r="K4031" s="151">
        <f t="shared" si="92"/>
        <v>650000000001982</v>
      </c>
      <c r="L4031" s="151" t="s">
        <v>9021</v>
      </c>
    </row>
    <row r="4032" spans="8:12" x14ac:dyDescent="0.25">
      <c r="H4032" s="151" t="s">
        <v>6921</v>
      </c>
      <c r="I4032" s="151" t="s">
        <v>6962</v>
      </c>
      <c r="J4032" s="151" t="s">
        <v>6962</v>
      </c>
      <c r="K4032" s="151">
        <f t="shared" si="92"/>
        <v>0</v>
      </c>
      <c r="L4032" s="151" t="s">
        <v>9021</v>
      </c>
    </row>
    <row r="4033" spans="8:12" x14ac:dyDescent="0.25">
      <c r="H4033" s="151" t="s">
        <v>5351</v>
      </c>
      <c r="I4033" s="151" t="s">
        <v>6962</v>
      </c>
      <c r="J4033" s="151" t="s">
        <v>6962</v>
      </c>
      <c r="K4033" s="151">
        <f t="shared" si="92"/>
        <v>0</v>
      </c>
      <c r="L4033" s="151" t="s">
        <v>9021</v>
      </c>
    </row>
    <row r="4034" spans="8:12" x14ac:dyDescent="0.25">
      <c r="H4034" s="151" t="s">
        <v>5351</v>
      </c>
      <c r="I4034" s="151" t="s">
        <v>391</v>
      </c>
      <c r="J4034" s="151" t="s">
        <v>8465</v>
      </c>
      <c r="K4034" s="151">
        <f t="shared" si="92"/>
        <v>650000000001983</v>
      </c>
      <c r="L4034" s="151" t="s">
        <v>9021</v>
      </c>
    </row>
    <row r="4035" spans="8:12" x14ac:dyDescent="0.25">
      <c r="H4035" s="151" t="s">
        <v>5352</v>
      </c>
      <c r="I4035" s="151" t="s">
        <v>6962</v>
      </c>
      <c r="J4035" s="151" t="s">
        <v>6962</v>
      </c>
      <c r="K4035" s="151">
        <f t="shared" ref="K4035:K4098" si="93">+IFERROR(J4035*1,0)</f>
        <v>0</v>
      </c>
      <c r="L4035" s="151" t="s">
        <v>9021</v>
      </c>
    </row>
    <row r="4036" spans="8:12" x14ac:dyDescent="0.25">
      <c r="H4036" s="151" t="s">
        <v>5352</v>
      </c>
      <c r="I4036" s="151" t="s">
        <v>391</v>
      </c>
      <c r="J4036" s="151" t="s">
        <v>8466</v>
      </c>
      <c r="K4036" s="151">
        <f t="shared" si="93"/>
        <v>650000000001094</v>
      </c>
      <c r="L4036" s="151" t="s">
        <v>9021</v>
      </c>
    </row>
    <row r="4037" spans="8:12" x14ac:dyDescent="0.25">
      <c r="H4037" s="151" t="s">
        <v>5353</v>
      </c>
      <c r="I4037" s="151" t="s">
        <v>6962</v>
      </c>
      <c r="J4037" s="151" t="s">
        <v>6962</v>
      </c>
      <c r="K4037" s="151">
        <f t="shared" si="93"/>
        <v>0</v>
      </c>
      <c r="L4037" s="151" t="s">
        <v>9021</v>
      </c>
    </row>
    <row r="4038" spans="8:12" x14ac:dyDescent="0.25">
      <c r="H4038" s="151" t="s">
        <v>5353</v>
      </c>
      <c r="I4038" s="151" t="s">
        <v>391</v>
      </c>
      <c r="J4038" s="151" t="s">
        <v>8467</v>
      </c>
      <c r="K4038" s="151">
        <f t="shared" si="93"/>
        <v>650000000001095</v>
      </c>
      <c r="L4038" s="151" t="s">
        <v>9021</v>
      </c>
    </row>
    <row r="4039" spans="8:12" x14ac:dyDescent="0.25">
      <c r="H4039" s="151" t="s">
        <v>5354</v>
      </c>
      <c r="I4039" s="151" t="s">
        <v>6962</v>
      </c>
      <c r="J4039" s="151" t="s">
        <v>6962</v>
      </c>
      <c r="K4039" s="151">
        <f t="shared" si="93"/>
        <v>0</v>
      </c>
      <c r="L4039" s="151" t="s">
        <v>9021</v>
      </c>
    </row>
    <row r="4040" spans="8:12" x14ac:dyDescent="0.25">
      <c r="H4040" s="151" t="s">
        <v>5354</v>
      </c>
      <c r="I4040" s="151" t="s">
        <v>391</v>
      </c>
      <c r="J4040" s="151" t="s">
        <v>8468</v>
      </c>
      <c r="K4040" s="151">
        <f t="shared" si="93"/>
        <v>650000000001984</v>
      </c>
      <c r="L4040" s="151" t="s">
        <v>9021</v>
      </c>
    </row>
    <row r="4041" spans="8:12" x14ac:dyDescent="0.25">
      <c r="H4041" s="151" t="s">
        <v>5355</v>
      </c>
      <c r="I4041" s="151" t="s">
        <v>6962</v>
      </c>
      <c r="J4041" s="151" t="s">
        <v>6962</v>
      </c>
      <c r="K4041" s="151">
        <f t="shared" si="93"/>
        <v>0</v>
      </c>
      <c r="L4041" s="151" t="s">
        <v>9022</v>
      </c>
    </row>
    <row r="4042" spans="8:12" x14ac:dyDescent="0.25">
      <c r="H4042" s="151" t="s">
        <v>5355</v>
      </c>
      <c r="I4042" s="151" t="s">
        <v>391</v>
      </c>
      <c r="J4042" s="151" t="s">
        <v>8469</v>
      </c>
      <c r="K4042" s="151">
        <f t="shared" si="93"/>
        <v>650000000001096</v>
      </c>
      <c r="L4042" s="151" t="s">
        <v>9022</v>
      </c>
    </row>
    <row r="4043" spans="8:12" x14ac:dyDescent="0.25">
      <c r="H4043" s="151" t="s">
        <v>5356</v>
      </c>
      <c r="I4043" s="151" t="s">
        <v>6962</v>
      </c>
      <c r="J4043" s="151" t="s">
        <v>6962</v>
      </c>
      <c r="K4043" s="151">
        <f t="shared" si="93"/>
        <v>0</v>
      </c>
      <c r="L4043" s="151" t="s">
        <v>9021</v>
      </c>
    </row>
    <row r="4044" spans="8:12" x14ac:dyDescent="0.25">
      <c r="H4044" s="151" t="s">
        <v>5356</v>
      </c>
      <c r="I4044" s="151" t="s">
        <v>391</v>
      </c>
      <c r="J4044" s="151" t="s">
        <v>8470</v>
      </c>
      <c r="K4044" s="151">
        <f t="shared" si="93"/>
        <v>650000000001097</v>
      </c>
      <c r="L4044" s="151" t="s">
        <v>9021</v>
      </c>
    </row>
    <row r="4045" spans="8:12" x14ac:dyDescent="0.25">
      <c r="H4045" s="151" t="s">
        <v>5357</v>
      </c>
      <c r="I4045" s="151" t="s">
        <v>6962</v>
      </c>
      <c r="J4045" s="151" t="s">
        <v>6962</v>
      </c>
      <c r="K4045" s="151">
        <f t="shared" si="93"/>
        <v>0</v>
      </c>
      <c r="L4045" s="151" t="s">
        <v>9021</v>
      </c>
    </row>
    <row r="4046" spans="8:12" x14ac:dyDescent="0.25">
      <c r="H4046" s="151" t="s">
        <v>5357</v>
      </c>
      <c r="I4046" s="151" t="s">
        <v>391</v>
      </c>
      <c r="J4046" s="151" t="s">
        <v>8471</v>
      </c>
      <c r="K4046" s="151">
        <f t="shared" si="93"/>
        <v>650000000001985</v>
      </c>
      <c r="L4046" s="151" t="s">
        <v>9021</v>
      </c>
    </row>
    <row r="4047" spans="8:12" x14ac:dyDescent="0.25">
      <c r="H4047" s="151" t="s">
        <v>5358</v>
      </c>
      <c r="I4047" s="151" t="s">
        <v>6962</v>
      </c>
      <c r="J4047" s="151" t="s">
        <v>6962</v>
      </c>
      <c r="K4047" s="151">
        <f t="shared" si="93"/>
        <v>0</v>
      </c>
      <c r="L4047" s="151" t="s">
        <v>9021</v>
      </c>
    </row>
    <row r="4048" spans="8:12" x14ac:dyDescent="0.25">
      <c r="H4048" s="151" t="s">
        <v>5358</v>
      </c>
      <c r="I4048" s="151" t="s">
        <v>391</v>
      </c>
      <c r="J4048" s="151" t="s">
        <v>8472</v>
      </c>
      <c r="K4048" s="151">
        <f t="shared" si="93"/>
        <v>650000000001986</v>
      </c>
      <c r="L4048" s="151" t="s">
        <v>9021</v>
      </c>
    </row>
    <row r="4049" spans="8:12" x14ac:dyDescent="0.25">
      <c r="H4049" s="151" t="s">
        <v>5359</v>
      </c>
      <c r="I4049" s="151" t="s">
        <v>6962</v>
      </c>
      <c r="J4049" s="151" t="s">
        <v>6962</v>
      </c>
      <c r="K4049" s="151">
        <f t="shared" si="93"/>
        <v>0</v>
      </c>
      <c r="L4049" s="151" t="s">
        <v>9021</v>
      </c>
    </row>
    <row r="4050" spans="8:12" x14ac:dyDescent="0.25">
      <c r="H4050" s="151" t="s">
        <v>5359</v>
      </c>
      <c r="I4050" s="151" t="s">
        <v>391</v>
      </c>
      <c r="J4050" s="151" t="s">
        <v>8473</v>
      </c>
      <c r="K4050" s="151">
        <f t="shared" si="93"/>
        <v>650000000001098</v>
      </c>
      <c r="L4050" s="151" t="s">
        <v>9021</v>
      </c>
    </row>
    <row r="4051" spans="8:12" x14ac:dyDescent="0.25">
      <c r="H4051" s="151" t="s">
        <v>5360</v>
      </c>
      <c r="I4051" s="151" t="s">
        <v>6962</v>
      </c>
      <c r="J4051" s="151" t="s">
        <v>6962</v>
      </c>
      <c r="K4051" s="151">
        <f t="shared" si="93"/>
        <v>0</v>
      </c>
      <c r="L4051" s="151" t="s">
        <v>9021</v>
      </c>
    </row>
    <row r="4052" spans="8:12" x14ac:dyDescent="0.25">
      <c r="H4052" s="151" t="s">
        <v>5360</v>
      </c>
      <c r="I4052" s="151" t="s">
        <v>391</v>
      </c>
      <c r="J4052" s="151" t="s">
        <v>8474</v>
      </c>
      <c r="K4052" s="151">
        <f t="shared" si="93"/>
        <v>650000000001987</v>
      </c>
      <c r="L4052" s="151" t="s">
        <v>9021</v>
      </c>
    </row>
    <row r="4053" spans="8:12" x14ac:dyDescent="0.25">
      <c r="H4053" s="151" t="s">
        <v>5361</v>
      </c>
      <c r="I4053" s="151" t="s">
        <v>6962</v>
      </c>
      <c r="J4053" s="151" t="s">
        <v>6962</v>
      </c>
      <c r="K4053" s="151">
        <f t="shared" si="93"/>
        <v>0</v>
      </c>
      <c r="L4053" s="151" t="s">
        <v>9021</v>
      </c>
    </row>
    <row r="4054" spans="8:12" x14ac:dyDescent="0.25">
      <c r="H4054" s="151" t="s">
        <v>5361</v>
      </c>
      <c r="I4054" s="151" t="s">
        <v>391</v>
      </c>
      <c r="J4054" s="151" t="s">
        <v>8475</v>
      </c>
      <c r="K4054" s="151">
        <f t="shared" si="93"/>
        <v>650000000001988</v>
      </c>
      <c r="L4054" s="151" t="s">
        <v>9021</v>
      </c>
    </row>
    <row r="4055" spans="8:12" x14ac:dyDescent="0.25">
      <c r="H4055" s="151" t="s">
        <v>5362</v>
      </c>
      <c r="I4055" s="151" t="s">
        <v>6962</v>
      </c>
      <c r="J4055" s="151" t="s">
        <v>6962</v>
      </c>
      <c r="K4055" s="151">
        <f t="shared" si="93"/>
        <v>0</v>
      </c>
      <c r="L4055" s="151" t="s">
        <v>9021</v>
      </c>
    </row>
    <row r="4056" spans="8:12" x14ac:dyDescent="0.25">
      <c r="H4056" s="151" t="s">
        <v>5362</v>
      </c>
      <c r="I4056" s="151" t="s">
        <v>391</v>
      </c>
      <c r="J4056" s="151" t="s">
        <v>8476</v>
      </c>
      <c r="K4056" s="151">
        <f t="shared" si="93"/>
        <v>650000000001989</v>
      </c>
      <c r="L4056" s="151" t="s">
        <v>9021</v>
      </c>
    </row>
    <row r="4057" spans="8:12" x14ac:dyDescent="0.25">
      <c r="H4057" s="151" t="s">
        <v>5363</v>
      </c>
      <c r="I4057" s="151" t="s">
        <v>6962</v>
      </c>
      <c r="J4057" s="151" t="s">
        <v>6962</v>
      </c>
      <c r="K4057" s="151">
        <f t="shared" si="93"/>
        <v>0</v>
      </c>
      <c r="L4057" s="151" t="s">
        <v>9021</v>
      </c>
    </row>
    <row r="4058" spans="8:12" x14ac:dyDescent="0.25">
      <c r="H4058" s="151" t="s">
        <v>5363</v>
      </c>
      <c r="I4058" s="151" t="s">
        <v>391</v>
      </c>
      <c r="J4058" s="151" t="s">
        <v>8477</v>
      </c>
      <c r="K4058" s="151">
        <f t="shared" si="93"/>
        <v>650000000001990</v>
      </c>
      <c r="L4058" s="151" t="s">
        <v>9021</v>
      </c>
    </row>
    <row r="4059" spans="8:12" x14ac:dyDescent="0.25">
      <c r="H4059" s="151" t="s">
        <v>5364</v>
      </c>
      <c r="I4059" s="151" t="s">
        <v>6962</v>
      </c>
      <c r="J4059" s="151" t="s">
        <v>6962</v>
      </c>
      <c r="K4059" s="151">
        <f t="shared" si="93"/>
        <v>0</v>
      </c>
      <c r="L4059" s="151" t="s">
        <v>9021</v>
      </c>
    </row>
    <row r="4060" spans="8:12" x14ac:dyDescent="0.25">
      <c r="H4060" s="151" t="s">
        <v>5364</v>
      </c>
      <c r="I4060" s="151" t="s">
        <v>391</v>
      </c>
      <c r="J4060" s="151" t="s">
        <v>8478</v>
      </c>
      <c r="K4060" s="151">
        <f t="shared" si="93"/>
        <v>650000000001099</v>
      </c>
      <c r="L4060" s="151" t="s">
        <v>9021</v>
      </c>
    </row>
    <row r="4061" spans="8:12" x14ac:dyDescent="0.25">
      <c r="H4061" s="151" t="s">
        <v>5365</v>
      </c>
      <c r="I4061" s="151" t="s">
        <v>6962</v>
      </c>
      <c r="J4061" s="151" t="s">
        <v>6962</v>
      </c>
      <c r="K4061" s="151">
        <f t="shared" si="93"/>
        <v>0</v>
      </c>
      <c r="L4061" s="151" t="s">
        <v>9021</v>
      </c>
    </row>
    <row r="4062" spans="8:12" x14ac:dyDescent="0.25">
      <c r="H4062" s="151" t="s">
        <v>5365</v>
      </c>
      <c r="I4062" s="151" t="s">
        <v>391</v>
      </c>
      <c r="J4062" s="151" t="s">
        <v>8479</v>
      </c>
      <c r="K4062" s="151">
        <f t="shared" si="93"/>
        <v>650000000001100</v>
      </c>
      <c r="L4062" s="151" t="s">
        <v>9021</v>
      </c>
    </row>
    <row r="4063" spans="8:12" x14ac:dyDescent="0.25">
      <c r="H4063" s="151" t="s">
        <v>5366</v>
      </c>
      <c r="I4063" s="151" t="s">
        <v>6962</v>
      </c>
      <c r="J4063" s="151" t="s">
        <v>6962</v>
      </c>
      <c r="K4063" s="151">
        <f t="shared" si="93"/>
        <v>0</v>
      </c>
      <c r="L4063" s="151" t="s">
        <v>9021</v>
      </c>
    </row>
    <row r="4064" spans="8:12" x14ac:dyDescent="0.25">
      <c r="H4064" s="151" t="s">
        <v>5366</v>
      </c>
      <c r="I4064" s="151" t="s">
        <v>391</v>
      </c>
      <c r="J4064" s="151" t="s">
        <v>8480</v>
      </c>
      <c r="K4064" s="151">
        <f t="shared" si="93"/>
        <v>650000000001101</v>
      </c>
      <c r="L4064" s="151" t="s">
        <v>9021</v>
      </c>
    </row>
    <row r="4065" spans="8:12" x14ac:dyDescent="0.25">
      <c r="H4065" s="151" t="s">
        <v>5367</v>
      </c>
      <c r="I4065" s="151" t="s">
        <v>6962</v>
      </c>
      <c r="J4065" s="151" t="s">
        <v>6962</v>
      </c>
      <c r="K4065" s="151">
        <f t="shared" si="93"/>
        <v>0</v>
      </c>
      <c r="L4065" s="151" t="s">
        <v>9021</v>
      </c>
    </row>
    <row r="4066" spans="8:12" x14ac:dyDescent="0.25">
      <c r="H4066" s="151" t="s">
        <v>5367</v>
      </c>
      <c r="I4066" s="151" t="s">
        <v>391</v>
      </c>
      <c r="J4066" s="151" t="s">
        <v>8481</v>
      </c>
      <c r="K4066" s="151">
        <f t="shared" si="93"/>
        <v>650000000001991</v>
      </c>
      <c r="L4066" s="151" t="s">
        <v>9021</v>
      </c>
    </row>
    <row r="4067" spans="8:12" x14ac:dyDescent="0.25">
      <c r="H4067" s="151" t="s">
        <v>6922</v>
      </c>
      <c r="I4067" s="151" t="s">
        <v>6962</v>
      </c>
      <c r="J4067" s="151" t="s">
        <v>6962</v>
      </c>
      <c r="K4067" s="151">
        <f t="shared" si="93"/>
        <v>0</v>
      </c>
      <c r="L4067" s="151" t="s">
        <v>9021</v>
      </c>
    </row>
    <row r="4068" spans="8:12" x14ac:dyDescent="0.25">
      <c r="H4068" s="151" t="s">
        <v>5368</v>
      </c>
      <c r="I4068" s="151" t="s">
        <v>6962</v>
      </c>
      <c r="J4068" s="151" t="s">
        <v>6962</v>
      </c>
      <c r="K4068" s="151">
        <f t="shared" si="93"/>
        <v>0</v>
      </c>
      <c r="L4068" s="151" t="s">
        <v>9021</v>
      </c>
    </row>
    <row r="4069" spans="8:12" x14ac:dyDescent="0.25">
      <c r="H4069" s="151" t="s">
        <v>5368</v>
      </c>
      <c r="I4069" s="151" t="s">
        <v>391</v>
      </c>
      <c r="J4069" s="151" t="s">
        <v>8482</v>
      </c>
      <c r="K4069" s="151">
        <f t="shared" si="93"/>
        <v>650000000001102</v>
      </c>
      <c r="L4069" s="151" t="s">
        <v>9021</v>
      </c>
    </row>
    <row r="4070" spans="8:12" x14ac:dyDescent="0.25">
      <c r="H4070" s="151" t="s">
        <v>5369</v>
      </c>
      <c r="I4070" s="151" t="s">
        <v>6962</v>
      </c>
      <c r="J4070" s="151" t="s">
        <v>6962</v>
      </c>
      <c r="K4070" s="151">
        <f t="shared" si="93"/>
        <v>0</v>
      </c>
      <c r="L4070" s="151" t="s">
        <v>9021</v>
      </c>
    </row>
    <row r="4071" spans="8:12" x14ac:dyDescent="0.25">
      <c r="H4071" s="151" t="s">
        <v>5369</v>
      </c>
      <c r="I4071" s="151" t="s">
        <v>391</v>
      </c>
      <c r="J4071" s="151" t="s">
        <v>8483</v>
      </c>
      <c r="K4071" s="151">
        <f t="shared" si="93"/>
        <v>650000000001103</v>
      </c>
      <c r="L4071" s="151" t="s">
        <v>9021</v>
      </c>
    </row>
    <row r="4072" spans="8:12" x14ac:dyDescent="0.25">
      <c r="H4072" s="151" t="s">
        <v>5370</v>
      </c>
      <c r="I4072" s="151" t="s">
        <v>6962</v>
      </c>
      <c r="J4072" s="151" t="s">
        <v>6962</v>
      </c>
      <c r="K4072" s="151">
        <f t="shared" si="93"/>
        <v>0</v>
      </c>
      <c r="L4072" s="151" t="s">
        <v>9021</v>
      </c>
    </row>
    <row r="4073" spans="8:12" x14ac:dyDescent="0.25">
      <c r="H4073" s="151" t="s">
        <v>5370</v>
      </c>
      <c r="I4073" s="151" t="s">
        <v>391</v>
      </c>
      <c r="J4073" s="151" t="s">
        <v>8484</v>
      </c>
      <c r="K4073" s="151">
        <f t="shared" si="93"/>
        <v>650000000001992</v>
      </c>
      <c r="L4073" s="151" t="s">
        <v>9021</v>
      </c>
    </row>
    <row r="4074" spans="8:12" x14ac:dyDescent="0.25">
      <c r="H4074" s="151" t="s">
        <v>5371</v>
      </c>
      <c r="I4074" s="151" t="s">
        <v>6962</v>
      </c>
      <c r="J4074" s="151" t="s">
        <v>6962</v>
      </c>
      <c r="K4074" s="151">
        <f t="shared" si="93"/>
        <v>0</v>
      </c>
      <c r="L4074" s="151" t="s">
        <v>9021</v>
      </c>
    </row>
    <row r="4075" spans="8:12" x14ac:dyDescent="0.25">
      <c r="H4075" s="151" t="s">
        <v>5371</v>
      </c>
      <c r="I4075" s="151" t="s">
        <v>391</v>
      </c>
      <c r="J4075" s="151" t="s">
        <v>8485</v>
      </c>
      <c r="K4075" s="151">
        <f t="shared" si="93"/>
        <v>650000000001104</v>
      </c>
      <c r="L4075" s="151" t="s">
        <v>9021</v>
      </c>
    </row>
    <row r="4076" spans="8:12" x14ac:dyDescent="0.25">
      <c r="H4076" s="151" t="s">
        <v>5372</v>
      </c>
      <c r="I4076" s="151" t="s">
        <v>6962</v>
      </c>
      <c r="J4076" s="151" t="s">
        <v>6962</v>
      </c>
      <c r="K4076" s="151">
        <f t="shared" si="93"/>
        <v>0</v>
      </c>
      <c r="L4076" s="151" t="s">
        <v>9021</v>
      </c>
    </row>
    <row r="4077" spans="8:12" x14ac:dyDescent="0.25">
      <c r="H4077" s="151" t="s">
        <v>5372</v>
      </c>
      <c r="I4077" s="151" t="s">
        <v>391</v>
      </c>
      <c r="J4077" s="151" t="s">
        <v>8486</v>
      </c>
      <c r="K4077" s="151">
        <f t="shared" si="93"/>
        <v>650000000001105</v>
      </c>
      <c r="L4077" s="151" t="s">
        <v>9021</v>
      </c>
    </row>
    <row r="4078" spans="8:12" x14ac:dyDescent="0.25">
      <c r="H4078" s="151" t="s">
        <v>6923</v>
      </c>
      <c r="I4078" s="151" t="s">
        <v>6962</v>
      </c>
      <c r="J4078" s="151" t="s">
        <v>6962</v>
      </c>
      <c r="K4078" s="151">
        <f t="shared" si="93"/>
        <v>0</v>
      </c>
      <c r="L4078" s="151" t="s">
        <v>9021</v>
      </c>
    </row>
    <row r="4079" spans="8:12" x14ac:dyDescent="0.25">
      <c r="H4079" s="151" t="s">
        <v>5373</v>
      </c>
      <c r="I4079" s="151" t="s">
        <v>6962</v>
      </c>
      <c r="J4079" s="151" t="s">
        <v>6962</v>
      </c>
      <c r="K4079" s="151">
        <f t="shared" si="93"/>
        <v>0</v>
      </c>
      <c r="L4079" s="151" t="s">
        <v>9021</v>
      </c>
    </row>
    <row r="4080" spans="8:12" x14ac:dyDescent="0.25">
      <c r="H4080" s="151" t="s">
        <v>5373</v>
      </c>
      <c r="I4080" s="151" t="s">
        <v>391</v>
      </c>
      <c r="J4080" s="151" t="s">
        <v>8487</v>
      </c>
      <c r="K4080" s="151">
        <f t="shared" si="93"/>
        <v>650000000001106</v>
      </c>
      <c r="L4080" s="151" t="s">
        <v>9021</v>
      </c>
    </row>
    <row r="4081" spans="8:12" x14ac:dyDescent="0.25">
      <c r="H4081" s="151" t="s">
        <v>5374</v>
      </c>
      <c r="I4081" s="151" t="s">
        <v>6962</v>
      </c>
      <c r="J4081" s="151" t="s">
        <v>6962</v>
      </c>
      <c r="K4081" s="151">
        <f t="shared" si="93"/>
        <v>0</v>
      </c>
      <c r="L4081" s="151" t="s">
        <v>9021</v>
      </c>
    </row>
    <row r="4082" spans="8:12" x14ac:dyDescent="0.25">
      <c r="H4082" s="151" t="s">
        <v>5374</v>
      </c>
      <c r="I4082" s="151" t="s">
        <v>391</v>
      </c>
      <c r="J4082" s="151" t="s">
        <v>8488</v>
      </c>
      <c r="K4082" s="151">
        <f t="shared" si="93"/>
        <v>650000000001107</v>
      </c>
      <c r="L4082" s="151" t="s">
        <v>9021</v>
      </c>
    </row>
    <row r="4083" spans="8:12" x14ac:dyDescent="0.25">
      <c r="H4083" s="151" t="s">
        <v>5375</v>
      </c>
      <c r="I4083" s="151" t="s">
        <v>6962</v>
      </c>
      <c r="J4083" s="151" t="s">
        <v>6962</v>
      </c>
      <c r="K4083" s="151">
        <f t="shared" si="93"/>
        <v>0</v>
      </c>
      <c r="L4083" s="151" t="s">
        <v>9021</v>
      </c>
    </row>
    <row r="4084" spans="8:12" x14ac:dyDescent="0.25">
      <c r="H4084" s="151" t="s">
        <v>5375</v>
      </c>
      <c r="I4084" s="151" t="s">
        <v>391</v>
      </c>
      <c r="J4084" s="151" t="s">
        <v>8489</v>
      </c>
      <c r="K4084" s="151">
        <f t="shared" si="93"/>
        <v>650000000001108</v>
      </c>
      <c r="L4084" s="151" t="s">
        <v>9021</v>
      </c>
    </row>
    <row r="4085" spans="8:12" x14ac:dyDescent="0.25">
      <c r="H4085" s="151" t="s">
        <v>6924</v>
      </c>
      <c r="I4085" s="151" t="s">
        <v>6962</v>
      </c>
      <c r="J4085" s="151" t="s">
        <v>6962</v>
      </c>
      <c r="K4085" s="151">
        <f t="shared" si="93"/>
        <v>0</v>
      </c>
      <c r="L4085" s="151" t="s">
        <v>9021</v>
      </c>
    </row>
    <row r="4086" spans="8:12" x14ac:dyDescent="0.25">
      <c r="H4086" s="151" t="s">
        <v>5376</v>
      </c>
      <c r="I4086" s="151" t="s">
        <v>6962</v>
      </c>
      <c r="J4086" s="151" t="s">
        <v>6962</v>
      </c>
      <c r="K4086" s="151">
        <f t="shared" si="93"/>
        <v>0</v>
      </c>
      <c r="L4086" s="151" t="s">
        <v>9021</v>
      </c>
    </row>
    <row r="4087" spans="8:12" x14ac:dyDescent="0.25">
      <c r="H4087" s="151" t="s">
        <v>5376</v>
      </c>
      <c r="I4087" s="151" t="s">
        <v>391</v>
      </c>
      <c r="J4087" s="151" t="s">
        <v>8490</v>
      </c>
      <c r="K4087" s="151">
        <f t="shared" si="93"/>
        <v>650000000001109</v>
      </c>
      <c r="L4087" s="151" t="s">
        <v>9021</v>
      </c>
    </row>
    <row r="4088" spans="8:12" x14ac:dyDescent="0.25">
      <c r="H4088" s="151" t="s">
        <v>5377</v>
      </c>
      <c r="I4088" s="151" t="s">
        <v>6962</v>
      </c>
      <c r="J4088" s="151" t="s">
        <v>6962</v>
      </c>
      <c r="K4088" s="151">
        <f t="shared" si="93"/>
        <v>0</v>
      </c>
      <c r="L4088" s="151" t="s">
        <v>9021</v>
      </c>
    </row>
    <row r="4089" spans="8:12" x14ac:dyDescent="0.25">
      <c r="H4089" s="151" t="s">
        <v>5377</v>
      </c>
      <c r="I4089" s="151" t="s">
        <v>391</v>
      </c>
      <c r="J4089" s="151" t="s">
        <v>8491</v>
      </c>
      <c r="K4089" s="151">
        <f t="shared" si="93"/>
        <v>650000000001110</v>
      </c>
      <c r="L4089" s="151" t="s">
        <v>9021</v>
      </c>
    </row>
    <row r="4090" spans="8:12" x14ac:dyDescent="0.25">
      <c r="H4090" s="151" t="s">
        <v>5378</v>
      </c>
      <c r="I4090" s="151" t="s">
        <v>6962</v>
      </c>
      <c r="J4090" s="151" t="s">
        <v>6962</v>
      </c>
      <c r="K4090" s="151">
        <f t="shared" si="93"/>
        <v>0</v>
      </c>
      <c r="L4090" s="151" t="s">
        <v>9021</v>
      </c>
    </row>
    <row r="4091" spans="8:12" x14ac:dyDescent="0.25">
      <c r="H4091" s="151" t="s">
        <v>5378</v>
      </c>
      <c r="I4091" s="151" t="s">
        <v>391</v>
      </c>
      <c r="J4091" s="151" t="s">
        <v>8492</v>
      </c>
      <c r="K4091" s="151">
        <f t="shared" si="93"/>
        <v>650000000001993</v>
      </c>
      <c r="L4091" s="151" t="s">
        <v>9021</v>
      </c>
    </row>
    <row r="4092" spans="8:12" x14ac:dyDescent="0.25">
      <c r="H4092" s="151" t="s">
        <v>6925</v>
      </c>
      <c r="I4092" s="151" t="s">
        <v>6962</v>
      </c>
      <c r="J4092" s="151" t="s">
        <v>6962</v>
      </c>
      <c r="K4092" s="151">
        <f t="shared" si="93"/>
        <v>0</v>
      </c>
      <c r="L4092" s="151" t="s">
        <v>9021</v>
      </c>
    </row>
    <row r="4093" spans="8:12" x14ac:dyDescent="0.25">
      <c r="H4093" s="151" t="s">
        <v>5379</v>
      </c>
      <c r="I4093" s="151" t="s">
        <v>6962</v>
      </c>
      <c r="J4093" s="151" t="s">
        <v>6962</v>
      </c>
      <c r="K4093" s="151">
        <f t="shared" si="93"/>
        <v>0</v>
      </c>
      <c r="L4093" s="151" t="s">
        <v>9021</v>
      </c>
    </row>
    <row r="4094" spans="8:12" x14ac:dyDescent="0.25">
      <c r="H4094" s="151" t="s">
        <v>5379</v>
      </c>
      <c r="I4094" s="151" t="s">
        <v>391</v>
      </c>
      <c r="J4094" s="151" t="s">
        <v>8493</v>
      </c>
      <c r="K4094" s="151">
        <f t="shared" si="93"/>
        <v>650000000001994</v>
      </c>
      <c r="L4094" s="151" t="s">
        <v>9021</v>
      </c>
    </row>
    <row r="4095" spans="8:12" x14ac:dyDescent="0.25">
      <c r="H4095" s="151" t="s">
        <v>5380</v>
      </c>
      <c r="I4095" s="151" t="s">
        <v>6962</v>
      </c>
      <c r="J4095" s="151" t="s">
        <v>6962</v>
      </c>
      <c r="K4095" s="151">
        <f t="shared" si="93"/>
        <v>0</v>
      </c>
      <c r="L4095" s="151" t="s">
        <v>9021</v>
      </c>
    </row>
    <row r="4096" spans="8:12" x14ac:dyDescent="0.25">
      <c r="H4096" s="151" t="s">
        <v>5380</v>
      </c>
      <c r="I4096" s="151" t="s">
        <v>391</v>
      </c>
      <c r="J4096" s="151" t="s">
        <v>8494</v>
      </c>
      <c r="K4096" s="151">
        <f t="shared" si="93"/>
        <v>650000000001111</v>
      </c>
      <c r="L4096" s="151" t="s">
        <v>9021</v>
      </c>
    </row>
    <row r="4097" spans="8:12" x14ac:dyDescent="0.25">
      <c r="H4097" s="151" t="s">
        <v>5381</v>
      </c>
      <c r="I4097" s="151" t="s">
        <v>6962</v>
      </c>
      <c r="J4097" s="151" t="s">
        <v>6962</v>
      </c>
      <c r="K4097" s="151">
        <f t="shared" si="93"/>
        <v>0</v>
      </c>
      <c r="L4097" s="151" t="s">
        <v>9021</v>
      </c>
    </row>
    <row r="4098" spans="8:12" x14ac:dyDescent="0.25">
      <c r="H4098" s="151" t="s">
        <v>5381</v>
      </c>
      <c r="I4098" s="151" t="s">
        <v>391</v>
      </c>
      <c r="J4098" s="151" t="s">
        <v>8495</v>
      </c>
      <c r="K4098" s="151">
        <f t="shared" si="93"/>
        <v>650000000001112</v>
      </c>
      <c r="L4098" s="151" t="s">
        <v>9021</v>
      </c>
    </row>
    <row r="4099" spans="8:12" x14ac:dyDescent="0.25">
      <c r="H4099" s="151" t="s">
        <v>5382</v>
      </c>
      <c r="I4099" s="151" t="s">
        <v>6962</v>
      </c>
      <c r="J4099" s="151" t="s">
        <v>6962</v>
      </c>
      <c r="K4099" s="151">
        <f t="shared" ref="K4099:K4162" si="94">+IFERROR(J4099*1,0)</f>
        <v>0</v>
      </c>
      <c r="L4099" s="151" t="s">
        <v>9021</v>
      </c>
    </row>
    <row r="4100" spans="8:12" x14ac:dyDescent="0.25">
      <c r="H4100" s="151" t="s">
        <v>5382</v>
      </c>
      <c r="I4100" s="151" t="s">
        <v>391</v>
      </c>
      <c r="J4100" s="151" t="s">
        <v>8496</v>
      </c>
      <c r="K4100" s="151">
        <f t="shared" si="94"/>
        <v>650000000001113</v>
      </c>
      <c r="L4100" s="151" t="s">
        <v>9021</v>
      </c>
    </row>
    <row r="4101" spans="8:12" x14ac:dyDescent="0.25">
      <c r="H4101" s="151" t="s">
        <v>5383</v>
      </c>
      <c r="I4101" s="151" t="s">
        <v>6962</v>
      </c>
      <c r="J4101" s="151" t="s">
        <v>6962</v>
      </c>
      <c r="K4101" s="151">
        <f t="shared" si="94"/>
        <v>0</v>
      </c>
      <c r="L4101" s="151" t="s">
        <v>9021</v>
      </c>
    </row>
    <row r="4102" spans="8:12" x14ac:dyDescent="0.25">
      <c r="H4102" s="151" t="s">
        <v>5383</v>
      </c>
      <c r="I4102" s="151" t="s">
        <v>391</v>
      </c>
      <c r="J4102" s="151" t="s">
        <v>8497</v>
      </c>
      <c r="K4102" s="151">
        <f t="shared" si="94"/>
        <v>650000000001995</v>
      </c>
      <c r="L4102" s="151" t="s">
        <v>9021</v>
      </c>
    </row>
    <row r="4103" spans="8:12" x14ac:dyDescent="0.25">
      <c r="H4103" s="151" t="s">
        <v>5384</v>
      </c>
      <c r="I4103" s="151" t="s">
        <v>6962</v>
      </c>
      <c r="J4103" s="151" t="s">
        <v>6962</v>
      </c>
      <c r="K4103" s="151">
        <f t="shared" si="94"/>
        <v>0</v>
      </c>
      <c r="L4103" s="151" t="s">
        <v>9021</v>
      </c>
    </row>
    <row r="4104" spans="8:12" x14ac:dyDescent="0.25">
      <c r="H4104" s="151" t="s">
        <v>5384</v>
      </c>
      <c r="I4104" s="151" t="s">
        <v>391</v>
      </c>
      <c r="J4104" s="151" t="s">
        <v>8498</v>
      </c>
      <c r="K4104" s="151">
        <f t="shared" si="94"/>
        <v>650000000001114</v>
      </c>
      <c r="L4104" s="151" t="s">
        <v>9021</v>
      </c>
    </row>
    <row r="4105" spans="8:12" x14ac:dyDescent="0.25">
      <c r="H4105" s="151" t="s">
        <v>5385</v>
      </c>
      <c r="I4105" s="151" t="s">
        <v>6962</v>
      </c>
      <c r="J4105" s="151" t="s">
        <v>6962</v>
      </c>
      <c r="K4105" s="151">
        <f t="shared" si="94"/>
        <v>0</v>
      </c>
      <c r="L4105" s="151" t="s">
        <v>9021</v>
      </c>
    </row>
    <row r="4106" spans="8:12" x14ac:dyDescent="0.25">
      <c r="H4106" s="151" t="s">
        <v>5385</v>
      </c>
      <c r="I4106" s="151" t="s">
        <v>391</v>
      </c>
      <c r="J4106" s="151" t="s">
        <v>8499</v>
      </c>
      <c r="K4106" s="151">
        <f t="shared" si="94"/>
        <v>650000000001996</v>
      </c>
      <c r="L4106" s="151" t="s">
        <v>9021</v>
      </c>
    </row>
    <row r="4107" spans="8:12" x14ac:dyDescent="0.25">
      <c r="H4107" s="151" t="s">
        <v>5386</v>
      </c>
      <c r="I4107" s="151" t="s">
        <v>6962</v>
      </c>
      <c r="J4107" s="151" t="s">
        <v>6962</v>
      </c>
      <c r="K4107" s="151">
        <f t="shared" si="94"/>
        <v>0</v>
      </c>
      <c r="L4107" s="151" t="s">
        <v>9021</v>
      </c>
    </row>
    <row r="4108" spans="8:12" x14ac:dyDescent="0.25">
      <c r="H4108" s="151" t="s">
        <v>5386</v>
      </c>
      <c r="I4108" s="151" t="s">
        <v>391</v>
      </c>
      <c r="J4108" s="151" t="s">
        <v>8500</v>
      </c>
      <c r="K4108" s="151">
        <f t="shared" si="94"/>
        <v>650000000001997</v>
      </c>
      <c r="L4108" s="151" t="s">
        <v>9021</v>
      </c>
    </row>
    <row r="4109" spans="8:12" x14ac:dyDescent="0.25">
      <c r="H4109" s="151" t="s">
        <v>5387</v>
      </c>
      <c r="I4109" s="151" t="s">
        <v>6962</v>
      </c>
      <c r="J4109" s="151" t="s">
        <v>6962</v>
      </c>
      <c r="K4109" s="151">
        <f t="shared" si="94"/>
        <v>0</v>
      </c>
      <c r="L4109" s="151" t="s">
        <v>9021</v>
      </c>
    </row>
    <row r="4110" spans="8:12" x14ac:dyDescent="0.25">
      <c r="H4110" s="151" t="s">
        <v>5387</v>
      </c>
      <c r="I4110" s="151" t="s">
        <v>391</v>
      </c>
      <c r="J4110" s="151" t="s">
        <v>8501</v>
      </c>
      <c r="K4110" s="151">
        <f t="shared" si="94"/>
        <v>650000000001115</v>
      </c>
      <c r="L4110" s="151" t="s">
        <v>9021</v>
      </c>
    </row>
    <row r="4111" spans="8:12" x14ac:dyDescent="0.25">
      <c r="H4111" s="151" t="s">
        <v>5388</v>
      </c>
      <c r="I4111" s="151" t="s">
        <v>6962</v>
      </c>
      <c r="J4111" s="151" t="s">
        <v>6962</v>
      </c>
      <c r="K4111" s="151">
        <f t="shared" si="94"/>
        <v>0</v>
      </c>
      <c r="L4111" s="151" t="s">
        <v>9021</v>
      </c>
    </row>
    <row r="4112" spans="8:12" x14ac:dyDescent="0.25">
      <c r="H4112" s="151" t="s">
        <v>5388</v>
      </c>
      <c r="I4112" s="151" t="s">
        <v>391</v>
      </c>
      <c r="J4112" s="151" t="s">
        <v>8502</v>
      </c>
      <c r="K4112" s="151">
        <f t="shared" si="94"/>
        <v>650000000001116</v>
      </c>
      <c r="L4112" s="151" t="s">
        <v>9021</v>
      </c>
    </row>
    <row r="4113" spans="8:12" x14ac:dyDescent="0.25">
      <c r="H4113" s="151" t="s">
        <v>5389</v>
      </c>
      <c r="I4113" s="151" t="s">
        <v>6962</v>
      </c>
      <c r="J4113" s="151" t="s">
        <v>6962</v>
      </c>
      <c r="K4113" s="151">
        <f t="shared" si="94"/>
        <v>0</v>
      </c>
      <c r="L4113" s="151" t="s">
        <v>9021</v>
      </c>
    </row>
    <row r="4114" spans="8:12" x14ac:dyDescent="0.25">
      <c r="H4114" s="151" t="s">
        <v>5389</v>
      </c>
      <c r="I4114" s="151" t="s">
        <v>391</v>
      </c>
      <c r="J4114" s="151" t="s">
        <v>8503</v>
      </c>
      <c r="K4114" s="151">
        <f t="shared" si="94"/>
        <v>650000000001998</v>
      </c>
      <c r="L4114" s="151" t="s">
        <v>9021</v>
      </c>
    </row>
    <row r="4115" spans="8:12" x14ac:dyDescent="0.25">
      <c r="H4115" s="151" t="s">
        <v>5390</v>
      </c>
      <c r="I4115" s="151" t="s">
        <v>6962</v>
      </c>
      <c r="J4115" s="151" t="s">
        <v>6962</v>
      </c>
      <c r="K4115" s="151">
        <f t="shared" si="94"/>
        <v>0</v>
      </c>
      <c r="L4115" s="151" t="s">
        <v>9021</v>
      </c>
    </row>
    <row r="4116" spans="8:12" x14ac:dyDescent="0.25">
      <c r="H4116" s="151" t="s">
        <v>5390</v>
      </c>
      <c r="I4116" s="151" t="s">
        <v>391</v>
      </c>
      <c r="J4116" s="151" t="s">
        <v>8504</v>
      </c>
      <c r="K4116" s="151">
        <f t="shared" si="94"/>
        <v>650000000001117</v>
      </c>
      <c r="L4116" s="151" t="s">
        <v>9021</v>
      </c>
    </row>
    <row r="4117" spans="8:12" x14ac:dyDescent="0.25">
      <c r="H4117" s="151" t="s">
        <v>5391</v>
      </c>
      <c r="I4117" s="151" t="s">
        <v>6962</v>
      </c>
      <c r="J4117" s="151" t="s">
        <v>6962</v>
      </c>
      <c r="K4117" s="151">
        <f t="shared" si="94"/>
        <v>0</v>
      </c>
      <c r="L4117" s="151" t="s">
        <v>9021</v>
      </c>
    </row>
    <row r="4118" spans="8:12" x14ac:dyDescent="0.25">
      <c r="H4118" s="151" t="s">
        <v>5391</v>
      </c>
      <c r="I4118" s="151" t="s">
        <v>391</v>
      </c>
      <c r="J4118" s="151" t="s">
        <v>8505</v>
      </c>
      <c r="K4118" s="151">
        <f t="shared" si="94"/>
        <v>650000000001118</v>
      </c>
      <c r="L4118" s="151" t="s">
        <v>9021</v>
      </c>
    </row>
    <row r="4119" spans="8:12" x14ac:dyDescent="0.25">
      <c r="H4119" s="151" t="s">
        <v>5392</v>
      </c>
      <c r="I4119" s="151" t="s">
        <v>6962</v>
      </c>
      <c r="J4119" s="151" t="s">
        <v>6962</v>
      </c>
      <c r="K4119" s="151">
        <f t="shared" si="94"/>
        <v>0</v>
      </c>
      <c r="L4119" s="151" t="s">
        <v>9021</v>
      </c>
    </row>
    <row r="4120" spans="8:12" x14ac:dyDescent="0.25">
      <c r="H4120" s="151" t="s">
        <v>5392</v>
      </c>
      <c r="I4120" s="151" t="s">
        <v>391</v>
      </c>
      <c r="J4120" s="151" t="s">
        <v>8506</v>
      </c>
      <c r="K4120" s="151">
        <f t="shared" si="94"/>
        <v>650000000001999</v>
      </c>
      <c r="L4120" s="151" t="s">
        <v>9021</v>
      </c>
    </row>
    <row r="4121" spans="8:12" x14ac:dyDescent="0.25">
      <c r="H4121" s="151" t="s">
        <v>5393</v>
      </c>
      <c r="I4121" s="151" t="s">
        <v>6962</v>
      </c>
      <c r="J4121" s="151" t="s">
        <v>6962</v>
      </c>
      <c r="K4121" s="151">
        <f t="shared" si="94"/>
        <v>0</v>
      </c>
      <c r="L4121" s="151" t="s">
        <v>9021</v>
      </c>
    </row>
    <row r="4122" spans="8:12" x14ac:dyDescent="0.25">
      <c r="H4122" s="151" t="s">
        <v>5393</v>
      </c>
      <c r="I4122" s="151" t="s">
        <v>391</v>
      </c>
      <c r="J4122" s="151" t="s">
        <v>8507</v>
      </c>
      <c r="K4122" s="151">
        <f t="shared" si="94"/>
        <v>650000000001119</v>
      </c>
      <c r="L4122" s="151" t="s">
        <v>9021</v>
      </c>
    </row>
    <row r="4123" spans="8:12" x14ac:dyDescent="0.25">
      <c r="H4123" s="151" t="s">
        <v>5394</v>
      </c>
      <c r="I4123" s="151" t="s">
        <v>6962</v>
      </c>
      <c r="J4123" s="151" t="s">
        <v>6962</v>
      </c>
      <c r="K4123" s="151">
        <f t="shared" si="94"/>
        <v>0</v>
      </c>
      <c r="L4123" s="151" t="s">
        <v>9021</v>
      </c>
    </row>
    <row r="4124" spans="8:12" x14ac:dyDescent="0.25">
      <c r="H4124" s="151" t="s">
        <v>5394</v>
      </c>
      <c r="I4124" s="151" t="s">
        <v>391</v>
      </c>
      <c r="J4124" s="151" t="s">
        <v>8508</v>
      </c>
      <c r="K4124" s="151">
        <f t="shared" si="94"/>
        <v>650000000001120</v>
      </c>
      <c r="L4124" s="151" t="s">
        <v>9021</v>
      </c>
    </row>
    <row r="4125" spans="8:12" x14ac:dyDescent="0.25">
      <c r="H4125" s="151" t="s">
        <v>5395</v>
      </c>
      <c r="I4125" s="151" t="s">
        <v>6962</v>
      </c>
      <c r="J4125" s="151" t="s">
        <v>6962</v>
      </c>
      <c r="K4125" s="151">
        <f t="shared" si="94"/>
        <v>0</v>
      </c>
      <c r="L4125" s="151" t="s">
        <v>9021</v>
      </c>
    </row>
    <row r="4126" spans="8:12" x14ac:dyDescent="0.25">
      <c r="H4126" s="151" t="s">
        <v>5395</v>
      </c>
      <c r="I4126" s="151" t="s">
        <v>391</v>
      </c>
      <c r="J4126" s="151" t="s">
        <v>8509</v>
      </c>
      <c r="K4126" s="151">
        <f t="shared" si="94"/>
        <v>650000000001121</v>
      </c>
      <c r="L4126" s="151" t="s">
        <v>9021</v>
      </c>
    </row>
    <row r="4127" spans="8:12" x14ac:dyDescent="0.25">
      <c r="H4127" s="151" t="s">
        <v>5396</v>
      </c>
      <c r="I4127" s="151" t="s">
        <v>6962</v>
      </c>
      <c r="J4127" s="151" t="s">
        <v>6962</v>
      </c>
      <c r="K4127" s="151">
        <f t="shared" si="94"/>
        <v>0</v>
      </c>
      <c r="L4127" s="151" t="s">
        <v>9021</v>
      </c>
    </row>
    <row r="4128" spans="8:12" x14ac:dyDescent="0.25">
      <c r="H4128" s="151" t="s">
        <v>5396</v>
      </c>
      <c r="I4128" s="151" t="s">
        <v>391</v>
      </c>
      <c r="J4128" s="151" t="s">
        <v>8510</v>
      </c>
      <c r="K4128" s="151">
        <f t="shared" si="94"/>
        <v>650000000002000</v>
      </c>
      <c r="L4128" s="151" t="s">
        <v>9021</v>
      </c>
    </row>
    <row r="4129" spans="8:12" x14ac:dyDescent="0.25">
      <c r="H4129" s="151" t="s">
        <v>5397</v>
      </c>
      <c r="I4129" s="151" t="s">
        <v>6962</v>
      </c>
      <c r="J4129" s="151" t="s">
        <v>6962</v>
      </c>
      <c r="K4129" s="151">
        <f t="shared" si="94"/>
        <v>0</v>
      </c>
      <c r="L4129" s="151" t="s">
        <v>9021</v>
      </c>
    </row>
    <row r="4130" spans="8:12" x14ac:dyDescent="0.25">
      <c r="H4130" s="151" t="s">
        <v>5397</v>
      </c>
      <c r="I4130" s="151" t="s">
        <v>391</v>
      </c>
      <c r="J4130" s="151" t="s">
        <v>8511</v>
      </c>
      <c r="K4130" s="151">
        <f t="shared" si="94"/>
        <v>650000000001122</v>
      </c>
      <c r="L4130" s="151" t="s">
        <v>9021</v>
      </c>
    </row>
    <row r="4131" spans="8:12" x14ac:dyDescent="0.25">
      <c r="H4131" s="151" t="s">
        <v>5398</v>
      </c>
      <c r="I4131" s="151" t="s">
        <v>6962</v>
      </c>
      <c r="J4131" s="151" t="s">
        <v>6962</v>
      </c>
      <c r="K4131" s="151">
        <f t="shared" si="94"/>
        <v>0</v>
      </c>
      <c r="L4131" s="151" t="s">
        <v>9021</v>
      </c>
    </row>
    <row r="4132" spans="8:12" x14ac:dyDescent="0.25">
      <c r="H4132" s="151" t="s">
        <v>5398</v>
      </c>
      <c r="I4132" s="151" t="s">
        <v>391</v>
      </c>
      <c r="J4132" s="151" t="s">
        <v>8512</v>
      </c>
      <c r="K4132" s="151">
        <f t="shared" si="94"/>
        <v>650000000001123</v>
      </c>
      <c r="L4132" s="151" t="s">
        <v>9021</v>
      </c>
    </row>
    <row r="4133" spans="8:12" x14ac:dyDescent="0.25">
      <c r="H4133" s="151" t="s">
        <v>5399</v>
      </c>
      <c r="I4133" s="151" t="s">
        <v>6962</v>
      </c>
      <c r="J4133" s="151" t="s">
        <v>6962</v>
      </c>
      <c r="K4133" s="151">
        <f t="shared" si="94"/>
        <v>0</v>
      </c>
      <c r="L4133" s="151" t="s">
        <v>9021</v>
      </c>
    </row>
    <row r="4134" spans="8:12" x14ac:dyDescent="0.25">
      <c r="H4134" s="151" t="s">
        <v>5399</v>
      </c>
      <c r="I4134" s="151" t="s">
        <v>391</v>
      </c>
      <c r="J4134" s="151" t="s">
        <v>8513</v>
      </c>
      <c r="K4134" s="151">
        <f t="shared" si="94"/>
        <v>650000000002001</v>
      </c>
      <c r="L4134" s="151" t="s">
        <v>9021</v>
      </c>
    </row>
    <row r="4135" spans="8:12" x14ac:dyDescent="0.25">
      <c r="H4135" s="151" t="s">
        <v>5400</v>
      </c>
      <c r="I4135" s="151" t="s">
        <v>6962</v>
      </c>
      <c r="J4135" s="151" t="s">
        <v>6962</v>
      </c>
      <c r="K4135" s="151">
        <f t="shared" si="94"/>
        <v>0</v>
      </c>
      <c r="L4135" s="151" t="s">
        <v>9022</v>
      </c>
    </row>
    <row r="4136" spans="8:12" x14ac:dyDescent="0.25">
      <c r="H4136" s="151" t="s">
        <v>5400</v>
      </c>
      <c r="I4136" s="151" t="s">
        <v>391</v>
      </c>
      <c r="J4136" s="151" t="s">
        <v>8514</v>
      </c>
      <c r="K4136" s="151">
        <f t="shared" si="94"/>
        <v>650000000001124</v>
      </c>
      <c r="L4136" s="151" t="s">
        <v>9022</v>
      </c>
    </row>
    <row r="4137" spans="8:12" x14ac:dyDescent="0.25">
      <c r="H4137" s="151" t="s">
        <v>5401</v>
      </c>
      <c r="I4137" s="151" t="s">
        <v>6962</v>
      </c>
      <c r="J4137" s="151" t="s">
        <v>6962</v>
      </c>
      <c r="K4137" s="151">
        <f t="shared" si="94"/>
        <v>0</v>
      </c>
      <c r="L4137" s="151" t="s">
        <v>9021</v>
      </c>
    </row>
    <row r="4138" spans="8:12" x14ac:dyDescent="0.25">
      <c r="H4138" s="151" t="s">
        <v>5401</v>
      </c>
      <c r="I4138" s="151" t="s">
        <v>391</v>
      </c>
      <c r="J4138" s="151" t="s">
        <v>8515</v>
      </c>
      <c r="K4138" s="151">
        <f t="shared" si="94"/>
        <v>650000000001125</v>
      </c>
      <c r="L4138" s="151" t="s">
        <v>9021</v>
      </c>
    </row>
    <row r="4139" spans="8:12" x14ac:dyDescent="0.25">
      <c r="H4139" s="151" t="s">
        <v>5402</v>
      </c>
      <c r="I4139" s="151" t="s">
        <v>6962</v>
      </c>
      <c r="J4139" s="151" t="s">
        <v>6962</v>
      </c>
      <c r="K4139" s="151">
        <f t="shared" si="94"/>
        <v>0</v>
      </c>
      <c r="L4139" s="151" t="s">
        <v>9021</v>
      </c>
    </row>
    <row r="4140" spans="8:12" x14ac:dyDescent="0.25">
      <c r="H4140" s="151" t="s">
        <v>5402</v>
      </c>
      <c r="I4140" s="151" t="s">
        <v>391</v>
      </c>
      <c r="J4140" s="151" t="s">
        <v>8516</v>
      </c>
      <c r="K4140" s="151">
        <f t="shared" si="94"/>
        <v>650000000001126</v>
      </c>
      <c r="L4140" s="151" t="s">
        <v>9021</v>
      </c>
    </row>
    <row r="4141" spans="8:12" x14ac:dyDescent="0.25">
      <c r="H4141" s="151" t="s">
        <v>5403</v>
      </c>
      <c r="I4141" s="151" t="s">
        <v>6962</v>
      </c>
      <c r="J4141" s="151" t="s">
        <v>6962</v>
      </c>
      <c r="K4141" s="151">
        <f t="shared" si="94"/>
        <v>0</v>
      </c>
      <c r="L4141" s="151" t="s">
        <v>9021</v>
      </c>
    </row>
    <row r="4142" spans="8:12" x14ac:dyDescent="0.25">
      <c r="H4142" s="151" t="s">
        <v>5403</v>
      </c>
      <c r="I4142" s="151" t="s">
        <v>391</v>
      </c>
      <c r="J4142" s="151" t="s">
        <v>8517</v>
      </c>
      <c r="K4142" s="151">
        <f t="shared" si="94"/>
        <v>650000000002002</v>
      </c>
      <c r="L4142" s="151" t="s">
        <v>9021</v>
      </c>
    </row>
    <row r="4143" spans="8:12" x14ac:dyDescent="0.25">
      <c r="H4143" s="151" t="s">
        <v>5404</v>
      </c>
      <c r="I4143" s="151" t="s">
        <v>6962</v>
      </c>
      <c r="J4143" s="151" t="s">
        <v>6962</v>
      </c>
      <c r="K4143" s="151">
        <f t="shared" si="94"/>
        <v>0</v>
      </c>
      <c r="L4143" s="151" t="s">
        <v>9021</v>
      </c>
    </row>
    <row r="4144" spans="8:12" x14ac:dyDescent="0.25">
      <c r="H4144" s="151" t="s">
        <v>5404</v>
      </c>
      <c r="I4144" s="151" t="s">
        <v>391</v>
      </c>
      <c r="J4144" s="151" t="s">
        <v>8518</v>
      </c>
      <c r="K4144" s="151">
        <f t="shared" si="94"/>
        <v>650000000001127</v>
      </c>
      <c r="L4144" s="151" t="s">
        <v>9021</v>
      </c>
    </row>
    <row r="4145" spans="8:12" x14ac:dyDescent="0.25">
      <c r="H4145" s="151" t="s">
        <v>5405</v>
      </c>
      <c r="I4145" s="151" t="s">
        <v>6962</v>
      </c>
      <c r="J4145" s="151" t="s">
        <v>6962</v>
      </c>
      <c r="K4145" s="151">
        <f t="shared" si="94"/>
        <v>0</v>
      </c>
      <c r="L4145" s="151" t="s">
        <v>9021</v>
      </c>
    </row>
    <row r="4146" spans="8:12" x14ac:dyDescent="0.25">
      <c r="H4146" s="151" t="s">
        <v>5405</v>
      </c>
      <c r="I4146" s="151" t="s">
        <v>391</v>
      </c>
      <c r="J4146" s="151" t="s">
        <v>8519</v>
      </c>
      <c r="K4146" s="151">
        <f t="shared" si="94"/>
        <v>650000000001128</v>
      </c>
      <c r="L4146" s="151" t="s">
        <v>9021</v>
      </c>
    </row>
    <row r="4147" spans="8:12" x14ac:dyDescent="0.25">
      <c r="H4147" s="151" t="s">
        <v>5406</v>
      </c>
      <c r="I4147" s="151" t="s">
        <v>6962</v>
      </c>
      <c r="J4147" s="151" t="s">
        <v>6962</v>
      </c>
      <c r="K4147" s="151">
        <f t="shared" si="94"/>
        <v>0</v>
      </c>
      <c r="L4147" s="151" t="s">
        <v>9021</v>
      </c>
    </row>
    <row r="4148" spans="8:12" x14ac:dyDescent="0.25">
      <c r="H4148" s="151" t="s">
        <v>5406</v>
      </c>
      <c r="I4148" s="151" t="s">
        <v>391</v>
      </c>
      <c r="J4148" s="151" t="s">
        <v>8520</v>
      </c>
      <c r="K4148" s="151">
        <f t="shared" si="94"/>
        <v>650000000001129</v>
      </c>
      <c r="L4148" s="151" t="s">
        <v>9021</v>
      </c>
    </row>
    <row r="4149" spans="8:12" x14ac:dyDescent="0.25">
      <c r="H4149" s="151" t="s">
        <v>5407</v>
      </c>
      <c r="I4149" s="151" t="s">
        <v>6962</v>
      </c>
      <c r="J4149" s="151" t="s">
        <v>6962</v>
      </c>
      <c r="K4149" s="151">
        <f t="shared" si="94"/>
        <v>0</v>
      </c>
      <c r="L4149" s="151" t="s">
        <v>9021</v>
      </c>
    </row>
    <row r="4150" spans="8:12" x14ac:dyDescent="0.25">
      <c r="H4150" s="151" t="s">
        <v>5407</v>
      </c>
      <c r="I4150" s="151" t="s">
        <v>391</v>
      </c>
      <c r="J4150" s="151" t="s">
        <v>8521</v>
      </c>
      <c r="K4150" s="151">
        <f t="shared" si="94"/>
        <v>650000000001130</v>
      </c>
      <c r="L4150" s="151" t="s">
        <v>9021</v>
      </c>
    </row>
    <row r="4151" spans="8:12" x14ac:dyDescent="0.25">
      <c r="H4151" s="151" t="s">
        <v>5408</v>
      </c>
      <c r="I4151" s="151" t="s">
        <v>6962</v>
      </c>
      <c r="J4151" s="151" t="s">
        <v>6962</v>
      </c>
      <c r="K4151" s="151">
        <f t="shared" si="94"/>
        <v>0</v>
      </c>
      <c r="L4151" s="151" t="s">
        <v>9021</v>
      </c>
    </row>
    <row r="4152" spans="8:12" x14ac:dyDescent="0.25">
      <c r="H4152" s="151" t="s">
        <v>5408</v>
      </c>
      <c r="I4152" s="151" t="s">
        <v>391</v>
      </c>
      <c r="J4152" s="151" t="s">
        <v>8522</v>
      </c>
      <c r="K4152" s="151">
        <f t="shared" si="94"/>
        <v>650000000001131</v>
      </c>
      <c r="L4152" s="151" t="s">
        <v>9021</v>
      </c>
    </row>
    <row r="4153" spans="8:12" x14ac:dyDescent="0.25">
      <c r="H4153" s="151" t="s">
        <v>5409</v>
      </c>
      <c r="I4153" s="151" t="s">
        <v>6962</v>
      </c>
      <c r="J4153" s="151" t="s">
        <v>6962</v>
      </c>
      <c r="K4153" s="151">
        <f t="shared" si="94"/>
        <v>0</v>
      </c>
      <c r="L4153" s="151" t="s">
        <v>9021</v>
      </c>
    </row>
    <row r="4154" spans="8:12" x14ac:dyDescent="0.25">
      <c r="H4154" s="151" t="s">
        <v>5409</v>
      </c>
      <c r="I4154" s="151" t="s">
        <v>391</v>
      </c>
      <c r="J4154" s="151" t="s">
        <v>8523</v>
      </c>
      <c r="K4154" s="151">
        <f t="shared" si="94"/>
        <v>650000000002003</v>
      </c>
      <c r="L4154" s="151" t="s">
        <v>9021</v>
      </c>
    </row>
    <row r="4155" spans="8:12" x14ac:dyDescent="0.25">
      <c r="H4155" s="151" t="s">
        <v>5410</v>
      </c>
      <c r="I4155" s="151" t="s">
        <v>6962</v>
      </c>
      <c r="J4155" s="151" t="s">
        <v>6962</v>
      </c>
      <c r="K4155" s="151">
        <f t="shared" si="94"/>
        <v>0</v>
      </c>
      <c r="L4155" s="151" t="s">
        <v>9021</v>
      </c>
    </row>
    <row r="4156" spans="8:12" x14ac:dyDescent="0.25">
      <c r="H4156" s="151" t="s">
        <v>5410</v>
      </c>
      <c r="I4156" s="151" t="s">
        <v>391</v>
      </c>
      <c r="J4156" s="151" t="s">
        <v>8524</v>
      </c>
      <c r="K4156" s="151">
        <f t="shared" si="94"/>
        <v>650000000001132</v>
      </c>
      <c r="L4156" s="151" t="s">
        <v>9021</v>
      </c>
    </row>
    <row r="4157" spans="8:12" x14ac:dyDescent="0.25">
      <c r="H4157" s="151" t="s">
        <v>5411</v>
      </c>
      <c r="I4157" s="151" t="s">
        <v>6962</v>
      </c>
      <c r="J4157" s="151" t="s">
        <v>6962</v>
      </c>
      <c r="K4157" s="151">
        <f t="shared" si="94"/>
        <v>0</v>
      </c>
      <c r="L4157" s="151" t="s">
        <v>9021</v>
      </c>
    </row>
    <row r="4158" spans="8:12" x14ac:dyDescent="0.25">
      <c r="H4158" s="151" t="s">
        <v>5411</v>
      </c>
      <c r="I4158" s="151" t="s">
        <v>391</v>
      </c>
      <c r="J4158" s="151" t="s">
        <v>8525</v>
      </c>
      <c r="K4158" s="151">
        <f t="shared" si="94"/>
        <v>650000000001133</v>
      </c>
      <c r="L4158" s="151" t="s">
        <v>9021</v>
      </c>
    </row>
    <row r="4159" spans="8:12" x14ac:dyDescent="0.25">
      <c r="H4159" s="151" t="s">
        <v>5412</v>
      </c>
      <c r="I4159" s="151" t="s">
        <v>6962</v>
      </c>
      <c r="J4159" s="151" t="s">
        <v>6962</v>
      </c>
      <c r="K4159" s="151">
        <f t="shared" si="94"/>
        <v>0</v>
      </c>
      <c r="L4159" s="151" t="s">
        <v>9021</v>
      </c>
    </row>
    <row r="4160" spans="8:12" x14ac:dyDescent="0.25">
      <c r="H4160" s="151" t="s">
        <v>5412</v>
      </c>
      <c r="I4160" s="151" t="s">
        <v>391</v>
      </c>
      <c r="J4160" s="151" t="s">
        <v>8526</v>
      </c>
      <c r="K4160" s="151">
        <f t="shared" si="94"/>
        <v>650000000002004</v>
      </c>
      <c r="L4160" s="151" t="s">
        <v>9021</v>
      </c>
    </row>
    <row r="4161" spans="8:12" x14ac:dyDescent="0.25">
      <c r="H4161" s="151" t="s">
        <v>5413</v>
      </c>
      <c r="I4161" s="151" t="s">
        <v>6962</v>
      </c>
      <c r="J4161" s="151" t="s">
        <v>6962</v>
      </c>
      <c r="K4161" s="151">
        <f t="shared" si="94"/>
        <v>0</v>
      </c>
      <c r="L4161" s="151" t="s">
        <v>9021</v>
      </c>
    </row>
    <row r="4162" spans="8:12" x14ac:dyDescent="0.25">
      <c r="H4162" s="151" t="s">
        <v>5413</v>
      </c>
      <c r="I4162" s="151" t="s">
        <v>391</v>
      </c>
      <c r="J4162" s="151" t="s">
        <v>8527</v>
      </c>
      <c r="K4162" s="151">
        <f t="shared" si="94"/>
        <v>650000000001134</v>
      </c>
      <c r="L4162" s="151" t="s">
        <v>9021</v>
      </c>
    </row>
    <row r="4163" spans="8:12" x14ac:dyDescent="0.25">
      <c r="H4163" s="151" t="s">
        <v>5414</v>
      </c>
      <c r="I4163" s="151" t="s">
        <v>6962</v>
      </c>
      <c r="J4163" s="151" t="s">
        <v>6962</v>
      </c>
      <c r="K4163" s="151">
        <f t="shared" ref="K4163:K4226" si="95">+IFERROR(J4163*1,0)</f>
        <v>0</v>
      </c>
      <c r="L4163" s="151" t="s">
        <v>9021</v>
      </c>
    </row>
    <row r="4164" spans="8:12" x14ac:dyDescent="0.25">
      <c r="H4164" s="151" t="s">
        <v>5414</v>
      </c>
      <c r="I4164" s="151" t="s">
        <v>391</v>
      </c>
      <c r="J4164" s="151" t="s">
        <v>8528</v>
      </c>
      <c r="K4164" s="151">
        <f t="shared" si="95"/>
        <v>650000000001135</v>
      </c>
      <c r="L4164" s="151" t="s">
        <v>9021</v>
      </c>
    </row>
    <row r="4165" spans="8:12" x14ac:dyDescent="0.25">
      <c r="H4165" s="151" t="s">
        <v>5415</v>
      </c>
      <c r="I4165" s="151" t="s">
        <v>6962</v>
      </c>
      <c r="J4165" s="151" t="s">
        <v>6962</v>
      </c>
      <c r="K4165" s="151">
        <f t="shared" si="95"/>
        <v>0</v>
      </c>
      <c r="L4165" s="151" t="s">
        <v>9021</v>
      </c>
    </row>
    <row r="4166" spans="8:12" x14ac:dyDescent="0.25">
      <c r="H4166" s="151" t="s">
        <v>5415</v>
      </c>
      <c r="I4166" s="151" t="s">
        <v>391</v>
      </c>
      <c r="J4166" s="151" t="s">
        <v>8529</v>
      </c>
      <c r="K4166" s="151">
        <f t="shared" si="95"/>
        <v>650000000001136</v>
      </c>
      <c r="L4166" s="151" t="s">
        <v>9021</v>
      </c>
    </row>
    <row r="4167" spans="8:12" x14ac:dyDescent="0.25">
      <c r="H4167" s="151" t="s">
        <v>5416</v>
      </c>
      <c r="I4167" s="151" t="s">
        <v>6962</v>
      </c>
      <c r="J4167" s="151" t="s">
        <v>6962</v>
      </c>
      <c r="K4167" s="151">
        <f t="shared" si="95"/>
        <v>0</v>
      </c>
      <c r="L4167" s="151" t="s">
        <v>9021</v>
      </c>
    </row>
    <row r="4168" spans="8:12" x14ac:dyDescent="0.25">
      <c r="H4168" s="151" t="s">
        <v>5416</v>
      </c>
      <c r="I4168" s="151" t="s">
        <v>391</v>
      </c>
      <c r="J4168" s="151" t="s">
        <v>8530</v>
      </c>
      <c r="K4168" s="151">
        <f t="shared" si="95"/>
        <v>650000000001137</v>
      </c>
      <c r="L4168" s="151" t="s">
        <v>9021</v>
      </c>
    </row>
    <row r="4169" spans="8:12" x14ac:dyDescent="0.25">
      <c r="H4169" s="151" t="s">
        <v>5417</v>
      </c>
      <c r="I4169" s="151" t="s">
        <v>6962</v>
      </c>
      <c r="J4169" s="151" t="s">
        <v>6962</v>
      </c>
      <c r="K4169" s="151">
        <f t="shared" si="95"/>
        <v>0</v>
      </c>
      <c r="L4169" s="151" t="s">
        <v>9021</v>
      </c>
    </row>
    <row r="4170" spans="8:12" x14ac:dyDescent="0.25">
      <c r="H4170" s="151" t="s">
        <v>5417</v>
      </c>
      <c r="I4170" s="151" t="s">
        <v>391</v>
      </c>
      <c r="J4170" s="151" t="s">
        <v>8531</v>
      </c>
      <c r="K4170" s="151">
        <f t="shared" si="95"/>
        <v>650000000001138</v>
      </c>
      <c r="L4170" s="151" t="s">
        <v>9021</v>
      </c>
    </row>
    <row r="4171" spans="8:12" x14ac:dyDescent="0.25">
      <c r="H4171" s="151" t="s">
        <v>5418</v>
      </c>
      <c r="I4171" s="151" t="s">
        <v>6962</v>
      </c>
      <c r="J4171" s="151" t="s">
        <v>6962</v>
      </c>
      <c r="K4171" s="151">
        <f t="shared" si="95"/>
        <v>0</v>
      </c>
      <c r="L4171" s="151" t="s">
        <v>9021</v>
      </c>
    </row>
    <row r="4172" spans="8:12" x14ac:dyDescent="0.25">
      <c r="H4172" s="151" t="s">
        <v>5418</v>
      </c>
      <c r="I4172" s="151" t="s">
        <v>391</v>
      </c>
      <c r="J4172" s="151" t="s">
        <v>8532</v>
      </c>
      <c r="K4172" s="151">
        <f t="shared" si="95"/>
        <v>650000000001139</v>
      </c>
      <c r="L4172" s="151" t="s">
        <v>9021</v>
      </c>
    </row>
    <row r="4173" spans="8:12" x14ac:dyDescent="0.25">
      <c r="H4173" s="151" t="s">
        <v>5419</v>
      </c>
      <c r="I4173" s="151" t="s">
        <v>6962</v>
      </c>
      <c r="J4173" s="151" t="s">
        <v>6962</v>
      </c>
      <c r="K4173" s="151">
        <f t="shared" si="95"/>
        <v>0</v>
      </c>
      <c r="L4173" s="151" t="s">
        <v>9021</v>
      </c>
    </row>
    <row r="4174" spans="8:12" x14ac:dyDescent="0.25">
      <c r="H4174" s="151" t="s">
        <v>5419</v>
      </c>
      <c r="I4174" s="151" t="s">
        <v>391</v>
      </c>
      <c r="J4174" s="151" t="s">
        <v>8533</v>
      </c>
      <c r="K4174" s="151">
        <f t="shared" si="95"/>
        <v>650000000001140</v>
      </c>
      <c r="L4174" s="151" t="s">
        <v>9021</v>
      </c>
    </row>
    <row r="4175" spans="8:12" x14ac:dyDescent="0.25">
      <c r="H4175" s="151" t="s">
        <v>5420</v>
      </c>
      <c r="I4175" s="151" t="s">
        <v>6962</v>
      </c>
      <c r="J4175" s="151" t="s">
        <v>6962</v>
      </c>
      <c r="K4175" s="151">
        <f t="shared" si="95"/>
        <v>0</v>
      </c>
      <c r="L4175" s="151" t="s">
        <v>9021</v>
      </c>
    </row>
    <row r="4176" spans="8:12" x14ac:dyDescent="0.25">
      <c r="H4176" s="151" t="s">
        <v>5420</v>
      </c>
      <c r="I4176" s="151" t="s">
        <v>391</v>
      </c>
      <c r="J4176" s="151" t="s">
        <v>8534</v>
      </c>
      <c r="K4176" s="151">
        <f t="shared" si="95"/>
        <v>650000000001141</v>
      </c>
      <c r="L4176" s="151" t="s">
        <v>9021</v>
      </c>
    </row>
    <row r="4177" spans="8:12" x14ac:dyDescent="0.25">
      <c r="H4177" s="151" t="s">
        <v>5421</v>
      </c>
      <c r="I4177" s="151" t="s">
        <v>6962</v>
      </c>
      <c r="J4177" s="151" t="s">
        <v>6962</v>
      </c>
      <c r="K4177" s="151">
        <f t="shared" si="95"/>
        <v>0</v>
      </c>
      <c r="L4177" s="151" t="s">
        <v>9021</v>
      </c>
    </row>
    <row r="4178" spans="8:12" x14ac:dyDescent="0.25">
      <c r="H4178" s="151" t="s">
        <v>5421</v>
      </c>
      <c r="I4178" s="151" t="s">
        <v>391</v>
      </c>
      <c r="J4178" s="151" t="s">
        <v>8535</v>
      </c>
      <c r="K4178" s="151">
        <f t="shared" si="95"/>
        <v>650000000002005</v>
      </c>
      <c r="L4178" s="151" t="s">
        <v>9021</v>
      </c>
    </row>
    <row r="4179" spans="8:12" x14ac:dyDescent="0.25">
      <c r="H4179" s="151" t="s">
        <v>5422</v>
      </c>
      <c r="I4179" s="151" t="s">
        <v>6962</v>
      </c>
      <c r="J4179" s="151" t="s">
        <v>6962</v>
      </c>
      <c r="K4179" s="151">
        <f t="shared" si="95"/>
        <v>0</v>
      </c>
      <c r="L4179" s="151" t="s">
        <v>9021</v>
      </c>
    </row>
    <row r="4180" spans="8:12" x14ac:dyDescent="0.25">
      <c r="H4180" s="151" t="s">
        <v>5422</v>
      </c>
      <c r="I4180" s="151" t="s">
        <v>391</v>
      </c>
      <c r="J4180" s="151" t="s">
        <v>8536</v>
      </c>
      <c r="K4180" s="151">
        <f t="shared" si="95"/>
        <v>650000000001142</v>
      </c>
      <c r="L4180" s="151" t="s">
        <v>9021</v>
      </c>
    </row>
    <row r="4181" spans="8:12" x14ac:dyDescent="0.25">
      <c r="H4181" s="151" t="s">
        <v>5423</v>
      </c>
      <c r="I4181" s="151" t="s">
        <v>6962</v>
      </c>
      <c r="J4181" s="151" t="s">
        <v>6962</v>
      </c>
      <c r="K4181" s="151">
        <f t="shared" si="95"/>
        <v>0</v>
      </c>
      <c r="L4181" s="151" t="s">
        <v>9021</v>
      </c>
    </row>
    <row r="4182" spans="8:12" x14ac:dyDescent="0.25">
      <c r="H4182" s="151" t="s">
        <v>5423</v>
      </c>
      <c r="I4182" s="151" t="s">
        <v>391</v>
      </c>
      <c r="J4182" s="151" t="s">
        <v>8537</v>
      </c>
      <c r="K4182" s="151">
        <f t="shared" si="95"/>
        <v>650000000001143</v>
      </c>
      <c r="L4182" s="151" t="s">
        <v>9021</v>
      </c>
    </row>
    <row r="4183" spans="8:12" x14ac:dyDescent="0.25">
      <c r="H4183" s="151" t="s">
        <v>6926</v>
      </c>
      <c r="I4183" s="151" t="s">
        <v>6962</v>
      </c>
      <c r="J4183" s="151" t="s">
        <v>6962</v>
      </c>
      <c r="K4183" s="151">
        <f t="shared" si="95"/>
        <v>0</v>
      </c>
      <c r="L4183" s="151" t="s">
        <v>9021</v>
      </c>
    </row>
    <row r="4184" spans="8:12" x14ac:dyDescent="0.25">
      <c r="H4184" s="151" t="s">
        <v>5424</v>
      </c>
      <c r="I4184" s="151" t="s">
        <v>6962</v>
      </c>
      <c r="J4184" s="151" t="s">
        <v>6962</v>
      </c>
      <c r="K4184" s="151">
        <f t="shared" si="95"/>
        <v>0</v>
      </c>
      <c r="L4184" s="151" t="s">
        <v>9021</v>
      </c>
    </row>
    <row r="4185" spans="8:12" x14ac:dyDescent="0.25">
      <c r="H4185" s="151" t="s">
        <v>5424</v>
      </c>
      <c r="I4185" s="151" t="s">
        <v>391</v>
      </c>
      <c r="J4185" s="151" t="s">
        <v>8538</v>
      </c>
      <c r="K4185" s="151">
        <f t="shared" si="95"/>
        <v>650000000001144</v>
      </c>
      <c r="L4185" s="151" t="s">
        <v>9021</v>
      </c>
    </row>
    <row r="4186" spans="8:12" x14ac:dyDescent="0.25">
      <c r="H4186" s="151" t="s">
        <v>5425</v>
      </c>
      <c r="I4186" s="151" t="s">
        <v>6962</v>
      </c>
      <c r="J4186" s="151" t="s">
        <v>6962</v>
      </c>
      <c r="K4186" s="151">
        <f t="shared" si="95"/>
        <v>0</v>
      </c>
      <c r="L4186" s="151" t="s">
        <v>9021</v>
      </c>
    </row>
    <row r="4187" spans="8:12" x14ac:dyDescent="0.25">
      <c r="H4187" s="151" t="s">
        <v>5425</v>
      </c>
      <c r="I4187" s="151" t="s">
        <v>391</v>
      </c>
      <c r="J4187" s="151" t="s">
        <v>8539</v>
      </c>
      <c r="K4187" s="151">
        <f t="shared" si="95"/>
        <v>650000000001145</v>
      </c>
      <c r="L4187" s="151" t="s">
        <v>9021</v>
      </c>
    </row>
    <row r="4188" spans="8:12" x14ac:dyDescent="0.25">
      <c r="H4188" s="151" t="s">
        <v>5426</v>
      </c>
      <c r="I4188" s="151" t="s">
        <v>6962</v>
      </c>
      <c r="J4188" s="151" t="s">
        <v>6962</v>
      </c>
      <c r="K4188" s="151">
        <f t="shared" si="95"/>
        <v>0</v>
      </c>
      <c r="L4188" s="151" t="s">
        <v>9021</v>
      </c>
    </row>
    <row r="4189" spans="8:12" x14ac:dyDescent="0.25">
      <c r="H4189" s="151" t="s">
        <v>5426</v>
      </c>
      <c r="I4189" s="151" t="s">
        <v>391</v>
      </c>
      <c r="J4189" s="151" t="s">
        <v>8540</v>
      </c>
      <c r="K4189" s="151">
        <f t="shared" si="95"/>
        <v>650000000001146</v>
      </c>
      <c r="L4189" s="151" t="s">
        <v>9021</v>
      </c>
    </row>
    <row r="4190" spans="8:12" x14ac:dyDescent="0.25">
      <c r="H4190" s="151" t="s">
        <v>5427</v>
      </c>
      <c r="I4190" s="151" t="s">
        <v>6962</v>
      </c>
      <c r="J4190" s="151" t="s">
        <v>6962</v>
      </c>
      <c r="K4190" s="151">
        <f t="shared" si="95"/>
        <v>0</v>
      </c>
      <c r="L4190" s="151" t="s">
        <v>9021</v>
      </c>
    </row>
    <row r="4191" spans="8:12" x14ac:dyDescent="0.25">
      <c r="H4191" s="151" t="s">
        <v>5427</v>
      </c>
      <c r="I4191" s="151" t="s">
        <v>391</v>
      </c>
      <c r="J4191" s="151" t="s">
        <v>8541</v>
      </c>
      <c r="K4191" s="151">
        <f t="shared" si="95"/>
        <v>650000000001147</v>
      </c>
      <c r="L4191" s="151" t="s">
        <v>9021</v>
      </c>
    </row>
    <row r="4192" spans="8:12" x14ac:dyDescent="0.25">
      <c r="H4192" s="151" t="s">
        <v>5428</v>
      </c>
      <c r="I4192" s="151" t="s">
        <v>6962</v>
      </c>
      <c r="J4192" s="151" t="s">
        <v>6962</v>
      </c>
      <c r="K4192" s="151">
        <f t="shared" si="95"/>
        <v>0</v>
      </c>
      <c r="L4192" s="151" t="s">
        <v>9021</v>
      </c>
    </row>
    <row r="4193" spans="8:12" x14ac:dyDescent="0.25">
      <c r="H4193" s="151" t="s">
        <v>5428</v>
      </c>
      <c r="I4193" s="151" t="s">
        <v>391</v>
      </c>
      <c r="J4193" s="151" t="s">
        <v>8542</v>
      </c>
      <c r="K4193" s="151">
        <f t="shared" si="95"/>
        <v>650000000001148</v>
      </c>
      <c r="L4193" s="151" t="s">
        <v>9021</v>
      </c>
    </row>
    <row r="4194" spans="8:12" x14ac:dyDescent="0.25">
      <c r="H4194" s="151" t="s">
        <v>5429</v>
      </c>
      <c r="I4194" s="151" t="s">
        <v>6962</v>
      </c>
      <c r="J4194" s="151" t="s">
        <v>6962</v>
      </c>
      <c r="K4194" s="151">
        <f t="shared" si="95"/>
        <v>0</v>
      </c>
      <c r="L4194" s="151" t="s">
        <v>9021</v>
      </c>
    </row>
    <row r="4195" spans="8:12" x14ac:dyDescent="0.25">
      <c r="H4195" s="151" t="s">
        <v>5429</v>
      </c>
      <c r="I4195" s="151" t="s">
        <v>391</v>
      </c>
      <c r="J4195" s="151" t="s">
        <v>8543</v>
      </c>
      <c r="K4195" s="151">
        <f t="shared" si="95"/>
        <v>650000000001149</v>
      </c>
      <c r="L4195" s="151" t="s">
        <v>9021</v>
      </c>
    </row>
    <row r="4196" spans="8:12" x14ac:dyDescent="0.25">
      <c r="H4196" s="151" t="s">
        <v>5430</v>
      </c>
      <c r="I4196" s="151" t="s">
        <v>6962</v>
      </c>
      <c r="J4196" s="151" t="s">
        <v>6962</v>
      </c>
      <c r="K4196" s="151">
        <f t="shared" si="95"/>
        <v>0</v>
      </c>
      <c r="L4196" s="151" t="s">
        <v>9021</v>
      </c>
    </row>
    <row r="4197" spans="8:12" x14ac:dyDescent="0.25">
      <c r="H4197" s="151" t="s">
        <v>5430</v>
      </c>
      <c r="I4197" s="151" t="s">
        <v>391</v>
      </c>
      <c r="J4197" s="151" t="s">
        <v>8544</v>
      </c>
      <c r="K4197" s="151">
        <f t="shared" si="95"/>
        <v>650000000001150</v>
      </c>
      <c r="L4197" s="151" t="s">
        <v>9021</v>
      </c>
    </row>
    <row r="4198" spans="8:12" x14ac:dyDescent="0.25">
      <c r="H4198" s="151" t="s">
        <v>5431</v>
      </c>
      <c r="I4198" s="151" t="s">
        <v>6962</v>
      </c>
      <c r="J4198" s="151" t="s">
        <v>6962</v>
      </c>
      <c r="K4198" s="151">
        <f t="shared" si="95"/>
        <v>0</v>
      </c>
      <c r="L4198" s="151" t="s">
        <v>9021</v>
      </c>
    </row>
    <row r="4199" spans="8:12" x14ac:dyDescent="0.25">
      <c r="H4199" s="151" t="s">
        <v>5431</v>
      </c>
      <c r="I4199" s="151" t="s">
        <v>391</v>
      </c>
      <c r="J4199" s="151" t="s">
        <v>8545</v>
      </c>
      <c r="K4199" s="151">
        <f t="shared" si="95"/>
        <v>650000000002006</v>
      </c>
      <c r="L4199" s="151" t="s">
        <v>9021</v>
      </c>
    </row>
    <row r="4200" spans="8:12" x14ac:dyDescent="0.25">
      <c r="H4200" s="151" t="s">
        <v>5432</v>
      </c>
      <c r="I4200" s="151" t="s">
        <v>6962</v>
      </c>
      <c r="J4200" s="151" t="s">
        <v>6962</v>
      </c>
      <c r="K4200" s="151">
        <f t="shared" si="95"/>
        <v>0</v>
      </c>
      <c r="L4200" s="151" t="s">
        <v>9021</v>
      </c>
    </row>
    <row r="4201" spans="8:12" x14ac:dyDescent="0.25">
      <c r="H4201" s="151" t="s">
        <v>5432</v>
      </c>
      <c r="I4201" s="151" t="s">
        <v>391</v>
      </c>
      <c r="J4201" s="151" t="s">
        <v>8546</v>
      </c>
      <c r="K4201" s="151">
        <f t="shared" si="95"/>
        <v>650000000002007</v>
      </c>
      <c r="L4201" s="151" t="s">
        <v>9021</v>
      </c>
    </row>
    <row r="4202" spans="8:12" x14ac:dyDescent="0.25">
      <c r="H4202" s="151" t="s">
        <v>5433</v>
      </c>
      <c r="I4202" s="151" t="s">
        <v>6962</v>
      </c>
      <c r="J4202" s="151" t="s">
        <v>6962</v>
      </c>
      <c r="K4202" s="151">
        <f t="shared" si="95"/>
        <v>0</v>
      </c>
      <c r="L4202" s="151" t="s">
        <v>9021</v>
      </c>
    </row>
    <row r="4203" spans="8:12" x14ac:dyDescent="0.25">
      <c r="H4203" s="151" t="s">
        <v>5433</v>
      </c>
      <c r="I4203" s="151" t="s">
        <v>391</v>
      </c>
      <c r="J4203" s="151" t="s">
        <v>8547</v>
      </c>
      <c r="K4203" s="151">
        <f t="shared" si="95"/>
        <v>650000000001151</v>
      </c>
      <c r="L4203" s="151" t="s">
        <v>9021</v>
      </c>
    </row>
    <row r="4204" spans="8:12" x14ac:dyDescent="0.25">
      <c r="H4204" s="151" t="s">
        <v>5434</v>
      </c>
      <c r="I4204" s="151" t="s">
        <v>6962</v>
      </c>
      <c r="J4204" s="151" t="s">
        <v>6962</v>
      </c>
      <c r="K4204" s="151">
        <f t="shared" si="95"/>
        <v>0</v>
      </c>
      <c r="L4204" s="151" t="s">
        <v>9021</v>
      </c>
    </row>
    <row r="4205" spans="8:12" x14ac:dyDescent="0.25">
      <c r="H4205" s="151" t="s">
        <v>5434</v>
      </c>
      <c r="I4205" s="151" t="s">
        <v>391</v>
      </c>
      <c r="J4205" s="151" t="s">
        <v>8548</v>
      </c>
      <c r="K4205" s="151">
        <f t="shared" si="95"/>
        <v>650000000001152</v>
      </c>
      <c r="L4205" s="151" t="s">
        <v>9021</v>
      </c>
    </row>
    <row r="4206" spans="8:12" x14ac:dyDescent="0.25">
      <c r="H4206" s="151" t="s">
        <v>5435</v>
      </c>
      <c r="I4206" s="151" t="s">
        <v>6962</v>
      </c>
      <c r="J4206" s="151" t="s">
        <v>6962</v>
      </c>
      <c r="K4206" s="151">
        <f t="shared" si="95"/>
        <v>0</v>
      </c>
      <c r="L4206" s="151" t="s">
        <v>9021</v>
      </c>
    </row>
    <row r="4207" spans="8:12" x14ac:dyDescent="0.25">
      <c r="H4207" s="151" t="s">
        <v>5435</v>
      </c>
      <c r="I4207" s="151" t="s">
        <v>391</v>
      </c>
      <c r="J4207" s="151" t="s">
        <v>8549</v>
      </c>
      <c r="K4207" s="151">
        <f t="shared" si="95"/>
        <v>650000000002008</v>
      </c>
      <c r="L4207" s="151" t="s">
        <v>9021</v>
      </c>
    </row>
    <row r="4208" spans="8:12" x14ac:dyDescent="0.25">
      <c r="H4208" s="151" t="s">
        <v>5436</v>
      </c>
      <c r="I4208" s="151" t="s">
        <v>6962</v>
      </c>
      <c r="J4208" s="151" t="s">
        <v>6962</v>
      </c>
      <c r="K4208" s="151">
        <f t="shared" si="95"/>
        <v>0</v>
      </c>
      <c r="L4208" s="151" t="s">
        <v>9021</v>
      </c>
    </row>
    <row r="4209" spans="8:12" x14ac:dyDescent="0.25">
      <c r="H4209" s="151" t="s">
        <v>5436</v>
      </c>
      <c r="I4209" s="151" t="s">
        <v>391</v>
      </c>
      <c r="J4209" s="151" t="s">
        <v>8550</v>
      </c>
      <c r="K4209" s="151">
        <f t="shared" si="95"/>
        <v>650000000001153</v>
      </c>
      <c r="L4209" s="151" t="s">
        <v>9021</v>
      </c>
    </row>
    <row r="4210" spans="8:12" x14ac:dyDescent="0.25">
      <c r="H4210" s="151" t="s">
        <v>5437</v>
      </c>
      <c r="I4210" s="151" t="s">
        <v>6962</v>
      </c>
      <c r="J4210" s="151" t="s">
        <v>6962</v>
      </c>
      <c r="K4210" s="151">
        <f t="shared" si="95"/>
        <v>0</v>
      </c>
      <c r="L4210" s="151" t="s">
        <v>9021</v>
      </c>
    </row>
    <row r="4211" spans="8:12" x14ac:dyDescent="0.25">
      <c r="H4211" s="151" t="s">
        <v>5437</v>
      </c>
      <c r="I4211" s="151" t="s">
        <v>391</v>
      </c>
      <c r="J4211" s="151" t="s">
        <v>8551</v>
      </c>
      <c r="K4211" s="151">
        <f t="shared" si="95"/>
        <v>650000000001154</v>
      </c>
      <c r="L4211" s="151" t="s">
        <v>9021</v>
      </c>
    </row>
    <row r="4212" spans="8:12" x14ac:dyDescent="0.25">
      <c r="H4212" s="151" t="s">
        <v>5438</v>
      </c>
      <c r="I4212" s="151" t="s">
        <v>6962</v>
      </c>
      <c r="J4212" s="151" t="s">
        <v>6962</v>
      </c>
      <c r="K4212" s="151">
        <f t="shared" si="95"/>
        <v>0</v>
      </c>
      <c r="L4212" s="151" t="s">
        <v>9021</v>
      </c>
    </row>
    <row r="4213" spans="8:12" x14ac:dyDescent="0.25">
      <c r="H4213" s="151" t="s">
        <v>5438</v>
      </c>
      <c r="I4213" s="151" t="s">
        <v>391</v>
      </c>
      <c r="J4213" s="151" t="s">
        <v>8552</v>
      </c>
      <c r="K4213" s="151">
        <f t="shared" si="95"/>
        <v>650000000001155</v>
      </c>
      <c r="L4213" s="151" t="s">
        <v>9021</v>
      </c>
    </row>
    <row r="4214" spans="8:12" x14ac:dyDescent="0.25">
      <c r="H4214" s="151" t="s">
        <v>5439</v>
      </c>
      <c r="I4214" s="151" t="s">
        <v>6962</v>
      </c>
      <c r="J4214" s="151" t="s">
        <v>6962</v>
      </c>
      <c r="K4214" s="151">
        <f t="shared" si="95"/>
        <v>0</v>
      </c>
      <c r="L4214" s="151" t="s">
        <v>9021</v>
      </c>
    </row>
    <row r="4215" spans="8:12" x14ac:dyDescent="0.25">
      <c r="H4215" s="151" t="s">
        <v>5439</v>
      </c>
      <c r="I4215" s="151" t="s">
        <v>391</v>
      </c>
      <c r="J4215" s="151" t="s">
        <v>8553</v>
      </c>
      <c r="K4215" s="151">
        <f t="shared" si="95"/>
        <v>650000000001156</v>
      </c>
      <c r="L4215" s="151" t="s">
        <v>9021</v>
      </c>
    </row>
    <row r="4216" spans="8:12" x14ac:dyDescent="0.25">
      <c r="H4216" s="151" t="s">
        <v>5440</v>
      </c>
      <c r="I4216" s="151" t="s">
        <v>6962</v>
      </c>
      <c r="J4216" s="151" t="s">
        <v>6962</v>
      </c>
      <c r="K4216" s="151">
        <f t="shared" si="95"/>
        <v>0</v>
      </c>
      <c r="L4216" s="151" t="s">
        <v>9021</v>
      </c>
    </row>
    <row r="4217" spans="8:12" x14ac:dyDescent="0.25">
      <c r="H4217" s="151" t="s">
        <v>5440</v>
      </c>
      <c r="I4217" s="151" t="s">
        <v>391</v>
      </c>
      <c r="J4217" s="151" t="s">
        <v>8554</v>
      </c>
      <c r="K4217" s="151">
        <f t="shared" si="95"/>
        <v>650000000001157</v>
      </c>
      <c r="L4217" s="151" t="s">
        <v>9021</v>
      </c>
    </row>
    <row r="4218" spans="8:12" x14ac:dyDescent="0.25">
      <c r="H4218" s="151" t="s">
        <v>5441</v>
      </c>
      <c r="I4218" s="151" t="s">
        <v>6962</v>
      </c>
      <c r="J4218" s="151" t="s">
        <v>6962</v>
      </c>
      <c r="K4218" s="151">
        <f t="shared" si="95"/>
        <v>0</v>
      </c>
      <c r="L4218" s="151" t="s">
        <v>9021</v>
      </c>
    </row>
    <row r="4219" spans="8:12" x14ac:dyDescent="0.25">
      <c r="H4219" s="151" t="s">
        <v>5441</v>
      </c>
      <c r="I4219" s="151" t="s">
        <v>391</v>
      </c>
      <c r="J4219" s="151" t="s">
        <v>8555</v>
      </c>
      <c r="K4219" s="151">
        <f t="shared" si="95"/>
        <v>650000000001158</v>
      </c>
      <c r="L4219" s="151" t="s">
        <v>9021</v>
      </c>
    </row>
    <row r="4220" spans="8:12" x14ac:dyDescent="0.25">
      <c r="H4220" s="151" t="s">
        <v>6927</v>
      </c>
      <c r="I4220" s="151" t="s">
        <v>6962</v>
      </c>
      <c r="J4220" s="151" t="s">
        <v>6962</v>
      </c>
      <c r="K4220" s="151">
        <f t="shared" si="95"/>
        <v>0</v>
      </c>
      <c r="L4220" s="151" t="s">
        <v>9021</v>
      </c>
    </row>
    <row r="4221" spans="8:12" x14ac:dyDescent="0.25">
      <c r="H4221" s="151" t="s">
        <v>5442</v>
      </c>
      <c r="I4221" s="151" t="s">
        <v>6962</v>
      </c>
      <c r="J4221" s="151" t="s">
        <v>6962</v>
      </c>
      <c r="K4221" s="151">
        <f t="shared" si="95"/>
        <v>0</v>
      </c>
      <c r="L4221" s="151" t="s">
        <v>9021</v>
      </c>
    </row>
    <row r="4222" spans="8:12" x14ac:dyDescent="0.25">
      <c r="H4222" s="151" t="s">
        <v>5442</v>
      </c>
      <c r="I4222" s="151" t="s">
        <v>391</v>
      </c>
      <c r="J4222" s="151" t="s">
        <v>8556</v>
      </c>
      <c r="K4222" s="151">
        <f t="shared" si="95"/>
        <v>650000000001159</v>
      </c>
      <c r="L4222" s="151" t="s">
        <v>9021</v>
      </c>
    </row>
    <row r="4223" spans="8:12" x14ac:dyDescent="0.25">
      <c r="H4223" s="151" t="s">
        <v>5443</v>
      </c>
      <c r="I4223" s="151" t="s">
        <v>6962</v>
      </c>
      <c r="J4223" s="151" t="s">
        <v>6962</v>
      </c>
      <c r="K4223" s="151">
        <f t="shared" si="95"/>
        <v>0</v>
      </c>
      <c r="L4223" s="151" t="s">
        <v>9021</v>
      </c>
    </row>
    <row r="4224" spans="8:12" x14ac:dyDescent="0.25">
      <c r="H4224" s="151" t="s">
        <v>5443</v>
      </c>
      <c r="I4224" s="151" t="s">
        <v>391</v>
      </c>
      <c r="J4224" s="151" t="s">
        <v>8557</v>
      </c>
      <c r="K4224" s="151">
        <f t="shared" si="95"/>
        <v>650000000002009</v>
      </c>
      <c r="L4224" s="151" t="s">
        <v>9021</v>
      </c>
    </row>
    <row r="4225" spans="8:12" x14ac:dyDescent="0.25">
      <c r="H4225" s="151" t="s">
        <v>5444</v>
      </c>
      <c r="I4225" s="151" t="s">
        <v>6962</v>
      </c>
      <c r="J4225" s="151" t="s">
        <v>6962</v>
      </c>
      <c r="K4225" s="151">
        <f t="shared" si="95"/>
        <v>0</v>
      </c>
      <c r="L4225" s="151" t="s">
        <v>9021</v>
      </c>
    </row>
    <row r="4226" spans="8:12" x14ac:dyDescent="0.25">
      <c r="H4226" s="151" t="s">
        <v>5444</v>
      </c>
      <c r="I4226" s="151" t="s">
        <v>391</v>
      </c>
      <c r="J4226" s="151" t="s">
        <v>8558</v>
      </c>
      <c r="K4226" s="151">
        <f t="shared" si="95"/>
        <v>650000000001160</v>
      </c>
      <c r="L4226" s="151" t="s">
        <v>9021</v>
      </c>
    </row>
    <row r="4227" spans="8:12" x14ac:dyDescent="0.25">
      <c r="H4227" s="151" t="s">
        <v>6928</v>
      </c>
      <c r="I4227" s="151" t="s">
        <v>6962</v>
      </c>
      <c r="J4227" s="151" t="s">
        <v>6962</v>
      </c>
      <c r="K4227" s="151">
        <f t="shared" ref="K4227:K4290" si="96">+IFERROR(J4227*1,0)</f>
        <v>0</v>
      </c>
      <c r="L4227" s="151" t="s">
        <v>9021</v>
      </c>
    </row>
    <row r="4228" spans="8:12" x14ac:dyDescent="0.25">
      <c r="H4228" s="151" t="s">
        <v>5445</v>
      </c>
      <c r="I4228" s="151" t="s">
        <v>6962</v>
      </c>
      <c r="J4228" s="151" t="s">
        <v>6962</v>
      </c>
      <c r="K4228" s="151">
        <f t="shared" si="96"/>
        <v>0</v>
      </c>
      <c r="L4228" s="151" t="s">
        <v>9021</v>
      </c>
    </row>
    <row r="4229" spans="8:12" x14ac:dyDescent="0.25">
      <c r="H4229" s="151" t="s">
        <v>5445</v>
      </c>
      <c r="I4229" s="151" t="s">
        <v>391</v>
      </c>
      <c r="J4229" s="151" t="s">
        <v>8559</v>
      </c>
      <c r="K4229" s="151">
        <f t="shared" si="96"/>
        <v>650000000002010</v>
      </c>
      <c r="L4229" s="151" t="s">
        <v>9021</v>
      </c>
    </row>
    <row r="4230" spans="8:12" x14ac:dyDescent="0.25">
      <c r="H4230" s="151" t="s">
        <v>5446</v>
      </c>
      <c r="I4230" s="151" t="s">
        <v>6962</v>
      </c>
      <c r="J4230" s="151" t="s">
        <v>6962</v>
      </c>
      <c r="K4230" s="151">
        <f t="shared" si="96"/>
        <v>0</v>
      </c>
      <c r="L4230" s="151" t="s">
        <v>9021</v>
      </c>
    </row>
    <row r="4231" spans="8:12" x14ac:dyDescent="0.25">
      <c r="H4231" s="151" t="s">
        <v>5446</v>
      </c>
      <c r="I4231" s="151" t="s">
        <v>391</v>
      </c>
      <c r="J4231" s="151" t="s">
        <v>8560</v>
      </c>
      <c r="K4231" s="151">
        <f t="shared" si="96"/>
        <v>650000000001161</v>
      </c>
      <c r="L4231" s="151" t="s">
        <v>9021</v>
      </c>
    </row>
    <row r="4232" spans="8:12" x14ac:dyDescent="0.25">
      <c r="H4232" s="151" t="s">
        <v>5447</v>
      </c>
      <c r="I4232" s="151" t="s">
        <v>6962</v>
      </c>
      <c r="J4232" s="151" t="s">
        <v>6962</v>
      </c>
      <c r="K4232" s="151">
        <f t="shared" si="96"/>
        <v>0</v>
      </c>
      <c r="L4232" s="151" t="s">
        <v>9021</v>
      </c>
    </row>
    <row r="4233" spans="8:12" x14ac:dyDescent="0.25">
      <c r="H4233" s="151" t="s">
        <v>5447</v>
      </c>
      <c r="I4233" s="151" t="s">
        <v>391</v>
      </c>
      <c r="J4233" s="151" t="s">
        <v>8561</v>
      </c>
      <c r="K4233" s="151">
        <f t="shared" si="96"/>
        <v>650000000001162</v>
      </c>
      <c r="L4233" s="151" t="s">
        <v>9021</v>
      </c>
    </row>
    <row r="4234" spans="8:12" x14ac:dyDescent="0.25">
      <c r="H4234" s="151" t="s">
        <v>5448</v>
      </c>
      <c r="I4234" s="151" t="s">
        <v>6962</v>
      </c>
      <c r="J4234" s="151" t="s">
        <v>6962</v>
      </c>
      <c r="K4234" s="151">
        <f t="shared" si="96"/>
        <v>0</v>
      </c>
      <c r="L4234" s="151" t="s">
        <v>9021</v>
      </c>
    </row>
    <row r="4235" spans="8:12" x14ac:dyDescent="0.25">
      <c r="H4235" s="151" t="s">
        <v>5448</v>
      </c>
      <c r="I4235" s="151" t="s">
        <v>391</v>
      </c>
      <c r="J4235" s="151" t="s">
        <v>8562</v>
      </c>
      <c r="K4235" s="151">
        <f t="shared" si="96"/>
        <v>650000000002011</v>
      </c>
      <c r="L4235" s="151" t="s">
        <v>9021</v>
      </c>
    </row>
    <row r="4236" spans="8:12" x14ac:dyDescent="0.25">
      <c r="H4236" s="151" t="s">
        <v>5449</v>
      </c>
      <c r="I4236" s="151" t="s">
        <v>6962</v>
      </c>
      <c r="J4236" s="151" t="s">
        <v>6962</v>
      </c>
      <c r="K4236" s="151">
        <f t="shared" si="96"/>
        <v>0</v>
      </c>
      <c r="L4236" s="151" t="s">
        <v>9021</v>
      </c>
    </row>
    <row r="4237" spans="8:12" x14ac:dyDescent="0.25">
      <c r="H4237" s="151" t="s">
        <v>5449</v>
      </c>
      <c r="I4237" s="151" t="s">
        <v>391</v>
      </c>
      <c r="J4237" s="151" t="s">
        <v>8563</v>
      </c>
      <c r="K4237" s="151">
        <f t="shared" si="96"/>
        <v>650000000001163</v>
      </c>
      <c r="L4237" s="151" t="s">
        <v>9021</v>
      </c>
    </row>
    <row r="4238" spans="8:12" x14ac:dyDescent="0.25">
      <c r="H4238" s="151" t="s">
        <v>5450</v>
      </c>
      <c r="I4238" s="151" t="s">
        <v>6962</v>
      </c>
      <c r="J4238" s="151" t="s">
        <v>6962</v>
      </c>
      <c r="K4238" s="151">
        <f t="shared" si="96"/>
        <v>0</v>
      </c>
      <c r="L4238" s="151" t="s">
        <v>9021</v>
      </c>
    </row>
    <row r="4239" spans="8:12" x14ac:dyDescent="0.25">
      <c r="H4239" s="151" t="s">
        <v>5450</v>
      </c>
      <c r="I4239" s="151" t="s">
        <v>391</v>
      </c>
      <c r="J4239" s="151" t="s">
        <v>8564</v>
      </c>
      <c r="K4239" s="151">
        <f t="shared" si="96"/>
        <v>650000000001164</v>
      </c>
      <c r="L4239" s="151" t="s">
        <v>9021</v>
      </c>
    </row>
    <row r="4240" spans="8:12" x14ac:dyDescent="0.25">
      <c r="H4240" s="151" t="s">
        <v>5451</v>
      </c>
      <c r="I4240" s="151" t="s">
        <v>6962</v>
      </c>
      <c r="J4240" s="151" t="s">
        <v>6962</v>
      </c>
      <c r="K4240" s="151">
        <f t="shared" si="96"/>
        <v>0</v>
      </c>
      <c r="L4240" s="151" t="s">
        <v>9021</v>
      </c>
    </row>
    <row r="4241" spans="8:12" x14ac:dyDescent="0.25">
      <c r="H4241" s="151" t="s">
        <v>5451</v>
      </c>
      <c r="I4241" s="151" t="s">
        <v>391</v>
      </c>
      <c r="J4241" s="151" t="s">
        <v>8565</v>
      </c>
      <c r="K4241" s="151">
        <f t="shared" si="96"/>
        <v>650000000001165</v>
      </c>
      <c r="L4241" s="151" t="s">
        <v>9021</v>
      </c>
    </row>
    <row r="4242" spans="8:12" x14ac:dyDescent="0.25">
      <c r="H4242" s="151" t="s">
        <v>5452</v>
      </c>
      <c r="I4242" s="151" t="s">
        <v>6962</v>
      </c>
      <c r="J4242" s="151" t="s">
        <v>6962</v>
      </c>
      <c r="K4242" s="151">
        <f t="shared" si="96"/>
        <v>0</v>
      </c>
      <c r="L4242" s="151" t="s">
        <v>9021</v>
      </c>
    </row>
    <row r="4243" spans="8:12" x14ac:dyDescent="0.25">
      <c r="H4243" s="151" t="s">
        <v>5452</v>
      </c>
      <c r="I4243" s="151" t="s">
        <v>391</v>
      </c>
      <c r="J4243" s="151" t="s">
        <v>8566</v>
      </c>
      <c r="K4243" s="151">
        <f t="shared" si="96"/>
        <v>650000000001166</v>
      </c>
      <c r="L4243" s="151" t="s">
        <v>9021</v>
      </c>
    </row>
    <row r="4244" spans="8:12" x14ac:dyDescent="0.25">
      <c r="H4244" s="151" t="s">
        <v>5453</v>
      </c>
      <c r="I4244" s="151" t="s">
        <v>6962</v>
      </c>
      <c r="J4244" s="151" t="s">
        <v>6962</v>
      </c>
      <c r="K4244" s="151">
        <f t="shared" si="96"/>
        <v>0</v>
      </c>
      <c r="L4244" s="151" t="s">
        <v>9021</v>
      </c>
    </row>
    <row r="4245" spans="8:12" x14ac:dyDescent="0.25">
      <c r="H4245" s="151" t="s">
        <v>5453</v>
      </c>
      <c r="I4245" s="151" t="s">
        <v>391</v>
      </c>
      <c r="J4245" s="151" t="s">
        <v>8567</v>
      </c>
      <c r="K4245" s="151">
        <f t="shared" si="96"/>
        <v>650000000002012</v>
      </c>
      <c r="L4245" s="151" t="s">
        <v>9021</v>
      </c>
    </row>
    <row r="4246" spans="8:12" x14ac:dyDescent="0.25">
      <c r="H4246" s="151" t="s">
        <v>5454</v>
      </c>
      <c r="I4246" s="151" t="s">
        <v>6962</v>
      </c>
      <c r="J4246" s="151" t="s">
        <v>6962</v>
      </c>
      <c r="K4246" s="151">
        <f t="shared" si="96"/>
        <v>0</v>
      </c>
      <c r="L4246" s="151" t="s">
        <v>9021</v>
      </c>
    </row>
    <row r="4247" spans="8:12" x14ac:dyDescent="0.25">
      <c r="H4247" s="151" t="s">
        <v>5454</v>
      </c>
      <c r="I4247" s="151" t="s">
        <v>391</v>
      </c>
      <c r="J4247" s="151" t="s">
        <v>8568</v>
      </c>
      <c r="K4247" s="151">
        <f t="shared" si="96"/>
        <v>650000000001167</v>
      </c>
      <c r="L4247" s="151" t="s">
        <v>9021</v>
      </c>
    </row>
    <row r="4248" spans="8:12" x14ac:dyDescent="0.25">
      <c r="H4248" s="151" t="s">
        <v>5455</v>
      </c>
      <c r="I4248" s="151" t="s">
        <v>6962</v>
      </c>
      <c r="J4248" s="151" t="s">
        <v>6962</v>
      </c>
      <c r="K4248" s="151">
        <f t="shared" si="96"/>
        <v>0</v>
      </c>
      <c r="L4248" s="151" t="s">
        <v>9021</v>
      </c>
    </row>
    <row r="4249" spans="8:12" x14ac:dyDescent="0.25">
      <c r="H4249" s="151" t="s">
        <v>5455</v>
      </c>
      <c r="I4249" s="151" t="s">
        <v>391</v>
      </c>
      <c r="J4249" s="151" t="s">
        <v>8569</v>
      </c>
      <c r="K4249" s="151">
        <f t="shared" si="96"/>
        <v>650000000002013</v>
      </c>
      <c r="L4249" s="151" t="s">
        <v>9021</v>
      </c>
    </row>
    <row r="4250" spans="8:12" x14ac:dyDescent="0.25">
      <c r="H4250" s="151" t="s">
        <v>5456</v>
      </c>
      <c r="I4250" s="151" t="s">
        <v>6962</v>
      </c>
      <c r="J4250" s="151" t="s">
        <v>6962</v>
      </c>
      <c r="K4250" s="151">
        <f t="shared" si="96"/>
        <v>0</v>
      </c>
      <c r="L4250" s="151" t="s">
        <v>9021</v>
      </c>
    </row>
    <row r="4251" spans="8:12" x14ac:dyDescent="0.25">
      <c r="H4251" s="151" t="s">
        <v>5456</v>
      </c>
      <c r="I4251" s="151" t="s">
        <v>391</v>
      </c>
      <c r="J4251" s="151" t="s">
        <v>8570</v>
      </c>
      <c r="K4251" s="151">
        <f t="shared" si="96"/>
        <v>650000000002014</v>
      </c>
      <c r="L4251" s="151" t="s">
        <v>9021</v>
      </c>
    </row>
    <row r="4252" spans="8:12" x14ac:dyDescent="0.25">
      <c r="H4252" s="151" t="s">
        <v>5457</v>
      </c>
      <c r="I4252" s="151" t="s">
        <v>6962</v>
      </c>
      <c r="J4252" s="151" t="s">
        <v>6962</v>
      </c>
      <c r="K4252" s="151">
        <f t="shared" si="96"/>
        <v>0</v>
      </c>
      <c r="L4252" s="151" t="s">
        <v>9021</v>
      </c>
    </row>
    <row r="4253" spans="8:12" x14ac:dyDescent="0.25">
      <c r="H4253" s="151" t="s">
        <v>5457</v>
      </c>
      <c r="I4253" s="151" t="s">
        <v>391</v>
      </c>
      <c r="J4253" s="151" t="s">
        <v>8571</v>
      </c>
      <c r="K4253" s="151">
        <f t="shared" si="96"/>
        <v>650000000001168</v>
      </c>
      <c r="L4253" s="151" t="s">
        <v>9021</v>
      </c>
    </row>
    <row r="4254" spans="8:12" x14ac:dyDescent="0.25">
      <c r="H4254" s="151" t="s">
        <v>5458</v>
      </c>
      <c r="I4254" s="151" t="s">
        <v>6962</v>
      </c>
      <c r="J4254" s="151" t="s">
        <v>6962</v>
      </c>
      <c r="K4254" s="151">
        <f t="shared" si="96"/>
        <v>0</v>
      </c>
      <c r="L4254" s="151" t="s">
        <v>9021</v>
      </c>
    </row>
    <row r="4255" spans="8:12" x14ac:dyDescent="0.25">
      <c r="H4255" s="151" t="s">
        <v>5458</v>
      </c>
      <c r="I4255" s="151" t="s">
        <v>391</v>
      </c>
      <c r="J4255" s="151" t="s">
        <v>8572</v>
      </c>
      <c r="K4255" s="151">
        <f t="shared" si="96"/>
        <v>650000000002015</v>
      </c>
      <c r="L4255" s="151" t="s">
        <v>9021</v>
      </c>
    </row>
    <row r="4256" spans="8:12" x14ac:dyDescent="0.25">
      <c r="H4256" s="151" t="s">
        <v>5459</v>
      </c>
      <c r="I4256" s="151" t="s">
        <v>6962</v>
      </c>
      <c r="J4256" s="151" t="s">
        <v>6962</v>
      </c>
      <c r="K4256" s="151">
        <f t="shared" si="96"/>
        <v>0</v>
      </c>
      <c r="L4256" s="151" t="s">
        <v>9021</v>
      </c>
    </row>
    <row r="4257" spans="8:12" x14ac:dyDescent="0.25">
      <c r="H4257" s="151" t="s">
        <v>5459</v>
      </c>
      <c r="I4257" s="151" t="s">
        <v>391</v>
      </c>
      <c r="J4257" s="151" t="s">
        <v>8573</v>
      </c>
      <c r="K4257" s="151">
        <f t="shared" si="96"/>
        <v>650000000001169</v>
      </c>
      <c r="L4257" s="151" t="s">
        <v>9021</v>
      </c>
    </row>
    <row r="4258" spans="8:12" x14ac:dyDescent="0.25">
      <c r="H4258" s="151" t="s">
        <v>5460</v>
      </c>
      <c r="I4258" s="151" t="s">
        <v>6962</v>
      </c>
      <c r="J4258" s="151" t="s">
        <v>6962</v>
      </c>
      <c r="K4258" s="151">
        <f t="shared" si="96"/>
        <v>0</v>
      </c>
      <c r="L4258" s="151" t="s">
        <v>9021</v>
      </c>
    </row>
    <row r="4259" spans="8:12" x14ac:dyDescent="0.25">
      <c r="H4259" s="151" t="s">
        <v>5460</v>
      </c>
      <c r="I4259" s="151" t="s">
        <v>391</v>
      </c>
      <c r="J4259" s="151" t="s">
        <v>8574</v>
      </c>
      <c r="K4259" s="151">
        <f t="shared" si="96"/>
        <v>650000000001170</v>
      </c>
      <c r="L4259" s="151" t="s">
        <v>9021</v>
      </c>
    </row>
    <row r="4260" spans="8:12" x14ac:dyDescent="0.25">
      <c r="H4260" s="151" t="s">
        <v>5461</v>
      </c>
      <c r="I4260" s="151" t="s">
        <v>6962</v>
      </c>
      <c r="J4260" s="151" t="s">
        <v>6962</v>
      </c>
      <c r="K4260" s="151">
        <f t="shared" si="96"/>
        <v>0</v>
      </c>
      <c r="L4260" s="151" t="s">
        <v>9021</v>
      </c>
    </row>
    <row r="4261" spans="8:12" x14ac:dyDescent="0.25">
      <c r="H4261" s="151" t="s">
        <v>5461</v>
      </c>
      <c r="I4261" s="151" t="s">
        <v>391</v>
      </c>
      <c r="J4261" s="151" t="s">
        <v>8575</v>
      </c>
      <c r="K4261" s="151">
        <f t="shared" si="96"/>
        <v>650000000001171</v>
      </c>
      <c r="L4261" s="151" t="s">
        <v>9021</v>
      </c>
    </row>
    <row r="4262" spans="8:12" x14ac:dyDescent="0.25">
      <c r="H4262" s="151" t="s">
        <v>5462</v>
      </c>
      <c r="I4262" s="151" t="s">
        <v>6962</v>
      </c>
      <c r="J4262" s="151" t="s">
        <v>6962</v>
      </c>
      <c r="K4262" s="151">
        <f t="shared" si="96"/>
        <v>0</v>
      </c>
      <c r="L4262" s="151" t="s">
        <v>9021</v>
      </c>
    </row>
    <row r="4263" spans="8:12" x14ac:dyDescent="0.25">
      <c r="H4263" s="151" t="s">
        <v>5462</v>
      </c>
      <c r="I4263" s="151" t="s">
        <v>391</v>
      </c>
      <c r="J4263" s="151" t="s">
        <v>8576</v>
      </c>
      <c r="K4263" s="151">
        <f t="shared" si="96"/>
        <v>650000000001172</v>
      </c>
      <c r="L4263" s="151" t="s">
        <v>9021</v>
      </c>
    </row>
    <row r="4264" spans="8:12" x14ac:dyDescent="0.25">
      <c r="H4264" s="151" t="s">
        <v>6929</v>
      </c>
      <c r="I4264" s="151" t="s">
        <v>6962</v>
      </c>
      <c r="J4264" s="151" t="s">
        <v>6962</v>
      </c>
      <c r="K4264" s="151">
        <f t="shared" si="96"/>
        <v>0</v>
      </c>
      <c r="L4264" s="151" t="s">
        <v>9021</v>
      </c>
    </row>
    <row r="4265" spans="8:12" x14ac:dyDescent="0.25">
      <c r="H4265" s="151" t="s">
        <v>5463</v>
      </c>
      <c r="I4265" s="151" t="s">
        <v>6962</v>
      </c>
      <c r="J4265" s="151" t="s">
        <v>6962</v>
      </c>
      <c r="K4265" s="151">
        <f t="shared" si="96"/>
        <v>0</v>
      </c>
      <c r="L4265" s="151" t="s">
        <v>9021</v>
      </c>
    </row>
    <row r="4266" spans="8:12" x14ac:dyDescent="0.25">
      <c r="H4266" s="151" t="s">
        <v>5463</v>
      </c>
      <c r="I4266" s="151" t="s">
        <v>391</v>
      </c>
      <c r="J4266" s="151" t="s">
        <v>8577</v>
      </c>
      <c r="K4266" s="151">
        <f t="shared" si="96"/>
        <v>650000000001173</v>
      </c>
      <c r="L4266" s="151" t="s">
        <v>9021</v>
      </c>
    </row>
    <row r="4267" spans="8:12" x14ac:dyDescent="0.25">
      <c r="H4267" s="151" t="s">
        <v>6930</v>
      </c>
      <c r="I4267" s="151" t="s">
        <v>6962</v>
      </c>
      <c r="J4267" s="151" t="s">
        <v>6962</v>
      </c>
      <c r="K4267" s="151">
        <f t="shared" si="96"/>
        <v>0</v>
      </c>
      <c r="L4267" s="151" t="s">
        <v>9021</v>
      </c>
    </row>
    <row r="4268" spans="8:12" x14ac:dyDescent="0.25">
      <c r="H4268" s="151" t="s">
        <v>6931</v>
      </c>
      <c r="I4268" s="151" t="s">
        <v>6962</v>
      </c>
      <c r="J4268" s="151" t="s">
        <v>6962</v>
      </c>
      <c r="K4268" s="151">
        <f t="shared" si="96"/>
        <v>0</v>
      </c>
      <c r="L4268" s="151" t="s">
        <v>9021</v>
      </c>
    </row>
    <row r="4269" spans="8:12" x14ac:dyDescent="0.25">
      <c r="H4269" s="151" t="s">
        <v>5464</v>
      </c>
      <c r="I4269" s="151" t="s">
        <v>6962</v>
      </c>
      <c r="J4269" s="151" t="s">
        <v>6962</v>
      </c>
      <c r="K4269" s="151">
        <f t="shared" si="96"/>
        <v>0</v>
      </c>
      <c r="L4269" s="151" t="s">
        <v>9021</v>
      </c>
    </row>
    <row r="4270" spans="8:12" x14ac:dyDescent="0.25">
      <c r="H4270" s="151" t="s">
        <v>5464</v>
      </c>
      <c r="I4270" s="151" t="s">
        <v>391</v>
      </c>
      <c r="J4270" s="151" t="s">
        <v>8578</v>
      </c>
      <c r="K4270" s="151">
        <f t="shared" si="96"/>
        <v>650000000001174</v>
      </c>
      <c r="L4270" s="151" t="s">
        <v>9021</v>
      </c>
    </row>
    <row r="4271" spans="8:12" x14ac:dyDescent="0.25">
      <c r="H4271" s="151" t="s">
        <v>5465</v>
      </c>
      <c r="I4271" s="151" t="s">
        <v>6962</v>
      </c>
      <c r="J4271" s="151" t="s">
        <v>6962</v>
      </c>
      <c r="K4271" s="151">
        <f t="shared" si="96"/>
        <v>0</v>
      </c>
      <c r="L4271" s="151" t="s">
        <v>9021</v>
      </c>
    </row>
    <row r="4272" spans="8:12" x14ac:dyDescent="0.25">
      <c r="H4272" s="151" t="s">
        <v>5465</v>
      </c>
      <c r="I4272" s="151" t="s">
        <v>391</v>
      </c>
      <c r="J4272" s="151" t="s">
        <v>8579</v>
      </c>
      <c r="K4272" s="151">
        <f t="shared" si="96"/>
        <v>650000000001175</v>
      </c>
      <c r="L4272" s="151" t="s">
        <v>9021</v>
      </c>
    </row>
    <row r="4273" spans="8:12" x14ac:dyDescent="0.25">
      <c r="H4273" s="151" t="s">
        <v>5466</v>
      </c>
      <c r="I4273" s="151" t="s">
        <v>6962</v>
      </c>
      <c r="J4273" s="151" t="s">
        <v>6962</v>
      </c>
      <c r="K4273" s="151">
        <f t="shared" si="96"/>
        <v>0</v>
      </c>
      <c r="L4273" s="151" t="s">
        <v>9021</v>
      </c>
    </row>
    <row r="4274" spans="8:12" x14ac:dyDescent="0.25">
      <c r="H4274" s="151" t="s">
        <v>5466</v>
      </c>
      <c r="I4274" s="151" t="s">
        <v>391</v>
      </c>
      <c r="J4274" s="151" t="s">
        <v>8580</v>
      </c>
      <c r="K4274" s="151">
        <f t="shared" si="96"/>
        <v>650000000001176</v>
      </c>
      <c r="L4274" s="151" t="s">
        <v>9021</v>
      </c>
    </row>
    <row r="4275" spans="8:12" x14ac:dyDescent="0.25">
      <c r="H4275" s="151" t="s">
        <v>5467</v>
      </c>
      <c r="I4275" s="151" t="s">
        <v>6962</v>
      </c>
      <c r="J4275" s="151" t="s">
        <v>6962</v>
      </c>
      <c r="K4275" s="151">
        <f t="shared" si="96"/>
        <v>0</v>
      </c>
      <c r="L4275" s="151" t="s">
        <v>9021</v>
      </c>
    </row>
    <row r="4276" spans="8:12" x14ac:dyDescent="0.25">
      <c r="H4276" s="151" t="s">
        <v>5467</v>
      </c>
      <c r="I4276" s="151" t="s">
        <v>391</v>
      </c>
      <c r="J4276" s="151" t="s">
        <v>8581</v>
      </c>
      <c r="K4276" s="151">
        <f t="shared" si="96"/>
        <v>650000000002016</v>
      </c>
      <c r="L4276" s="151" t="s">
        <v>9021</v>
      </c>
    </row>
    <row r="4277" spans="8:12" x14ac:dyDescent="0.25">
      <c r="H4277" s="151" t="s">
        <v>5468</v>
      </c>
      <c r="I4277" s="151" t="s">
        <v>6962</v>
      </c>
      <c r="J4277" s="151" t="s">
        <v>6962</v>
      </c>
      <c r="K4277" s="151">
        <f t="shared" si="96"/>
        <v>0</v>
      </c>
      <c r="L4277" s="151" t="s">
        <v>9021</v>
      </c>
    </row>
    <row r="4278" spans="8:12" x14ac:dyDescent="0.25">
      <c r="H4278" s="151" t="s">
        <v>5468</v>
      </c>
      <c r="I4278" s="151" t="s">
        <v>391</v>
      </c>
      <c r="J4278" s="151" t="s">
        <v>8582</v>
      </c>
      <c r="K4278" s="151">
        <f t="shared" si="96"/>
        <v>650000000001177</v>
      </c>
      <c r="L4278" s="151" t="s">
        <v>9021</v>
      </c>
    </row>
    <row r="4279" spans="8:12" x14ac:dyDescent="0.25">
      <c r="H4279" s="151" t="s">
        <v>5469</v>
      </c>
      <c r="I4279" s="151" t="s">
        <v>6962</v>
      </c>
      <c r="J4279" s="151" t="s">
        <v>6962</v>
      </c>
      <c r="K4279" s="151">
        <f t="shared" si="96"/>
        <v>0</v>
      </c>
      <c r="L4279" s="151" t="s">
        <v>9021</v>
      </c>
    </row>
    <row r="4280" spans="8:12" x14ac:dyDescent="0.25">
      <c r="H4280" s="151" t="s">
        <v>5469</v>
      </c>
      <c r="I4280" s="151" t="s">
        <v>391</v>
      </c>
      <c r="J4280" s="151" t="s">
        <v>8583</v>
      </c>
      <c r="K4280" s="151">
        <f t="shared" si="96"/>
        <v>650000000001178</v>
      </c>
      <c r="L4280" s="151" t="s">
        <v>9021</v>
      </c>
    </row>
    <row r="4281" spans="8:12" x14ac:dyDescent="0.25">
      <c r="H4281" s="151" t="s">
        <v>5470</v>
      </c>
      <c r="I4281" s="151" t="s">
        <v>6962</v>
      </c>
      <c r="J4281" s="151" t="s">
        <v>6962</v>
      </c>
      <c r="K4281" s="151">
        <f t="shared" si="96"/>
        <v>0</v>
      </c>
      <c r="L4281" s="151" t="s">
        <v>9021</v>
      </c>
    </row>
    <row r="4282" spans="8:12" x14ac:dyDescent="0.25">
      <c r="H4282" s="151" t="s">
        <v>5470</v>
      </c>
      <c r="I4282" s="151" t="s">
        <v>391</v>
      </c>
      <c r="J4282" s="151" t="s">
        <v>8584</v>
      </c>
      <c r="K4282" s="151">
        <f t="shared" si="96"/>
        <v>650000000001179</v>
      </c>
      <c r="L4282" s="151" t="s">
        <v>9021</v>
      </c>
    </row>
    <row r="4283" spans="8:12" x14ac:dyDescent="0.25">
      <c r="H4283" s="151" t="s">
        <v>5471</v>
      </c>
      <c r="I4283" s="151" t="s">
        <v>6962</v>
      </c>
      <c r="J4283" s="151" t="s">
        <v>6962</v>
      </c>
      <c r="K4283" s="151">
        <f t="shared" si="96"/>
        <v>0</v>
      </c>
      <c r="L4283" s="151" t="s">
        <v>9021</v>
      </c>
    </row>
    <row r="4284" spans="8:12" x14ac:dyDescent="0.25">
      <c r="H4284" s="151" t="s">
        <v>5471</v>
      </c>
      <c r="I4284" s="151" t="s">
        <v>391</v>
      </c>
      <c r="J4284" s="151" t="s">
        <v>8585</v>
      </c>
      <c r="K4284" s="151">
        <f t="shared" si="96"/>
        <v>650000000001180</v>
      </c>
      <c r="L4284" s="151" t="s">
        <v>9021</v>
      </c>
    </row>
    <row r="4285" spans="8:12" x14ac:dyDescent="0.25">
      <c r="H4285" s="151" t="s">
        <v>5472</v>
      </c>
      <c r="I4285" s="151" t="s">
        <v>6962</v>
      </c>
      <c r="J4285" s="151" t="s">
        <v>6962</v>
      </c>
      <c r="K4285" s="151">
        <f t="shared" si="96"/>
        <v>0</v>
      </c>
      <c r="L4285" s="151" t="s">
        <v>9021</v>
      </c>
    </row>
    <row r="4286" spans="8:12" x14ac:dyDescent="0.25">
      <c r="H4286" s="151" t="s">
        <v>5472</v>
      </c>
      <c r="I4286" s="151" t="s">
        <v>391</v>
      </c>
      <c r="J4286" s="151" t="s">
        <v>8586</v>
      </c>
      <c r="K4286" s="151">
        <f t="shared" si="96"/>
        <v>650000000001181</v>
      </c>
      <c r="L4286" s="151" t="s">
        <v>9021</v>
      </c>
    </row>
    <row r="4287" spans="8:12" x14ac:dyDescent="0.25">
      <c r="H4287" s="151" t="s">
        <v>5473</v>
      </c>
      <c r="I4287" s="151" t="s">
        <v>6962</v>
      </c>
      <c r="J4287" s="151" t="s">
        <v>6962</v>
      </c>
      <c r="K4287" s="151">
        <f t="shared" si="96"/>
        <v>0</v>
      </c>
      <c r="L4287" s="151" t="s">
        <v>9021</v>
      </c>
    </row>
    <row r="4288" spans="8:12" x14ac:dyDescent="0.25">
      <c r="H4288" s="151" t="s">
        <v>5473</v>
      </c>
      <c r="I4288" s="151" t="s">
        <v>391</v>
      </c>
      <c r="J4288" s="151" t="s">
        <v>8587</v>
      </c>
      <c r="K4288" s="151">
        <f t="shared" si="96"/>
        <v>650000000001182</v>
      </c>
      <c r="L4288" s="151" t="s">
        <v>9021</v>
      </c>
    </row>
    <row r="4289" spans="8:12" x14ac:dyDescent="0.25">
      <c r="H4289" s="151" t="s">
        <v>5474</v>
      </c>
      <c r="I4289" s="151" t="s">
        <v>6962</v>
      </c>
      <c r="J4289" s="151" t="s">
        <v>6962</v>
      </c>
      <c r="K4289" s="151">
        <f t="shared" si="96"/>
        <v>0</v>
      </c>
      <c r="L4289" s="151" t="s">
        <v>9021</v>
      </c>
    </row>
    <row r="4290" spans="8:12" x14ac:dyDescent="0.25">
      <c r="H4290" s="151" t="s">
        <v>5474</v>
      </c>
      <c r="I4290" s="151" t="s">
        <v>391</v>
      </c>
      <c r="J4290" s="151" t="s">
        <v>8588</v>
      </c>
      <c r="K4290" s="151">
        <f t="shared" si="96"/>
        <v>650000000001183</v>
      </c>
      <c r="L4290" s="151" t="s">
        <v>9021</v>
      </c>
    </row>
    <row r="4291" spans="8:12" x14ac:dyDescent="0.25">
      <c r="H4291" s="151" t="s">
        <v>5475</v>
      </c>
      <c r="I4291" s="151" t="s">
        <v>6962</v>
      </c>
      <c r="J4291" s="151" t="s">
        <v>6962</v>
      </c>
      <c r="K4291" s="151">
        <f t="shared" ref="K4291:K4354" si="97">+IFERROR(J4291*1,0)</f>
        <v>0</v>
      </c>
      <c r="L4291" s="151" t="s">
        <v>9021</v>
      </c>
    </row>
    <row r="4292" spans="8:12" x14ac:dyDescent="0.25">
      <c r="H4292" s="151" t="s">
        <v>5475</v>
      </c>
      <c r="I4292" s="151" t="s">
        <v>391</v>
      </c>
      <c r="J4292" s="151" t="s">
        <v>8589</v>
      </c>
      <c r="K4292" s="151">
        <f t="shared" si="97"/>
        <v>650000000001184</v>
      </c>
      <c r="L4292" s="151" t="s">
        <v>9021</v>
      </c>
    </row>
    <row r="4293" spans="8:12" x14ac:dyDescent="0.25">
      <c r="H4293" s="151" t="s">
        <v>5476</v>
      </c>
      <c r="I4293" s="151" t="s">
        <v>6962</v>
      </c>
      <c r="J4293" s="151" t="s">
        <v>6962</v>
      </c>
      <c r="K4293" s="151">
        <f t="shared" si="97"/>
        <v>0</v>
      </c>
      <c r="L4293" s="151" t="s">
        <v>9021</v>
      </c>
    </row>
    <row r="4294" spans="8:12" x14ac:dyDescent="0.25">
      <c r="H4294" s="151" t="s">
        <v>5476</v>
      </c>
      <c r="I4294" s="151" t="s">
        <v>391</v>
      </c>
      <c r="J4294" s="151" t="s">
        <v>8590</v>
      </c>
      <c r="K4294" s="151">
        <f t="shared" si="97"/>
        <v>650000000002017</v>
      </c>
      <c r="L4294" s="151" t="s">
        <v>9021</v>
      </c>
    </row>
    <row r="4295" spans="8:12" x14ac:dyDescent="0.25">
      <c r="H4295" s="151" t="s">
        <v>5477</v>
      </c>
      <c r="I4295" s="151" t="s">
        <v>6962</v>
      </c>
      <c r="J4295" s="151" t="s">
        <v>6962</v>
      </c>
      <c r="K4295" s="151">
        <f t="shared" si="97"/>
        <v>0</v>
      </c>
      <c r="L4295" s="151" t="s">
        <v>9021</v>
      </c>
    </row>
    <row r="4296" spans="8:12" x14ac:dyDescent="0.25">
      <c r="H4296" s="151" t="s">
        <v>5477</v>
      </c>
      <c r="I4296" s="151" t="s">
        <v>391</v>
      </c>
      <c r="J4296" s="151" t="s">
        <v>8591</v>
      </c>
      <c r="K4296" s="151">
        <f t="shared" si="97"/>
        <v>650000000002018</v>
      </c>
      <c r="L4296" s="151" t="s">
        <v>9021</v>
      </c>
    </row>
    <row r="4297" spans="8:12" x14ac:dyDescent="0.25">
      <c r="H4297" s="151" t="s">
        <v>5478</v>
      </c>
      <c r="I4297" s="151" t="s">
        <v>6962</v>
      </c>
      <c r="J4297" s="151" t="s">
        <v>6962</v>
      </c>
      <c r="K4297" s="151">
        <f t="shared" si="97"/>
        <v>0</v>
      </c>
      <c r="L4297" s="151" t="s">
        <v>9021</v>
      </c>
    </row>
    <row r="4298" spans="8:12" x14ac:dyDescent="0.25">
      <c r="H4298" s="151" t="s">
        <v>5478</v>
      </c>
      <c r="I4298" s="151" t="s">
        <v>391</v>
      </c>
      <c r="J4298" s="151" t="s">
        <v>8592</v>
      </c>
      <c r="K4298" s="151">
        <f t="shared" si="97"/>
        <v>650000000001185</v>
      </c>
      <c r="L4298" s="151" t="s">
        <v>9021</v>
      </c>
    </row>
    <row r="4299" spans="8:12" x14ac:dyDescent="0.25">
      <c r="H4299" s="151" t="s">
        <v>5479</v>
      </c>
      <c r="I4299" s="151" t="s">
        <v>6962</v>
      </c>
      <c r="J4299" s="151" t="s">
        <v>6962</v>
      </c>
      <c r="K4299" s="151">
        <f t="shared" si="97"/>
        <v>0</v>
      </c>
      <c r="L4299" s="151" t="s">
        <v>9021</v>
      </c>
    </row>
    <row r="4300" spans="8:12" x14ac:dyDescent="0.25">
      <c r="H4300" s="151" t="s">
        <v>5479</v>
      </c>
      <c r="I4300" s="151" t="s">
        <v>391</v>
      </c>
      <c r="J4300" s="151" t="s">
        <v>8593</v>
      </c>
      <c r="K4300" s="151">
        <f t="shared" si="97"/>
        <v>650000000001186</v>
      </c>
      <c r="L4300" s="151" t="s">
        <v>9021</v>
      </c>
    </row>
    <row r="4301" spans="8:12" x14ac:dyDescent="0.25">
      <c r="H4301" s="151" t="s">
        <v>5480</v>
      </c>
      <c r="I4301" s="151" t="s">
        <v>6962</v>
      </c>
      <c r="J4301" s="151" t="s">
        <v>6962</v>
      </c>
      <c r="K4301" s="151">
        <f t="shared" si="97"/>
        <v>0</v>
      </c>
      <c r="L4301" s="151" t="s">
        <v>9021</v>
      </c>
    </row>
    <row r="4302" spans="8:12" x14ac:dyDescent="0.25">
      <c r="H4302" s="151" t="s">
        <v>5480</v>
      </c>
      <c r="I4302" s="151" t="s">
        <v>391</v>
      </c>
      <c r="J4302" s="151" t="s">
        <v>8594</v>
      </c>
      <c r="K4302" s="151">
        <f t="shared" si="97"/>
        <v>650000000001187</v>
      </c>
      <c r="L4302" s="151" t="s">
        <v>9021</v>
      </c>
    </row>
    <row r="4303" spans="8:12" x14ac:dyDescent="0.25">
      <c r="H4303" s="151" t="s">
        <v>5481</v>
      </c>
      <c r="I4303" s="151" t="s">
        <v>6962</v>
      </c>
      <c r="J4303" s="151" t="s">
        <v>6962</v>
      </c>
      <c r="K4303" s="151">
        <f t="shared" si="97"/>
        <v>0</v>
      </c>
      <c r="L4303" s="151" t="s">
        <v>9021</v>
      </c>
    </row>
    <row r="4304" spans="8:12" x14ac:dyDescent="0.25">
      <c r="H4304" s="151" t="s">
        <v>5481</v>
      </c>
      <c r="I4304" s="151" t="s">
        <v>391</v>
      </c>
      <c r="J4304" s="151" t="s">
        <v>8595</v>
      </c>
      <c r="K4304" s="151">
        <f t="shared" si="97"/>
        <v>650000000001188</v>
      </c>
      <c r="L4304" s="151" t="s">
        <v>9021</v>
      </c>
    </row>
    <row r="4305" spans="8:12" x14ac:dyDescent="0.25">
      <c r="H4305" s="151" t="s">
        <v>5482</v>
      </c>
      <c r="I4305" s="151" t="s">
        <v>6962</v>
      </c>
      <c r="J4305" s="151" t="s">
        <v>6962</v>
      </c>
      <c r="K4305" s="151">
        <f t="shared" si="97"/>
        <v>0</v>
      </c>
      <c r="L4305" s="151" t="s">
        <v>9021</v>
      </c>
    </row>
    <row r="4306" spans="8:12" x14ac:dyDescent="0.25">
      <c r="H4306" s="151" t="s">
        <v>5482</v>
      </c>
      <c r="I4306" s="151" t="s">
        <v>391</v>
      </c>
      <c r="J4306" s="151" t="s">
        <v>8596</v>
      </c>
      <c r="K4306" s="151">
        <f t="shared" si="97"/>
        <v>650000000001189</v>
      </c>
      <c r="L4306" s="151" t="s">
        <v>9021</v>
      </c>
    </row>
    <row r="4307" spans="8:12" x14ac:dyDescent="0.25">
      <c r="H4307" s="151" t="s">
        <v>5483</v>
      </c>
      <c r="I4307" s="151" t="s">
        <v>6962</v>
      </c>
      <c r="J4307" s="151" t="s">
        <v>6962</v>
      </c>
      <c r="K4307" s="151">
        <f t="shared" si="97"/>
        <v>0</v>
      </c>
      <c r="L4307" s="151" t="s">
        <v>9021</v>
      </c>
    </row>
    <row r="4308" spans="8:12" x14ac:dyDescent="0.25">
      <c r="H4308" s="151" t="s">
        <v>5483</v>
      </c>
      <c r="I4308" s="151" t="s">
        <v>391</v>
      </c>
      <c r="J4308" s="151" t="s">
        <v>8597</v>
      </c>
      <c r="K4308" s="151">
        <f t="shared" si="97"/>
        <v>650000000001190</v>
      </c>
      <c r="L4308" s="151" t="s">
        <v>9021</v>
      </c>
    </row>
    <row r="4309" spans="8:12" x14ac:dyDescent="0.25">
      <c r="H4309" s="151" t="s">
        <v>5484</v>
      </c>
      <c r="I4309" s="151" t="s">
        <v>6962</v>
      </c>
      <c r="J4309" s="151" t="s">
        <v>6962</v>
      </c>
      <c r="K4309" s="151">
        <f t="shared" si="97"/>
        <v>0</v>
      </c>
      <c r="L4309" s="151" t="s">
        <v>9021</v>
      </c>
    </row>
    <row r="4310" spans="8:12" x14ac:dyDescent="0.25">
      <c r="H4310" s="151" t="s">
        <v>5484</v>
      </c>
      <c r="I4310" s="151" t="s">
        <v>391</v>
      </c>
      <c r="J4310" s="151" t="s">
        <v>8598</v>
      </c>
      <c r="K4310" s="151">
        <f t="shared" si="97"/>
        <v>650000000001191</v>
      </c>
      <c r="L4310" s="151" t="s">
        <v>9021</v>
      </c>
    </row>
    <row r="4311" spans="8:12" x14ac:dyDescent="0.25">
      <c r="H4311" s="151" t="s">
        <v>6932</v>
      </c>
      <c r="I4311" s="151" t="s">
        <v>6962</v>
      </c>
      <c r="J4311" s="151" t="s">
        <v>6962</v>
      </c>
      <c r="K4311" s="151">
        <f t="shared" si="97"/>
        <v>0</v>
      </c>
      <c r="L4311" s="151" t="s">
        <v>9021</v>
      </c>
    </row>
    <row r="4312" spans="8:12" x14ac:dyDescent="0.25">
      <c r="H4312" s="151" t="s">
        <v>5485</v>
      </c>
      <c r="I4312" s="151" t="s">
        <v>6962</v>
      </c>
      <c r="J4312" s="151" t="s">
        <v>6962</v>
      </c>
      <c r="K4312" s="151">
        <f t="shared" si="97"/>
        <v>0</v>
      </c>
      <c r="L4312" s="151" t="s">
        <v>9021</v>
      </c>
    </row>
    <row r="4313" spans="8:12" x14ac:dyDescent="0.25">
      <c r="H4313" s="151" t="s">
        <v>5485</v>
      </c>
      <c r="I4313" s="151" t="s">
        <v>391</v>
      </c>
      <c r="J4313" s="151" t="s">
        <v>8599</v>
      </c>
      <c r="K4313" s="151">
        <f t="shared" si="97"/>
        <v>650000000001192</v>
      </c>
      <c r="L4313" s="151" t="s">
        <v>9021</v>
      </c>
    </row>
    <row r="4314" spans="8:12" x14ac:dyDescent="0.25">
      <c r="H4314" s="151" t="s">
        <v>5486</v>
      </c>
      <c r="I4314" s="151" t="s">
        <v>6962</v>
      </c>
      <c r="J4314" s="151" t="s">
        <v>6962</v>
      </c>
      <c r="K4314" s="151">
        <f t="shared" si="97"/>
        <v>0</v>
      </c>
      <c r="L4314" s="151" t="s">
        <v>9021</v>
      </c>
    </row>
    <row r="4315" spans="8:12" x14ac:dyDescent="0.25">
      <c r="H4315" s="151" t="s">
        <v>5486</v>
      </c>
      <c r="I4315" s="151" t="s">
        <v>391</v>
      </c>
      <c r="J4315" s="151" t="s">
        <v>8600</v>
      </c>
      <c r="K4315" s="151">
        <f t="shared" si="97"/>
        <v>650000000001193</v>
      </c>
      <c r="L4315" s="151" t="s">
        <v>9021</v>
      </c>
    </row>
    <row r="4316" spans="8:12" x14ac:dyDescent="0.25">
      <c r="H4316" s="151" t="s">
        <v>6933</v>
      </c>
      <c r="I4316" s="151" t="s">
        <v>6962</v>
      </c>
      <c r="J4316" s="151" t="s">
        <v>6962</v>
      </c>
      <c r="K4316" s="151">
        <f t="shared" si="97"/>
        <v>0</v>
      </c>
      <c r="L4316" s="151" t="s">
        <v>9021</v>
      </c>
    </row>
    <row r="4317" spans="8:12" x14ac:dyDescent="0.25">
      <c r="H4317" s="151" t="s">
        <v>5487</v>
      </c>
      <c r="I4317" s="151" t="s">
        <v>6962</v>
      </c>
      <c r="J4317" s="151" t="s">
        <v>6962</v>
      </c>
      <c r="K4317" s="151">
        <f t="shared" si="97"/>
        <v>0</v>
      </c>
      <c r="L4317" s="151" t="s">
        <v>9021</v>
      </c>
    </row>
    <row r="4318" spans="8:12" x14ac:dyDescent="0.25">
      <c r="H4318" s="151" t="s">
        <v>5487</v>
      </c>
      <c r="I4318" s="151" t="s">
        <v>391</v>
      </c>
      <c r="J4318" s="151" t="s">
        <v>8601</v>
      </c>
      <c r="K4318" s="151">
        <f t="shared" si="97"/>
        <v>650000000001194</v>
      </c>
      <c r="L4318" s="151" t="s">
        <v>9021</v>
      </c>
    </row>
    <row r="4319" spans="8:12" x14ac:dyDescent="0.25">
      <c r="H4319" s="151" t="s">
        <v>5488</v>
      </c>
      <c r="I4319" s="151" t="s">
        <v>6962</v>
      </c>
      <c r="J4319" s="151" t="s">
        <v>6962</v>
      </c>
      <c r="K4319" s="151">
        <f t="shared" si="97"/>
        <v>0</v>
      </c>
      <c r="L4319" s="151" t="s">
        <v>9021</v>
      </c>
    </row>
    <row r="4320" spans="8:12" x14ac:dyDescent="0.25">
      <c r="H4320" s="151" t="s">
        <v>5488</v>
      </c>
      <c r="I4320" s="151" t="s">
        <v>391</v>
      </c>
      <c r="J4320" s="151" t="s">
        <v>8602</v>
      </c>
      <c r="K4320" s="151">
        <f t="shared" si="97"/>
        <v>650000000001195</v>
      </c>
      <c r="L4320" s="151" t="s">
        <v>9021</v>
      </c>
    </row>
    <row r="4321" spans="8:12" x14ac:dyDescent="0.25">
      <c r="H4321" s="151" t="s">
        <v>5489</v>
      </c>
      <c r="I4321" s="151" t="s">
        <v>6962</v>
      </c>
      <c r="J4321" s="151" t="s">
        <v>6962</v>
      </c>
      <c r="K4321" s="151">
        <f t="shared" si="97"/>
        <v>0</v>
      </c>
      <c r="L4321" s="151" t="s">
        <v>9021</v>
      </c>
    </row>
    <row r="4322" spans="8:12" x14ac:dyDescent="0.25">
      <c r="H4322" s="151" t="s">
        <v>5489</v>
      </c>
      <c r="I4322" s="151" t="s">
        <v>391</v>
      </c>
      <c r="J4322" s="151" t="s">
        <v>8603</v>
      </c>
      <c r="K4322" s="151">
        <f t="shared" si="97"/>
        <v>650000000001196</v>
      </c>
      <c r="L4322" s="151" t="s">
        <v>9021</v>
      </c>
    </row>
    <row r="4323" spans="8:12" x14ac:dyDescent="0.25">
      <c r="H4323" s="151" t="s">
        <v>5490</v>
      </c>
      <c r="I4323" s="151" t="s">
        <v>6962</v>
      </c>
      <c r="J4323" s="151" t="s">
        <v>6962</v>
      </c>
      <c r="K4323" s="151">
        <f t="shared" si="97"/>
        <v>0</v>
      </c>
      <c r="L4323" s="151" t="s">
        <v>9021</v>
      </c>
    </row>
    <row r="4324" spans="8:12" x14ac:dyDescent="0.25">
      <c r="H4324" s="151" t="s">
        <v>5490</v>
      </c>
      <c r="I4324" s="151" t="s">
        <v>391</v>
      </c>
      <c r="J4324" s="151" t="s">
        <v>8604</v>
      </c>
      <c r="K4324" s="151">
        <f t="shared" si="97"/>
        <v>650000000001197</v>
      </c>
      <c r="L4324" s="151" t="s">
        <v>9021</v>
      </c>
    </row>
    <row r="4325" spans="8:12" x14ac:dyDescent="0.25">
      <c r="H4325" s="151" t="s">
        <v>5491</v>
      </c>
      <c r="I4325" s="151" t="s">
        <v>6962</v>
      </c>
      <c r="J4325" s="151" t="s">
        <v>6962</v>
      </c>
      <c r="K4325" s="151">
        <f t="shared" si="97"/>
        <v>0</v>
      </c>
      <c r="L4325" s="151" t="s">
        <v>9021</v>
      </c>
    </row>
    <row r="4326" spans="8:12" x14ac:dyDescent="0.25">
      <c r="H4326" s="151" t="s">
        <v>5491</v>
      </c>
      <c r="I4326" s="151" t="s">
        <v>391</v>
      </c>
      <c r="J4326" s="151" t="s">
        <v>8605</v>
      </c>
      <c r="K4326" s="151">
        <f t="shared" si="97"/>
        <v>650000000001198</v>
      </c>
      <c r="L4326" s="151" t="s">
        <v>9021</v>
      </c>
    </row>
    <row r="4327" spans="8:12" x14ac:dyDescent="0.25">
      <c r="H4327" s="151" t="s">
        <v>5492</v>
      </c>
      <c r="I4327" s="151" t="s">
        <v>6962</v>
      </c>
      <c r="J4327" s="151" t="s">
        <v>6962</v>
      </c>
      <c r="K4327" s="151">
        <f t="shared" si="97"/>
        <v>0</v>
      </c>
      <c r="L4327" s="151" t="s">
        <v>9021</v>
      </c>
    </row>
    <row r="4328" spans="8:12" x14ac:dyDescent="0.25">
      <c r="H4328" s="151" t="s">
        <v>5492</v>
      </c>
      <c r="I4328" s="151" t="s">
        <v>391</v>
      </c>
      <c r="J4328" s="151" t="s">
        <v>8606</v>
      </c>
      <c r="K4328" s="151">
        <f t="shared" si="97"/>
        <v>650000000001199</v>
      </c>
      <c r="L4328" s="151" t="s">
        <v>9021</v>
      </c>
    </row>
    <row r="4329" spans="8:12" x14ac:dyDescent="0.25">
      <c r="H4329" s="151" t="s">
        <v>5493</v>
      </c>
      <c r="I4329" s="151" t="s">
        <v>6962</v>
      </c>
      <c r="J4329" s="151" t="s">
        <v>6962</v>
      </c>
      <c r="K4329" s="151">
        <f t="shared" si="97"/>
        <v>0</v>
      </c>
      <c r="L4329" s="151" t="s">
        <v>9021</v>
      </c>
    </row>
    <row r="4330" spans="8:12" x14ac:dyDescent="0.25">
      <c r="H4330" s="151" t="s">
        <v>5493</v>
      </c>
      <c r="I4330" s="151" t="s">
        <v>391</v>
      </c>
      <c r="J4330" s="151" t="s">
        <v>8607</v>
      </c>
      <c r="K4330" s="151">
        <f t="shared" si="97"/>
        <v>650000000001200</v>
      </c>
      <c r="L4330" s="151" t="s">
        <v>9021</v>
      </c>
    </row>
    <row r="4331" spans="8:12" x14ac:dyDescent="0.25">
      <c r="H4331" s="151" t="s">
        <v>5494</v>
      </c>
      <c r="I4331" s="151" t="s">
        <v>6962</v>
      </c>
      <c r="J4331" s="151" t="s">
        <v>6962</v>
      </c>
      <c r="K4331" s="151">
        <f t="shared" si="97"/>
        <v>0</v>
      </c>
      <c r="L4331" s="151" t="s">
        <v>9021</v>
      </c>
    </row>
    <row r="4332" spans="8:12" x14ac:dyDescent="0.25">
      <c r="H4332" s="151" t="s">
        <v>5494</v>
      </c>
      <c r="I4332" s="151" t="s">
        <v>391</v>
      </c>
      <c r="J4332" s="151" t="s">
        <v>8608</v>
      </c>
      <c r="K4332" s="151">
        <f t="shared" si="97"/>
        <v>650000000001201</v>
      </c>
      <c r="L4332" s="151" t="s">
        <v>9021</v>
      </c>
    </row>
    <row r="4333" spans="8:12" x14ac:dyDescent="0.25">
      <c r="H4333" s="151" t="s">
        <v>5495</v>
      </c>
      <c r="I4333" s="151" t="s">
        <v>6962</v>
      </c>
      <c r="J4333" s="151" t="s">
        <v>6962</v>
      </c>
      <c r="K4333" s="151">
        <f t="shared" si="97"/>
        <v>0</v>
      </c>
      <c r="L4333" s="151" t="s">
        <v>9021</v>
      </c>
    </row>
    <row r="4334" spans="8:12" x14ac:dyDescent="0.25">
      <c r="H4334" s="151" t="s">
        <v>5495</v>
      </c>
      <c r="I4334" s="151" t="s">
        <v>391</v>
      </c>
      <c r="J4334" s="151" t="s">
        <v>8609</v>
      </c>
      <c r="K4334" s="151">
        <f t="shared" si="97"/>
        <v>650000000001202</v>
      </c>
      <c r="L4334" s="151" t="s">
        <v>9021</v>
      </c>
    </row>
    <row r="4335" spans="8:12" x14ac:dyDescent="0.25">
      <c r="H4335" s="151" t="s">
        <v>5496</v>
      </c>
      <c r="I4335" s="151" t="s">
        <v>6962</v>
      </c>
      <c r="J4335" s="151" t="s">
        <v>6962</v>
      </c>
      <c r="K4335" s="151">
        <f t="shared" si="97"/>
        <v>0</v>
      </c>
      <c r="L4335" s="151" t="s">
        <v>9021</v>
      </c>
    </row>
    <row r="4336" spans="8:12" x14ac:dyDescent="0.25">
      <c r="H4336" s="151" t="s">
        <v>5496</v>
      </c>
      <c r="I4336" s="151" t="s">
        <v>391</v>
      </c>
      <c r="J4336" s="151" t="s">
        <v>8610</v>
      </c>
      <c r="K4336" s="151">
        <f t="shared" si="97"/>
        <v>650000000001203</v>
      </c>
      <c r="L4336" s="151" t="s">
        <v>9021</v>
      </c>
    </row>
    <row r="4337" spans="8:12" x14ac:dyDescent="0.25">
      <c r="H4337" s="151" t="s">
        <v>5497</v>
      </c>
      <c r="I4337" s="151" t="s">
        <v>6962</v>
      </c>
      <c r="J4337" s="151" t="s">
        <v>6962</v>
      </c>
      <c r="K4337" s="151">
        <f t="shared" si="97"/>
        <v>0</v>
      </c>
      <c r="L4337" s="151" t="s">
        <v>9021</v>
      </c>
    </row>
    <row r="4338" spans="8:12" x14ac:dyDescent="0.25">
      <c r="H4338" s="151" t="s">
        <v>5497</v>
      </c>
      <c r="I4338" s="151" t="s">
        <v>391</v>
      </c>
      <c r="J4338" s="151" t="s">
        <v>8611</v>
      </c>
      <c r="K4338" s="151">
        <f t="shared" si="97"/>
        <v>650000000001204</v>
      </c>
      <c r="L4338" s="151" t="s">
        <v>9021</v>
      </c>
    </row>
    <row r="4339" spans="8:12" x14ac:dyDescent="0.25">
      <c r="H4339" s="151" t="s">
        <v>5498</v>
      </c>
      <c r="I4339" s="151" t="s">
        <v>6962</v>
      </c>
      <c r="J4339" s="151" t="s">
        <v>6962</v>
      </c>
      <c r="K4339" s="151">
        <f t="shared" si="97"/>
        <v>0</v>
      </c>
      <c r="L4339" s="151" t="s">
        <v>9021</v>
      </c>
    </row>
    <row r="4340" spans="8:12" x14ac:dyDescent="0.25">
      <c r="H4340" s="151" t="s">
        <v>5498</v>
      </c>
      <c r="I4340" s="151" t="s">
        <v>391</v>
      </c>
      <c r="J4340" s="151" t="s">
        <v>8612</v>
      </c>
      <c r="K4340" s="151">
        <f t="shared" si="97"/>
        <v>650000000001205</v>
      </c>
      <c r="L4340" s="151" t="s">
        <v>9021</v>
      </c>
    </row>
    <row r="4341" spans="8:12" x14ac:dyDescent="0.25">
      <c r="H4341" s="151" t="s">
        <v>5499</v>
      </c>
      <c r="I4341" s="151" t="s">
        <v>6962</v>
      </c>
      <c r="J4341" s="151" t="s">
        <v>6962</v>
      </c>
      <c r="K4341" s="151">
        <f t="shared" si="97"/>
        <v>0</v>
      </c>
      <c r="L4341" s="151" t="s">
        <v>9021</v>
      </c>
    </row>
    <row r="4342" spans="8:12" x14ac:dyDescent="0.25">
      <c r="H4342" s="151" t="s">
        <v>5499</v>
      </c>
      <c r="I4342" s="151" t="s">
        <v>391</v>
      </c>
      <c r="J4342" s="151" t="s">
        <v>8613</v>
      </c>
      <c r="K4342" s="151">
        <f t="shared" si="97"/>
        <v>650000000001206</v>
      </c>
      <c r="L4342" s="151" t="s">
        <v>9021</v>
      </c>
    </row>
    <row r="4343" spans="8:12" x14ac:dyDescent="0.25">
      <c r="H4343" s="151" t="s">
        <v>5500</v>
      </c>
      <c r="I4343" s="151" t="s">
        <v>6962</v>
      </c>
      <c r="J4343" s="151" t="s">
        <v>6962</v>
      </c>
      <c r="K4343" s="151">
        <f t="shared" si="97"/>
        <v>0</v>
      </c>
      <c r="L4343" s="151" t="s">
        <v>9021</v>
      </c>
    </row>
    <row r="4344" spans="8:12" x14ac:dyDescent="0.25">
      <c r="H4344" s="151" t="s">
        <v>5500</v>
      </c>
      <c r="I4344" s="151" t="s">
        <v>391</v>
      </c>
      <c r="J4344" s="151" t="s">
        <v>8614</v>
      </c>
      <c r="K4344" s="151">
        <f t="shared" si="97"/>
        <v>650000000001207</v>
      </c>
      <c r="L4344" s="151" t="s">
        <v>9021</v>
      </c>
    </row>
    <row r="4345" spans="8:12" x14ac:dyDescent="0.25">
      <c r="H4345" s="151" t="s">
        <v>5501</v>
      </c>
      <c r="I4345" s="151" t="s">
        <v>6962</v>
      </c>
      <c r="J4345" s="151" t="s">
        <v>6962</v>
      </c>
      <c r="K4345" s="151">
        <f t="shared" si="97"/>
        <v>0</v>
      </c>
      <c r="L4345" s="151" t="s">
        <v>9021</v>
      </c>
    </row>
    <row r="4346" spans="8:12" x14ac:dyDescent="0.25">
      <c r="H4346" s="151" t="s">
        <v>5501</v>
      </c>
      <c r="I4346" s="151" t="s">
        <v>391</v>
      </c>
      <c r="J4346" s="151" t="s">
        <v>8615</v>
      </c>
      <c r="K4346" s="151">
        <f t="shared" si="97"/>
        <v>650000000001208</v>
      </c>
      <c r="L4346" s="151" t="s">
        <v>9021</v>
      </c>
    </row>
    <row r="4347" spans="8:12" x14ac:dyDescent="0.25">
      <c r="H4347" s="151" t="s">
        <v>5502</v>
      </c>
      <c r="I4347" s="151" t="s">
        <v>6962</v>
      </c>
      <c r="J4347" s="151" t="s">
        <v>6962</v>
      </c>
      <c r="K4347" s="151">
        <f t="shared" si="97"/>
        <v>0</v>
      </c>
      <c r="L4347" s="151" t="s">
        <v>9021</v>
      </c>
    </row>
    <row r="4348" spans="8:12" x14ac:dyDescent="0.25">
      <c r="H4348" s="151" t="s">
        <v>5502</v>
      </c>
      <c r="I4348" s="151" t="s">
        <v>391</v>
      </c>
      <c r="J4348" s="151" t="s">
        <v>8616</v>
      </c>
      <c r="K4348" s="151">
        <f t="shared" si="97"/>
        <v>650000000002019</v>
      </c>
      <c r="L4348" s="151" t="s">
        <v>9021</v>
      </c>
    </row>
    <row r="4349" spans="8:12" x14ac:dyDescent="0.25">
      <c r="H4349" s="151" t="s">
        <v>5503</v>
      </c>
      <c r="I4349" s="151" t="s">
        <v>6962</v>
      </c>
      <c r="J4349" s="151" t="s">
        <v>6962</v>
      </c>
      <c r="K4349" s="151">
        <f t="shared" si="97"/>
        <v>0</v>
      </c>
      <c r="L4349" s="151" t="s">
        <v>9021</v>
      </c>
    </row>
    <row r="4350" spans="8:12" x14ac:dyDescent="0.25">
      <c r="H4350" s="151" t="s">
        <v>5503</v>
      </c>
      <c r="I4350" s="151" t="s">
        <v>391</v>
      </c>
      <c r="J4350" s="151" t="s">
        <v>8617</v>
      </c>
      <c r="K4350" s="151">
        <f t="shared" si="97"/>
        <v>650000000002020</v>
      </c>
      <c r="L4350" s="151" t="s">
        <v>9021</v>
      </c>
    </row>
    <row r="4351" spans="8:12" x14ac:dyDescent="0.25">
      <c r="H4351" s="151" t="s">
        <v>5504</v>
      </c>
      <c r="I4351" s="151" t="s">
        <v>6962</v>
      </c>
      <c r="J4351" s="151" t="s">
        <v>6962</v>
      </c>
      <c r="K4351" s="151">
        <f t="shared" si="97"/>
        <v>0</v>
      </c>
      <c r="L4351" s="151" t="s">
        <v>9021</v>
      </c>
    </row>
    <row r="4352" spans="8:12" x14ac:dyDescent="0.25">
      <c r="H4352" s="151" t="s">
        <v>5504</v>
      </c>
      <c r="I4352" s="151" t="s">
        <v>391</v>
      </c>
      <c r="J4352" s="151" t="s">
        <v>8618</v>
      </c>
      <c r="K4352" s="151">
        <f t="shared" si="97"/>
        <v>650000000001209</v>
      </c>
      <c r="L4352" s="151" t="s">
        <v>9021</v>
      </c>
    </row>
    <row r="4353" spans="8:12" x14ac:dyDescent="0.25">
      <c r="H4353" s="151" t="s">
        <v>5505</v>
      </c>
      <c r="I4353" s="151" t="s">
        <v>6962</v>
      </c>
      <c r="J4353" s="151" t="s">
        <v>6962</v>
      </c>
      <c r="K4353" s="151">
        <f t="shared" si="97"/>
        <v>0</v>
      </c>
      <c r="L4353" s="151" t="s">
        <v>9021</v>
      </c>
    </row>
    <row r="4354" spans="8:12" x14ac:dyDescent="0.25">
      <c r="H4354" s="151" t="s">
        <v>5505</v>
      </c>
      <c r="I4354" s="151" t="s">
        <v>391</v>
      </c>
      <c r="J4354" s="151" t="s">
        <v>8619</v>
      </c>
      <c r="K4354" s="151">
        <f t="shared" si="97"/>
        <v>650000000001210</v>
      </c>
      <c r="L4354" s="151" t="s">
        <v>9021</v>
      </c>
    </row>
    <row r="4355" spans="8:12" x14ac:dyDescent="0.25">
      <c r="H4355" s="151" t="s">
        <v>5506</v>
      </c>
      <c r="I4355" s="151" t="s">
        <v>6962</v>
      </c>
      <c r="J4355" s="151" t="s">
        <v>6962</v>
      </c>
      <c r="K4355" s="151">
        <f t="shared" ref="K4355:K4418" si="98">+IFERROR(J4355*1,0)</f>
        <v>0</v>
      </c>
      <c r="L4355" s="151" t="s">
        <v>9021</v>
      </c>
    </row>
    <row r="4356" spans="8:12" x14ac:dyDescent="0.25">
      <c r="H4356" s="151" t="s">
        <v>5506</v>
      </c>
      <c r="I4356" s="151" t="s">
        <v>391</v>
      </c>
      <c r="J4356" s="151" t="s">
        <v>8620</v>
      </c>
      <c r="K4356" s="151">
        <f t="shared" si="98"/>
        <v>650000000002021</v>
      </c>
      <c r="L4356" s="151" t="s">
        <v>9021</v>
      </c>
    </row>
    <row r="4357" spans="8:12" x14ac:dyDescent="0.25">
      <c r="H4357" s="151" t="s">
        <v>5507</v>
      </c>
      <c r="I4357" s="151" t="s">
        <v>6962</v>
      </c>
      <c r="J4357" s="151" t="s">
        <v>6962</v>
      </c>
      <c r="K4357" s="151">
        <f t="shared" si="98"/>
        <v>0</v>
      </c>
      <c r="L4357" s="151" t="s">
        <v>9021</v>
      </c>
    </row>
    <row r="4358" spans="8:12" x14ac:dyDescent="0.25">
      <c r="H4358" s="151" t="s">
        <v>5507</v>
      </c>
      <c r="I4358" s="151" t="s">
        <v>391</v>
      </c>
      <c r="J4358" s="151" t="s">
        <v>8621</v>
      </c>
      <c r="K4358" s="151">
        <f t="shared" si="98"/>
        <v>650000000002022</v>
      </c>
      <c r="L4358" s="151" t="s">
        <v>9021</v>
      </c>
    </row>
    <row r="4359" spans="8:12" x14ac:dyDescent="0.25">
      <c r="H4359" s="151" t="s">
        <v>5508</v>
      </c>
      <c r="I4359" s="151" t="s">
        <v>6962</v>
      </c>
      <c r="J4359" s="151" t="s">
        <v>6962</v>
      </c>
      <c r="K4359" s="151">
        <f t="shared" si="98"/>
        <v>0</v>
      </c>
      <c r="L4359" s="151" t="s">
        <v>9021</v>
      </c>
    </row>
    <row r="4360" spans="8:12" x14ac:dyDescent="0.25">
      <c r="H4360" s="151" t="s">
        <v>5508</v>
      </c>
      <c r="I4360" s="151" t="s">
        <v>391</v>
      </c>
      <c r="J4360" s="151" t="s">
        <v>8622</v>
      </c>
      <c r="K4360" s="151">
        <f t="shared" si="98"/>
        <v>650000000001211</v>
      </c>
      <c r="L4360" s="151" t="s">
        <v>9021</v>
      </c>
    </row>
    <row r="4361" spans="8:12" x14ac:dyDescent="0.25">
      <c r="H4361" s="151" t="s">
        <v>6934</v>
      </c>
      <c r="I4361" s="151" t="s">
        <v>6962</v>
      </c>
      <c r="J4361" s="151" t="s">
        <v>6962</v>
      </c>
      <c r="K4361" s="151">
        <f t="shared" si="98"/>
        <v>0</v>
      </c>
      <c r="L4361" s="151" t="s">
        <v>9021</v>
      </c>
    </row>
    <row r="4362" spans="8:12" x14ac:dyDescent="0.25">
      <c r="H4362" s="151" t="s">
        <v>5509</v>
      </c>
      <c r="I4362" s="151" t="s">
        <v>6962</v>
      </c>
      <c r="J4362" s="151" t="s">
        <v>6962</v>
      </c>
      <c r="K4362" s="151">
        <f t="shared" si="98"/>
        <v>0</v>
      </c>
      <c r="L4362" s="151" t="s">
        <v>9021</v>
      </c>
    </row>
    <row r="4363" spans="8:12" x14ac:dyDescent="0.25">
      <c r="H4363" s="151" t="s">
        <v>5509</v>
      </c>
      <c r="I4363" s="151" t="s">
        <v>391</v>
      </c>
      <c r="J4363" s="151" t="s">
        <v>8623</v>
      </c>
      <c r="K4363" s="151">
        <f t="shared" si="98"/>
        <v>650000000001212</v>
      </c>
      <c r="L4363" s="151" t="s">
        <v>9021</v>
      </c>
    </row>
    <row r="4364" spans="8:12" x14ac:dyDescent="0.25">
      <c r="H4364" s="151" t="s">
        <v>5510</v>
      </c>
      <c r="I4364" s="151" t="s">
        <v>6962</v>
      </c>
      <c r="J4364" s="151" t="s">
        <v>6962</v>
      </c>
      <c r="K4364" s="151">
        <f t="shared" si="98"/>
        <v>0</v>
      </c>
      <c r="L4364" s="151" t="s">
        <v>9021</v>
      </c>
    </row>
    <row r="4365" spans="8:12" x14ac:dyDescent="0.25">
      <c r="H4365" s="151" t="s">
        <v>5510</v>
      </c>
      <c r="I4365" s="151" t="s">
        <v>391</v>
      </c>
      <c r="J4365" s="151" t="s">
        <v>8624</v>
      </c>
      <c r="K4365" s="151">
        <f t="shared" si="98"/>
        <v>650000000002023</v>
      </c>
      <c r="L4365" s="151" t="s">
        <v>9021</v>
      </c>
    </row>
    <row r="4366" spans="8:12" x14ac:dyDescent="0.25">
      <c r="H4366" s="151" t="s">
        <v>5511</v>
      </c>
      <c r="I4366" s="151" t="s">
        <v>6962</v>
      </c>
      <c r="J4366" s="151" t="s">
        <v>6962</v>
      </c>
      <c r="K4366" s="151">
        <f t="shared" si="98"/>
        <v>0</v>
      </c>
      <c r="L4366" s="151" t="s">
        <v>9021</v>
      </c>
    </row>
    <row r="4367" spans="8:12" x14ac:dyDescent="0.25">
      <c r="H4367" s="151" t="s">
        <v>5511</v>
      </c>
      <c r="I4367" s="151" t="s">
        <v>391</v>
      </c>
      <c r="J4367" s="151" t="s">
        <v>8625</v>
      </c>
      <c r="K4367" s="151">
        <f t="shared" si="98"/>
        <v>650000000001213</v>
      </c>
      <c r="L4367" s="151" t="s">
        <v>9021</v>
      </c>
    </row>
    <row r="4368" spans="8:12" x14ac:dyDescent="0.25">
      <c r="H4368" s="151" t="s">
        <v>6935</v>
      </c>
      <c r="I4368" s="151" t="s">
        <v>6962</v>
      </c>
      <c r="J4368" s="151" t="s">
        <v>6962</v>
      </c>
      <c r="K4368" s="151">
        <f t="shared" si="98"/>
        <v>0</v>
      </c>
      <c r="L4368" s="151" t="s">
        <v>9021</v>
      </c>
    </row>
    <row r="4369" spans="8:12" x14ac:dyDescent="0.25">
      <c r="H4369" s="151" t="s">
        <v>5512</v>
      </c>
      <c r="I4369" s="151" t="s">
        <v>6962</v>
      </c>
      <c r="J4369" s="151" t="s">
        <v>6962</v>
      </c>
      <c r="K4369" s="151">
        <f t="shared" si="98"/>
        <v>0</v>
      </c>
      <c r="L4369" s="151" t="s">
        <v>9026</v>
      </c>
    </row>
    <row r="4370" spans="8:12" x14ac:dyDescent="0.25">
      <c r="H4370" s="151" t="s">
        <v>5512</v>
      </c>
      <c r="I4370" s="151" t="s">
        <v>391</v>
      </c>
      <c r="J4370" s="151" t="s">
        <v>8626</v>
      </c>
      <c r="K4370" s="151">
        <f t="shared" si="98"/>
        <v>650000000001214</v>
      </c>
      <c r="L4370" s="151" t="s">
        <v>9026</v>
      </c>
    </row>
    <row r="4371" spans="8:12" x14ac:dyDescent="0.25">
      <c r="H4371" s="151" t="s">
        <v>5513</v>
      </c>
      <c r="I4371" s="151" t="s">
        <v>6962</v>
      </c>
      <c r="J4371" s="151" t="s">
        <v>6962</v>
      </c>
      <c r="K4371" s="151">
        <f t="shared" si="98"/>
        <v>0</v>
      </c>
      <c r="L4371" s="151" t="s">
        <v>9025</v>
      </c>
    </row>
    <row r="4372" spans="8:12" x14ac:dyDescent="0.25">
      <c r="H4372" s="151" t="s">
        <v>5513</v>
      </c>
      <c r="I4372" s="151" t="s">
        <v>391</v>
      </c>
      <c r="J4372" s="151" t="s">
        <v>8627</v>
      </c>
      <c r="K4372" s="151">
        <f t="shared" si="98"/>
        <v>650000000001215</v>
      </c>
      <c r="L4372" s="151" t="s">
        <v>9025</v>
      </c>
    </row>
    <row r="4373" spans="8:12" x14ac:dyDescent="0.25">
      <c r="H4373" s="151" t="s">
        <v>5514</v>
      </c>
      <c r="I4373" s="151" t="s">
        <v>6962</v>
      </c>
      <c r="J4373" s="151" t="s">
        <v>6962</v>
      </c>
      <c r="K4373" s="151">
        <f t="shared" si="98"/>
        <v>0</v>
      </c>
      <c r="L4373" s="151" t="s">
        <v>9021</v>
      </c>
    </row>
    <row r="4374" spans="8:12" x14ac:dyDescent="0.25">
      <c r="H4374" s="151" t="s">
        <v>5514</v>
      </c>
      <c r="I4374" s="151" t="s">
        <v>391</v>
      </c>
      <c r="J4374" s="151" t="s">
        <v>8628</v>
      </c>
      <c r="K4374" s="151">
        <f t="shared" si="98"/>
        <v>650000000001216</v>
      </c>
      <c r="L4374" s="151" t="s">
        <v>9021</v>
      </c>
    </row>
    <row r="4375" spans="8:12" x14ac:dyDescent="0.25">
      <c r="H4375" s="151" t="s">
        <v>5515</v>
      </c>
      <c r="I4375" s="151" t="s">
        <v>6962</v>
      </c>
      <c r="J4375" s="151" t="s">
        <v>6962</v>
      </c>
      <c r="K4375" s="151">
        <f t="shared" si="98"/>
        <v>0</v>
      </c>
      <c r="L4375" s="151" t="s">
        <v>9021</v>
      </c>
    </row>
    <row r="4376" spans="8:12" x14ac:dyDescent="0.25">
      <c r="H4376" s="151" t="s">
        <v>5515</v>
      </c>
      <c r="I4376" s="151" t="s">
        <v>391</v>
      </c>
      <c r="J4376" s="151" t="s">
        <v>8629</v>
      </c>
      <c r="K4376" s="151">
        <f t="shared" si="98"/>
        <v>650000000001217</v>
      </c>
      <c r="L4376" s="151" t="s">
        <v>9021</v>
      </c>
    </row>
    <row r="4377" spans="8:12" x14ac:dyDescent="0.25">
      <c r="H4377" s="151" t="s">
        <v>5516</v>
      </c>
      <c r="I4377" s="151" t="s">
        <v>6962</v>
      </c>
      <c r="J4377" s="151" t="s">
        <v>6962</v>
      </c>
      <c r="K4377" s="151">
        <f t="shared" si="98"/>
        <v>0</v>
      </c>
      <c r="L4377" s="151" t="s">
        <v>9021</v>
      </c>
    </row>
    <row r="4378" spans="8:12" x14ac:dyDescent="0.25">
      <c r="H4378" s="151" t="s">
        <v>5516</v>
      </c>
      <c r="I4378" s="151" t="s">
        <v>391</v>
      </c>
      <c r="J4378" s="151" t="s">
        <v>8630</v>
      </c>
      <c r="K4378" s="151">
        <f t="shared" si="98"/>
        <v>650000000002024</v>
      </c>
      <c r="L4378" s="151" t="s">
        <v>9021</v>
      </c>
    </row>
    <row r="4379" spans="8:12" x14ac:dyDescent="0.25">
      <c r="H4379" s="151" t="s">
        <v>6936</v>
      </c>
      <c r="I4379" s="151" t="s">
        <v>6962</v>
      </c>
      <c r="J4379" s="151" t="s">
        <v>6962</v>
      </c>
      <c r="K4379" s="151">
        <f t="shared" si="98"/>
        <v>0</v>
      </c>
      <c r="L4379" s="151" t="s">
        <v>9021</v>
      </c>
    </row>
    <row r="4380" spans="8:12" x14ac:dyDescent="0.25">
      <c r="H4380" s="151" t="s">
        <v>5517</v>
      </c>
      <c r="I4380" s="151" t="s">
        <v>6962</v>
      </c>
      <c r="J4380" s="151" t="s">
        <v>6962</v>
      </c>
      <c r="K4380" s="151">
        <f t="shared" si="98"/>
        <v>0</v>
      </c>
      <c r="L4380" s="151" t="s">
        <v>9021</v>
      </c>
    </row>
    <row r="4381" spans="8:12" x14ac:dyDescent="0.25">
      <c r="H4381" s="151" t="s">
        <v>5517</v>
      </c>
      <c r="I4381" s="151" t="s">
        <v>391</v>
      </c>
      <c r="J4381" s="151" t="s">
        <v>8631</v>
      </c>
      <c r="K4381" s="151">
        <f t="shared" si="98"/>
        <v>650000000001218</v>
      </c>
      <c r="L4381" s="151" t="s">
        <v>9021</v>
      </c>
    </row>
    <row r="4382" spans="8:12" x14ac:dyDescent="0.25">
      <c r="H4382" s="151" t="s">
        <v>5518</v>
      </c>
      <c r="I4382" s="151" t="s">
        <v>6962</v>
      </c>
      <c r="J4382" s="151" t="s">
        <v>6962</v>
      </c>
      <c r="K4382" s="151">
        <f t="shared" si="98"/>
        <v>0</v>
      </c>
      <c r="L4382" s="151" t="s">
        <v>9021</v>
      </c>
    </row>
    <row r="4383" spans="8:12" x14ac:dyDescent="0.25">
      <c r="H4383" s="151" t="s">
        <v>5518</v>
      </c>
      <c r="I4383" s="151" t="s">
        <v>391</v>
      </c>
      <c r="J4383" s="151" t="s">
        <v>8632</v>
      </c>
      <c r="K4383" s="151">
        <f t="shared" si="98"/>
        <v>650000000001219</v>
      </c>
      <c r="L4383" s="151" t="s">
        <v>9021</v>
      </c>
    </row>
    <row r="4384" spans="8:12" x14ac:dyDescent="0.25">
      <c r="H4384" s="151" t="s">
        <v>5519</v>
      </c>
      <c r="I4384" s="151" t="s">
        <v>6962</v>
      </c>
      <c r="J4384" s="151" t="s">
        <v>6962</v>
      </c>
      <c r="K4384" s="151">
        <f t="shared" si="98"/>
        <v>0</v>
      </c>
      <c r="L4384" s="151" t="s">
        <v>9021</v>
      </c>
    </row>
    <row r="4385" spans="8:12" x14ac:dyDescent="0.25">
      <c r="H4385" s="151" t="s">
        <v>5519</v>
      </c>
      <c r="I4385" s="151" t="s">
        <v>391</v>
      </c>
      <c r="J4385" s="151" t="s">
        <v>8633</v>
      </c>
      <c r="K4385" s="151">
        <f t="shared" si="98"/>
        <v>650000000002025</v>
      </c>
      <c r="L4385" s="151" t="s">
        <v>9021</v>
      </c>
    </row>
    <row r="4386" spans="8:12" x14ac:dyDescent="0.25">
      <c r="H4386" s="151" t="s">
        <v>5520</v>
      </c>
      <c r="I4386" s="151" t="s">
        <v>6962</v>
      </c>
      <c r="J4386" s="151" t="s">
        <v>6962</v>
      </c>
      <c r="K4386" s="151">
        <f t="shared" si="98"/>
        <v>0</v>
      </c>
      <c r="L4386" s="151" t="s">
        <v>9021</v>
      </c>
    </row>
    <row r="4387" spans="8:12" x14ac:dyDescent="0.25">
      <c r="H4387" s="151" t="s">
        <v>5520</v>
      </c>
      <c r="I4387" s="151" t="s">
        <v>391</v>
      </c>
      <c r="J4387" s="151" t="s">
        <v>8634</v>
      </c>
      <c r="K4387" s="151">
        <f t="shared" si="98"/>
        <v>650000000002026</v>
      </c>
      <c r="L4387" s="151" t="s">
        <v>9021</v>
      </c>
    </row>
    <row r="4388" spans="8:12" x14ac:dyDescent="0.25">
      <c r="H4388" s="151" t="s">
        <v>5521</v>
      </c>
      <c r="I4388" s="151" t="s">
        <v>6962</v>
      </c>
      <c r="J4388" s="151" t="s">
        <v>6962</v>
      </c>
      <c r="K4388" s="151">
        <f t="shared" si="98"/>
        <v>0</v>
      </c>
      <c r="L4388" s="151" t="s">
        <v>9021</v>
      </c>
    </row>
    <row r="4389" spans="8:12" x14ac:dyDescent="0.25">
      <c r="H4389" s="151" t="s">
        <v>5521</v>
      </c>
      <c r="I4389" s="151" t="s">
        <v>391</v>
      </c>
      <c r="J4389" s="151" t="s">
        <v>8635</v>
      </c>
      <c r="K4389" s="151">
        <f t="shared" si="98"/>
        <v>650000000001220</v>
      </c>
      <c r="L4389" s="151" t="s">
        <v>9021</v>
      </c>
    </row>
    <row r="4390" spans="8:12" x14ac:dyDescent="0.25">
      <c r="H4390" s="151" t="s">
        <v>5522</v>
      </c>
      <c r="I4390" s="151" t="s">
        <v>6962</v>
      </c>
      <c r="J4390" s="151" t="s">
        <v>6962</v>
      </c>
      <c r="K4390" s="151">
        <f t="shared" si="98"/>
        <v>0</v>
      </c>
      <c r="L4390" s="151" t="s">
        <v>9021</v>
      </c>
    </row>
    <row r="4391" spans="8:12" x14ac:dyDescent="0.25">
      <c r="H4391" s="151" t="s">
        <v>5522</v>
      </c>
      <c r="I4391" s="151" t="s">
        <v>391</v>
      </c>
      <c r="J4391" s="151" t="s">
        <v>8636</v>
      </c>
      <c r="K4391" s="151">
        <f t="shared" si="98"/>
        <v>650000000002027</v>
      </c>
      <c r="L4391" s="151" t="s">
        <v>9021</v>
      </c>
    </row>
    <row r="4392" spans="8:12" x14ac:dyDescent="0.25">
      <c r="H4392" s="151" t="s">
        <v>5523</v>
      </c>
      <c r="I4392" s="151" t="s">
        <v>6962</v>
      </c>
      <c r="J4392" s="151" t="s">
        <v>6962</v>
      </c>
      <c r="K4392" s="151">
        <f t="shared" si="98"/>
        <v>0</v>
      </c>
      <c r="L4392" s="151" t="s">
        <v>9021</v>
      </c>
    </row>
    <row r="4393" spans="8:12" x14ac:dyDescent="0.25">
      <c r="H4393" s="151" t="s">
        <v>5523</v>
      </c>
      <c r="I4393" s="151" t="s">
        <v>391</v>
      </c>
      <c r="J4393" s="151" t="s">
        <v>8637</v>
      </c>
      <c r="K4393" s="151">
        <f t="shared" si="98"/>
        <v>650000000001221</v>
      </c>
      <c r="L4393" s="151" t="s">
        <v>9021</v>
      </c>
    </row>
    <row r="4394" spans="8:12" x14ac:dyDescent="0.25">
      <c r="H4394" s="151" t="s">
        <v>5524</v>
      </c>
      <c r="I4394" s="151" t="s">
        <v>6962</v>
      </c>
      <c r="J4394" s="151" t="s">
        <v>6962</v>
      </c>
      <c r="K4394" s="151">
        <f t="shared" si="98"/>
        <v>0</v>
      </c>
      <c r="L4394" s="151" t="s">
        <v>9021</v>
      </c>
    </row>
    <row r="4395" spans="8:12" x14ac:dyDescent="0.25">
      <c r="H4395" s="151" t="s">
        <v>5524</v>
      </c>
      <c r="I4395" s="151" t="s">
        <v>391</v>
      </c>
      <c r="J4395" s="151" t="s">
        <v>8638</v>
      </c>
      <c r="K4395" s="151">
        <f t="shared" si="98"/>
        <v>650000000001222</v>
      </c>
      <c r="L4395" s="151" t="s">
        <v>9021</v>
      </c>
    </row>
    <row r="4396" spans="8:12" x14ac:dyDescent="0.25">
      <c r="H4396" s="151" t="s">
        <v>5525</v>
      </c>
      <c r="I4396" s="151" t="s">
        <v>6962</v>
      </c>
      <c r="J4396" s="151" t="s">
        <v>6962</v>
      </c>
      <c r="K4396" s="151">
        <f t="shared" si="98"/>
        <v>0</v>
      </c>
      <c r="L4396" s="151" t="s">
        <v>9021</v>
      </c>
    </row>
    <row r="4397" spans="8:12" x14ac:dyDescent="0.25">
      <c r="H4397" s="151" t="s">
        <v>5525</v>
      </c>
      <c r="I4397" s="151" t="s">
        <v>391</v>
      </c>
      <c r="J4397" s="151" t="s">
        <v>8639</v>
      </c>
      <c r="K4397" s="151">
        <f t="shared" si="98"/>
        <v>650000000001223</v>
      </c>
      <c r="L4397" s="151" t="s">
        <v>9021</v>
      </c>
    </row>
    <row r="4398" spans="8:12" x14ac:dyDescent="0.25">
      <c r="H4398" s="151" t="s">
        <v>5526</v>
      </c>
      <c r="I4398" s="151" t="s">
        <v>6962</v>
      </c>
      <c r="J4398" s="151" t="s">
        <v>6962</v>
      </c>
      <c r="K4398" s="151">
        <f t="shared" si="98"/>
        <v>0</v>
      </c>
      <c r="L4398" s="151" t="s">
        <v>9021</v>
      </c>
    </row>
    <row r="4399" spans="8:12" x14ac:dyDescent="0.25">
      <c r="H4399" s="151" t="s">
        <v>5526</v>
      </c>
      <c r="I4399" s="151" t="s">
        <v>391</v>
      </c>
      <c r="J4399" s="151" t="s">
        <v>8640</v>
      </c>
      <c r="K4399" s="151">
        <f t="shared" si="98"/>
        <v>650000000001224</v>
      </c>
      <c r="L4399" s="151" t="s">
        <v>9021</v>
      </c>
    </row>
    <row r="4400" spans="8:12" x14ac:dyDescent="0.25">
      <c r="H4400" s="151" t="s">
        <v>6937</v>
      </c>
      <c r="I4400" s="151" t="s">
        <v>6962</v>
      </c>
      <c r="J4400" s="151" t="s">
        <v>6962</v>
      </c>
      <c r="K4400" s="151">
        <f t="shared" si="98"/>
        <v>0</v>
      </c>
      <c r="L4400" s="151" t="s">
        <v>9021</v>
      </c>
    </row>
    <row r="4401" spans="8:12" x14ac:dyDescent="0.25">
      <c r="H4401" s="151" t="s">
        <v>5527</v>
      </c>
      <c r="I4401" s="151" t="s">
        <v>6962</v>
      </c>
      <c r="J4401" s="151" t="s">
        <v>6962</v>
      </c>
      <c r="K4401" s="151">
        <f t="shared" si="98"/>
        <v>0</v>
      </c>
      <c r="L4401" s="151" t="s">
        <v>9021</v>
      </c>
    </row>
    <row r="4402" spans="8:12" x14ac:dyDescent="0.25">
      <c r="H4402" s="151" t="s">
        <v>5527</v>
      </c>
      <c r="I4402" s="151" t="s">
        <v>391</v>
      </c>
      <c r="J4402" s="151" t="s">
        <v>8641</v>
      </c>
      <c r="K4402" s="151">
        <f t="shared" si="98"/>
        <v>650000000001225</v>
      </c>
      <c r="L4402" s="151" t="s">
        <v>9021</v>
      </c>
    </row>
    <row r="4403" spans="8:12" x14ac:dyDescent="0.25">
      <c r="H4403" s="151" t="s">
        <v>5528</v>
      </c>
      <c r="I4403" s="151" t="s">
        <v>6962</v>
      </c>
      <c r="J4403" s="151" t="s">
        <v>6962</v>
      </c>
      <c r="K4403" s="151">
        <f t="shared" si="98"/>
        <v>0</v>
      </c>
      <c r="L4403" s="151" t="s">
        <v>9021</v>
      </c>
    </row>
    <row r="4404" spans="8:12" x14ac:dyDescent="0.25">
      <c r="H4404" s="151" t="s">
        <v>5528</v>
      </c>
      <c r="I4404" s="151" t="s">
        <v>391</v>
      </c>
      <c r="J4404" s="151" t="s">
        <v>8642</v>
      </c>
      <c r="K4404" s="151">
        <f t="shared" si="98"/>
        <v>650000000002028</v>
      </c>
      <c r="L4404" s="151" t="s">
        <v>9021</v>
      </c>
    </row>
    <row r="4405" spans="8:12" x14ac:dyDescent="0.25">
      <c r="H4405" s="151" t="s">
        <v>5529</v>
      </c>
      <c r="I4405" s="151" t="s">
        <v>6962</v>
      </c>
      <c r="J4405" s="151" t="s">
        <v>6962</v>
      </c>
      <c r="K4405" s="151">
        <f t="shared" si="98"/>
        <v>0</v>
      </c>
      <c r="L4405" s="151" t="s">
        <v>9021</v>
      </c>
    </row>
    <row r="4406" spans="8:12" x14ac:dyDescent="0.25">
      <c r="H4406" s="151" t="s">
        <v>5529</v>
      </c>
      <c r="I4406" s="151" t="s">
        <v>391</v>
      </c>
      <c r="J4406" s="151" t="s">
        <v>8643</v>
      </c>
      <c r="K4406" s="151">
        <f t="shared" si="98"/>
        <v>650000000002029</v>
      </c>
      <c r="L4406" s="151" t="s">
        <v>9021</v>
      </c>
    </row>
    <row r="4407" spans="8:12" x14ac:dyDescent="0.25">
      <c r="H4407" s="151" t="s">
        <v>5530</v>
      </c>
      <c r="I4407" s="151" t="s">
        <v>6962</v>
      </c>
      <c r="J4407" s="151" t="s">
        <v>6962</v>
      </c>
      <c r="K4407" s="151">
        <f t="shared" si="98"/>
        <v>0</v>
      </c>
      <c r="L4407" s="151" t="s">
        <v>9021</v>
      </c>
    </row>
    <row r="4408" spans="8:12" x14ac:dyDescent="0.25">
      <c r="H4408" s="151" t="s">
        <v>5530</v>
      </c>
      <c r="I4408" s="151" t="s">
        <v>391</v>
      </c>
      <c r="J4408" s="151" t="s">
        <v>8644</v>
      </c>
      <c r="K4408" s="151">
        <f t="shared" si="98"/>
        <v>650000000001226</v>
      </c>
      <c r="L4408" s="151" t="s">
        <v>9021</v>
      </c>
    </row>
    <row r="4409" spans="8:12" x14ac:dyDescent="0.25">
      <c r="H4409" s="151" t="s">
        <v>5531</v>
      </c>
      <c r="I4409" s="151" t="s">
        <v>6962</v>
      </c>
      <c r="J4409" s="151" t="s">
        <v>6962</v>
      </c>
      <c r="K4409" s="151">
        <f t="shared" si="98"/>
        <v>0</v>
      </c>
      <c r="L4409" s="151" t="s">
        <v>9021</v>
      </c>
    </row>
    <row r="4410" spans="8:12" x14ac:dyDescent="0.25">
      <c r="H4410" s="151" t="s">
        <v>5531</v>
      </c>
      <c r="I4410" s="151" t="s">
        <v>391</v>
      </c>
      <c r="J4410" s="151" t="s">
        <v>8645</v>
      </c>
      <c r="K4410" s="151">
        <f t="shared" si="98"/>
        <v>650000000002030</v>
      </c>
      <c r="L4410" s="151" t="s">
        <v>9021</v>
      </c>
    </row>
    <row r="4411" spans="8:12" x14ac:dyDescent="0.25">
      <c r="H4411" s="151" t="s">
        <v>6938</v>
      </c>
      <c r="I4411" s="151" t="s">
        <v>6962</v>
      </c>
      <c r="J4411" s="151" t="s">
        <v>6962</v>
      </c>
      <c r="K4411" s="151">
        <f t="shared" si="98"/>
        <v>0</v>
      </c>
      <c r="L4411" s="151" t="s">
        <v>9021</v>
      </c>
    </row>
    <row r="4412" spans="8:12" x14ac:dyDescent="0.25">
      <c r="H4412" s="151" t="s">
        <v>5532</v>
      </c>
      <c r="I4412" s="151" t="s">
        <v>6962</v>
      </c>
      <c r="J4412" s="151" t="s">
        <v>6962</v>
      </c>
      <c r="K4412" s="151">
        <f t="shared" si="98"/>
        <v>0</v>
      </c>
      <c r="L4412" s="151" t="s">
        <v>9021</v>
      </c>
    </row>
    <row r="4413" spans="8:12" x14ac:dyDescent="0.25">
      <c r="H4413" s="151" t="s">
        <v>5532</v>
      </c>
      <c r="I4413" s="151" t="s">
        <v>391</v>
      </c>
      <c r="J4413" s="151" t="s">
        <v>8646</v>
      </c>
      <c r="K4413" s="151">
        <f t="shared" si="98"/>
        <v>650000000001227</v>
      </c>
      <c r="L4413" s="151" t="s">
        <v>9021</v>
      </c>
    </row>
    <row r="4414" spans="8:12" x14ac:dyDescent="0.25">
      <c r="H4414" s="151" t="s">
        <v>5533</v>
      </c>
      <c r="I4414" s="151" t="s">
        <v>6962</v>
      </c>
      <c r="J4414" s="151" t="s">
        <v>6962</v>
      </c>
      <c r="K4414" s="151">
        <f t="shared" si="98"/>
        <v>0</v>
      </c>
      <c r="L4414" s="151" t="s">
        <v>9021</v>
      </c>
    </row>
    <row r="4415" spans="8:12" x14ac:dyDescent="0.25">
      <c r="H4415" s="151" t="s">
        <v>5533</v>
      </c>
      <c r="I4415" s="151" t="s">
        <v>391</v>
      </c>
      <c r="J4415" s="151" t="s">
        <v>8647</v>
      </c>
      <c r="K4415" s="151">
        <f t="shared" si="98"/>
        <v>650000000002031</v>
      </c>
      <c r="L4415" s="151" t="s">
        <v>9021</v>
      </c>
    </row>
    <row r="4416" spans="8:12" x14ac:dyDescent="0.25">
      <c r="H4416" s="151" t="s">
        <v>6939</v>
      </c>
      <c r="I4416" s="151" t="s">
        <v>6962</v>
      </c>
      <c r="J4416" s="151" t="s">
        <v>6962</v>
      </c>
      <c r="K4416" s="151">
        <f t="shared" si="98"/>
        <v>0</v>
      </c>
      <c r="L4416" s="151" t="s">
        <v>9021</v>
      </c>
    </row>
    <row r="4417" spans="8:12" x14ac:dyDescent="0.25">
      <c r="H4417" s="151" t="s">
        <v>5534</v>
      </c>
      <c r="I4417" s="151" t="s">
        <v>6962</v>
      </c>
      <c r="J4417" s="151" t="s">
        <v>6962</v>
      </c>
      <c r="K4417" s="151">
        <f t="shared" si="98"/>
        <v>0</v>
      </c>
      <c r="L4417" s="151" t="s">
        <v>9021</v>
      </c>
    </row>
    <row r="4418" spans="8:12" x14ac:dyDescent="0.25">
      <c r="H4418" s="151" t="s">
        <v>5534</v>
      </c>
      <c r="I4418" s="151" t="s">
        <v>391</v>
      </c>
      <c r="J4418" s="151" t="s">
        <v>8648</v>
      </c>
      <c r="K4418" s="151">
        <f t="shared" si="98"/>
        <v>650000000001228</v>
      </c>
      <c r="L4418" s="151" t="s">
        <v>9021</v>
      </c>
    </row>
    <row r="4419" spans="8:12" x14ac:dyDescent="0.25">
      <c r="H4419" s="151" t="s">
        <v>5535</v>
      </c>
      <c r="I4419" s="151" t="s">
        <v>6962</v>
      </c>
      <c r="J4419" s="151" t="s">
        <v>6962</v>
      </c>
      <c r="K4419" s="151">
        <f t="shared" ref="K4419:K4482" si="99">+IFERROR(J4419*1,0)</f>
        <v>0</v>
      </c>
      <c r="L4419" s="151" t="s">
        <v>9026</v>
      </c>
    </row>
    <row r="4420" spans="8:12" x14ac:dyDescent="0.25">
      <c r="H4420" s="151" t="s">
        <v>5535</v>
      </c>
      <c r="I4420" s="151" t="s">
        <v>391</v>
      </c>
      <c r="J4420" s="151" t="s">
        <v>8649</v>
      </c>
      <c r="K4420" s="151">
        <f t="shared" si="99"/>
        <v>650000000002032</v>
      </c>
      <c r="L4420" s="151" t="s">
        <v>9026</v>
      </c>
    </row>
    <row r="4421" spans="8:12" x14ac:dyDescent="0.25">
      <c r="H4421" s="151" t="s">
        <v>5536</v>
      </c>
      <c r="I4421" s="151" t="s">
        <v>6962</v>
      </c>
      <c r="J4421" s="151" t="s">
        <v>6962</v>
      </c>
      <c r="K4421" s="151">
        <f t="shared" si="99"/>
        <v>0</v>
      </c>
      <c r="L4421" s="151" t="s">
        <v>9025</v>
      </c>
    </row>
    <row r="4422" spans="8:12" x14ac:dyDescent="0.25">
      <c r="H4422" s="151" t="s">
        <v>5536</v>
      </c>
      <c r="I4422" s="151" t="s">
        <v>391</v>
      </c>
      <c r="J4422" s="151" t="s">
        <v>8650</v>
      </c>
      <c r="K4422" s="151">
        <f t="shared" si="99"/>
        <v>650000000001229</v>
      </c>
      <c r="L4422" s="151" t="s">
        <v>9025</v>
      </c>
    </row>
    <row r="4423" spans="8:12" x14ac:dyDescent="0.25">
      <c r="H4423" s="151" t="s">
        <v>5537</v>
      </c>
      <c r="I4423" s="151" t="s">
        <v>6962</v>
      </c>
      <c r="J4423" s="151" t="s">
        <v>6962</v>
      </c>
      <c r="K4423" s="151">
        <f t="shared" si="99"/>
        <v>0</v>
      </c>
      <c r="L4423" s="151" t="s">
        <v>9021</v>
      </c>
    </row>
    <row r="4424" spans="8:12" x14ac:dyDescent="0.25">
      <c r="H4424" s="151" t="s">
        <v>5537</v>
      </c>
      <c r="I4424" s="151" t="s">
        <v>391</v>
      </c>
      <c r="J4424" s="151" t="s">
        <v>8651</v>
      </c>
      <c r="K4424" s="151">
        <f t="shared" si="99"/>
        <v>650000000001230</v>
      </c>
      <c r="L4424" s="151" t="s">
        <v>9021</v>
      </c>
    </row>
    <row r="4425" spans="8:12" x14ac:dyDescent="0.25">
      <c r="H4425" s="151" t="s">
        <v>5538</v>
      </c>
      <c r="I4425" s="151" t="s">
        <v>6962</v>
      </c>
      <c r="J4425" s="151" t="s">
        <v>6962</v>
      </c>
      <c r="K4425" s="151">
        <f t="shared" si="99"/>
        <v>0</v>
      </c>
      <c r="L4425" s="151" t="s">
        <v>9021</v>
      </c>
    </row>
    <row r="4426" spans="8:12" x14ac:dyDescent="0.25">
      <c r="H4426" s="151" t="s">
        <v>5538</v>
      </c>
      <c r="I4426" s="151" t="s">
        <v>391</v>
      </c>
      <c r="J4426" s="151" t="s">
        <v>8652</v>
      </c>
      <c r="K4426" s="151">
        <f t="shared" si="99"/>
        <v>650000000001231</v>
      </c>
      <c r="L4426" s="151" t="s">
        <v>9021</v>
      </c>
    </row>
    <row r="4427" spans="8:12" x14ac:dyDescent="0.25">
      <c r="H4427" s="151" t="s">
        <v>5539</v>
      </c>
      <c r="I4427" s="151" t="s">
        <v>6962</v>
      </c>
      <c r="J4427" s="151" t="s">
        <v>6962</v>
      </c>
      <c r="K4427" s="151">
        <f t="shared" si="99"/>
        <v>0</v>
      </c>
      <c r="L4427" s="151" t="s">
        <v>9021</v>
      </c>
    </row>
    <row r="4428" spans="8:12" x14ac:dyDescent="0.25">
      <c r="H4428" s="151" t="s">
        <v>5539</v>
      </c>
      <c r="I4428" s="151" t="s">
        <v>391</v>
      </c>
      <c r="J4428" s="151" t="s">
        <v>8653</v>
      </c>
      <c r="K4428" s="151">
        <f t="shared" si="99"/>
        <v>650000000002033</v>
      </c>
      <c r="L4428" s="151" t="s">
        <v>9021</v>
      </c>
    </row>
    <row r="4429" spans="8:12" x14ac:dyDescent="0.25">
      <c r="H4429" s="151" t="s">
        <v>5540</v>
      </c>
      <c r="I4429" s="151" t="s">
        <v>6962</v>
      </c>
      <c r="J4429" s="151" t="s">
        <v>6962</v>
      </c>
      <c r="K4429" s="151">
        <f t="shared" si="99"/>
        <v>0</v>
      </c>
      <c r="L4429" s="151" t="s">
        <v>9021</v>
      </c>
    </row>
    <row r="4430" spans="8:12" x14ac:dyDescent="0.25">
      <c r="H4430" s="151" t="s">
        <v>5540</v>
      </c>
      <c r="I4430" s="151" t="s">
        <v>391</v>
      </c>
      <c r="J4430" s="151" t="s">
        <v>8654</v>
      </c>
      <c r="K4430" s="151">
        <f t="shared" si="99"/>
        <v>650000000001232</v>
      </c>
      <c r="L4430" s="151" t="s">
        <v>9021</v>
      </c>
    </row>
    <row r="4431" spans="8:12" x14ac:dyDescent="0.25">
      <c r="H4431" s="151" t="s">
        <v>5541</v>
      </c>
      <c r="I4431" s="151" t="s">
        <v>6962</v>
      </c>
      <c r="J4431" s="151" t="s">
        <v>6962</v>
      </c>
      <c r="K4431" s="151">
        <f t="shared" si="99"/>
        <v>0</v>
      </c>
      <c r="L4431" s="151" t="s">
        <v>9021</v>
      </c>
    </row>
    <row r="4432" spans="8:12" x14ac:dyDescent="0.25">
      <c r="H4432" s="151" t="s">
        <v>5541</v>
      </c>
      <c r="I4432" s="151" t="s">
        <v>391</v>
      </c>
      <c r="J4432" s="151" t="s">
        <v>8655</v>
      </c>
      <c r="K4432" s="151">
        <f t="shared" si="99"/>
        <v>650000000001233</v>
      </c>
      <c r="L4432" s="151" t="s">
        <v>9021</v>
      </c>
    </row>
    <row r="4433" spans="8:12" x14ac:dyDescent="0.25">
      <c r="H4433" s="151" t="s">
        <v>5542</v>
      </c>
      <c r="I4433" s="151" t="s">
        <v>6962</v>
      </c>
      <c r="J4433" s="151" t="s">
        <v>6962</v>
      </c>
      <c r="K4433" s="151">
        <f t="shared" si="99"/>
        <v>0</v>
      </c>
      <c r="L4433" s="151" t="s">
        <v>9021</v>
      </c>
    </row>
    <row r="4434" spans="8:12" x14ac:dyDescent="0.25">
      <c r="H4434" s="151" t="s">
        <v>5542</v>
      </c>
      <c r="I4434" s="151" t="s">
        <v>391</v>
      </c>
      <c r="J4434" s="151" t="s">
        <v>8656</v>
      </c>
      <c r="K4434" s="151">
        <f t="shared" si="99"/>
        <v>650000000002034</v>
      </c>
      <c r="L4434" s="151" t="s">
        <v>9021</v>
      </c>
    </row>
    <row r="4435" spans="8:12" x14ac:dyDescent="0.25">
      <c r="H4435" s="151" t="s">
        <v>5543</v>
      </c>
      <c r="I4435" s="151" t="s">
        <v>6962</v>
      </c>
      <c r="J4435" s="151" t="s">
        <v>6962</v>
      </c>
      <c r="K4435" s="151">
        <f t="shared" si="99"/>
        <v>0</v>
      </c>
      <c r="L4435" s="151" t="s">
        <v>9021</v>
      </c>
    </row>
    <row r="4436" spans="8:12" x14ac:dyDescent="0.25">
      <c r="H4436" s="151" t="s">
        <v>5543</v>
      </c>
      <c r="I4436" s="151" t="s">
        <v>391</v>
      </c>
      <c r="J4436" s="151" t="s">
        <v>8657</v>
      </c>
      <c r="K4436" s="151">
        <f t="shared" si="99"/>
        <v>650000000002035</v>
      </c>
      <c r="L4436" s="151" t="s">
        <v>9021</v>
      </c>
    </row>
    <row r="4437" spans="8:12" x14ac:dyDescent="0.25">
      <c r="H4437" s="151" t="s">
        <v>5544</v>
      </c>
      <c r="I4437" s="151" t="s">
        <v>6962</v>
      </c>
      <c r="J4437" s="151" t="s">
        <v>6962</v>
      </c>
      <c r="K4437" s="151">
        <f t="shared" si="99"/>
        <v>0</v>
      </c>
      <c r="L4437" s="151" t="s">
        <v>9021</v>
      </c>
    </row>
    <row r="4438" spans="8:12" x14ac:dyDescent="0.25">
      <c r="H4438" s="151" t="s">
        <v>5544</v>
      </c>
      <c r="I4438" s="151" t="s">
        <v>391</v>
      </c>
      <c r="J4438" s="151" t="s">
        <v>8658</v>
      </c>
      <c r="K4438" s="151">
        <f t="shared" si="99"/>
        <v>650000000001234</v>
      </c>
      <c r="L4438" s="151" t="s">
        <v>9021</v>
      </c>
    </row>
    <row r="4439" spans="8:12" x14ac:dyDescent="0.25">
      <c r="H4439" s="151" t="s">
        <v>5545</v>
      </c>
      <c r="I4439" s="151" t="s">
        <v>6962</v>
      </c>
      <c r="J4439" s="151" t="s">
        <v>6962</v>
      </c>
      <c r="K4439" s="151">
        <f t="shared" si="99"/>
        <v>0</v>
      </c>
      <c r="L4439" s="151" t="s">
        <v>9021</v>
      </c>
    </row>
    <row r="4440" spans="8:12" x14ac:dyDescent="0.25">
      <c r="H4440" s="151" t="s">
        <v>5545</v>
      </c>
      <c r="I4440" s="151" t="s">
        <v>391</v>
      </c>
      <c r="J4440" s="151" t="s">
        <v>8659</v>
      </c>
      <c r="K4440" s="151">
        <f t="shared" si="99"/>
        <v>650000000002036</v>
      </c>
      <c r="L4440" s="151" t="s">
        <v>9021</v>
      </c>
    </row>
    <row r="4441" spans="8:12" x14ac:dyDescent="0.25">
      <c r="H4441" s="151" t="s">
        <v>5546</v>
      </c>
      <c r="I4441" s="151" t="s">
        <v>6962</v>
      </c>
      <c r="J4441" s="151" t="s">
        <v>6962</v>
      </c>
      <c r="K4441" s="151">
        <f t="shared" si="99"/>
        <v>0</v>
      </c>
      <c r="L4441" s="151" t="s">
        <v>9021</v>
      </c>
    </row>
    <row r="4442" spans="8:12" x14ac:dyDescent="0.25">
      <c r="H4442" s="151" t="s">
        <v>5546</v>
      </c>
      <c r="I4442" s="151" t="s">
        <v>391</v>
      </c>
      <c r="J4442" s="151" t="s">
        <v>8660</v>
      </c>
      <c r="K4442" s="151">
        <f t="shared" si="99"/>
        <v>650000000001235</v>
      </c>
      <c r="L4442" s="151" t="s">
        <v>9021</v>
      </c>
    </row>
    <row r="4443" spans="8:12" x14ac:dyDescent="0.25">
      <c r="H4443" s="151" t="s">
        <v>5547</v>
      </c>
      <c r="I4443" s="151" t="s">
        <v>6962</v>
      </c>
      <c r="J4443" s="151" t="s">
        <v>6962</v>
      </c>
      <c r="K4443" s="151">
        <f t="shared" si="99"/>
        <v>0</v>
      </c>
      <c r="L4443" s="151" t="s">
        <v>9021</v>
      </c>
    </row>
    <row r="4444" spans="8:12" x14ac:dyDescent="0.25">
      <c r="H4444" s="151" t="s">
        <v>5547</v>
      </c>
      <c r="I4444" s="151" t="s">
        <v>391</v>
      </c>
      <c r="J4444" s="151" t="s">
        <v>8661</v>
      </c>
      <c r="K4444" s="151">
        <f t="shared" si="99"/>
        <v>650000000002037</v>
      </c>
      <c r="L4444" s="151" t="s">
        <v>9021</v>
      </c>
    </row>
    <row r="4445" spans="8:12" x14ac:dyDescent="0.25">
      <c r="H4445" s="151" t="s">
        <v>5548</v>
      </c>
      <c r="I4445" s="151" t="s">
        <v>6962</v>
      </c>
      <c r="J4445" s="151" t="s">
        <v>6962</v>
      </c>
      <c r="K4445" s="151">
        <f t="shared" si="99"/>
        <v>0</v>
      </c>
      <c r="L4445" s="151" t="s">
        <v>9021</v>
      </c>
    </row>
    <row r="4446" spans="8:12" x14ac:dyDescent="0.25">
      <c r="H4446" s="151" t="s">
        <v>5548</v>
      </c>
      <c r="I4446" s="151" t="s">
        <v>391</v>
      </c>
      <c r="J4446" s="151" t="s">
        <v>8662</v>
      </c>
      <c r="K4446" s="151">
        <f t="shared" si="99"/>
        <v>650000000002038</v>
      </c>
      <c r="L4446" s="151" t="s">
        <v>9021</v>
      </c>
    </row>
    <row r="4447" spans="8:12" x14ac:dyDescent="0.25">
      <c r="H4447" s="151" t="s">
        <v>5549</v>
      </c>
      <c r="I4447" s="151" t="s">
        <v>6962</v>
      </c>
      <c r="J4447" s="151" t="s">
        <v>6962</v>
      </c>
      <c r="K4447" s="151">
        <f t="shared" si="99"/>
        <v>0</v>
      </c>
      <c r="L4447" s="151" t="s">
        <v>9021</v>
      </c>
    </row>
    <row r="4448" spans="8:12" x14ac:dyDescent="0.25">
      <c r="H4448" s="151" t="s">
        <v>5549</v>
      </c>
      <c r="I4448" s="151" t="s">
        <v>391</v>
      </c>
      <c r="J4448" s="151" t="s">
        <v>8663</v>
      </c>
      <c r="K4448" s="151">
        <f t="shared" si="99"/>
        <v>650000000001236</v>
      </c>
      <c r="L4448" s="151" t="s">
        <v>9021</v>
      </c>
    </row>
    <row r="4449" spans="8:12" x14ac:dyDescent="0.25">
      <c r="H4449" s="151" t="s">
        <v>5550</v>
      </c>
      <c r="I4449" s="151" t="s">
        <v>6962</v>
      </c>
      <c r="J4449" s="151" t="s">
        <v>6962</v>
      </c>
      <c r="K4449" s="151">
        <f t="shared" si="99"/>
        <v>0</v>
      </c>
      <c r="L4449" s="151" t="s">
        <v>9021</v>
      </c>
    </row>
    <row r="4450" spans="8:12" x14ac:dyDescent="0.25">
      <c r="H4450" s="151" t="s">
        <v>5550</v>
      </c>
      <c r="I4450" s="151" t="s">
        <v>391</v>
      </c>
      <c r="J4450" s="151" t="s">
        <v>8664</v>
      </c>
      <c r="K4450" s="151">
        <f t="shared" si="99"/>
        <v>650000000001237</v>
      </c>
      <c r="L4450" s="151" t="s">
        <v>9021</v>
      </c>
    </row>
    <row r="4451" spans="8:12" x14ac:dyDescent="0.25">
      <c r="H4451" s="151" t="s">
        <v>5551</v>
      </c>
      <c r="I4451" s="151" t="s">
        <v>6962</v>
      </c>
      <c r="J4451" s="151" t="s">
        <v>6962</v>
      </c>
      <c r="K4451" s="151">
        <f t="shared" si="99"/>
        <v>0</v>
      </c>
      <c r="L4451" s="151" t="s">
        <v>9021</v>
      </c>
    </row>
    <row r="4452" spans="8:12" x14ac:dyDescent="0.25">
      <c r="H4452" s="151" t="s">
        <v>5551</v>
      </c>
      <c r="I4452" s="151" t="s">
        <v>391</v>
      </c>
      <c r="J4452" s="151" t="s">
        <v>8665</v>
      </c>
      <c r="K4452" s="151">
        <f t="shared" si="99"/>
        <v>650000000001238</v>
      </c>
      <c r="L4452" s="151" t="s">
        <v>9021</v>
      </c>
    </row>
    <row r="4453" spans="8:12" x14ac:dyDescent="0.25">
      <c r="H4453" s="151" t="s">
        <v>5552</v>
      </c>
      <c r="I4453" s="151" t="s">
        <v>6962</v>
      </c>
      <c r="J4453" s="151" t="s">
        <v>6962</v>
      </c>
      <c r="K4453" s="151">
        <f t="shared" si="99"/>
        <v>0</v>
      </c>
      <c r="L4453" s="151" t="s">
        <v>9021</v>
      </c>
    </row>
    <row r="4454" spans="8:12" x14ac:dyDescent="0.25">
      <c r="H4454" s="151" t="s">
        <v>5552</v>
      </c>
      <c r="I4454" s="151" t="s">
        <v>391</v>
      </c>
      <c r="J4454" s="151" t="s">
        <v>8666</v>
      </c>
      <c r="K4454" s="151">
        <f t="shared" si="99"/>
        <v>650000000001239</v>
      </c>
      <c r="L4454" s="151" t="s">
        <v>9021</v>
      </c>
    </row>
    <row r="4455" spans="8:12" x14ac:dyDescent="0.25">
      <c r="H4455" s="151" t="s">
        <v>5553</v>
      </c>
      <c r="I4455" s="151" t="s">
        <v>6962</v>
      </c>
      <c r="J4455" s="151" t="s">
        <v>6962</v>
      </c>
      <c r="K4455" s="151">
        <f t="shared" si="99"/>
        <v>0</v>
      </c>
      <c r="L4455" s="151" t="s">
        <v>9021</v>
      </c>
    </row>
    <row r="4456" spans="8:12" x14ac:dyDescent="0.25">
      <c r="H4456" s="151" t="s">
        <v>5553</v>
      </c>
      <c r="I4456" s="151" t="s">
        <v>391</v>
      </c>
      <c r="J4456" s="151" t="s">
        <v>8667</v>
      </c>
      <c r="K4456" s="151">
        <f t="shared" si="99"/>
        <v>650000000001240</v>
      </c>
      <c r="L4456" s="151" t="s">
        <v>9021</v>
      </c>
    </row>
    <row r="4457" spans="8:12" x14ac:dyDescent="0.25">
      <c r="H4457" s="151" t="s">
        <v>5554</v>
      </c>
      <c r="I4457" s="151" t="s">
        <v>6962</v>
      </c>
      <c r="J4457" s="151" t="s">
        <v>6962</v>
      </c>
      <c r="K4457" s="151">
        <f t="shared" si="99"/>
        <v>0</v>
      </c>
      <c r="L4457" s="151" t="s">
        <v>9021</v>
      </c>
    </row>
    <row r="4458" spans="8:12" x14ac:dyDescent="0.25">
      <c r="H4458" s="151" t="s">
        <v>5554</v>
      </c>
      <c r="I4458" s="151" t="s">
        <v>391</v>
      </c>
      <c r="J4458" s="151" t="s">
        <v>8668</v>
      </c>
      <c r="K4458" s="151">
        <f t="shared" si="99"/>
        <v>650000000001241</v>
      </c>
      <c r="L4458" s="151" t="s">
        <v>9021</v>
      </c>
    </row>
    <row r="4459" spans="8:12" x14ac:dyDescent="0.25">
      <c r="H4459" s="151" t="s">
        <v>5555</v>
      </c>
      <c r="I4459" s="151" t="s">
        <v>6962</v>
      </c>
      <c r="J4459" s="151" t="s">
        <v>6962</v>
      </c>
      <c r="K4459" s="151">
        <f t="shared" si="99"/>
        <v>0</v>
      </c>
      <c r="L4459" s="151" t="s">
        <v>9021</v>
      </c>
    </row>
    <row r="4460" spans="8:12" x14ac:dyDescent="0.25">
      <c r="H4460" s="151" t="s">
        <v>5555</v>
      </c>
      <c r="I4460" s="151" t="s">
        <v>391</v>
      </c>
      <c r="J4460" s="151" t="s">
        <v>8669</v>
      </c>
      <c r="K4460" s="151">
        <f t="shared" si="99"/>
        <v>650000000001242</v>
      </c>
      <c r="L4460" s="151" t="s">
        <v>9021</v>
      </c>
    </row>
    <row r="4461" spans="8:12" x14ac:dyDescent="0.25">
      <c r="H4461" s="151" t="s">
        <v>5556</v>
      </c>
      <c r="I4461" s="151" t="s">
        <v>6962</v>
      </c>
      <c r="J4461" s="151" t="s">
        <v>6962</v>
      </c>
      <c r="K4461" s="151">
        <f t="shared" si="99"/>
        <v>0</v>
      </c>
      <c r="L4461" s="151" t="s">
        <v>9021</v>
      </c>
    </row>
    <row r="4462" spans="8:12" x14ac:dyDescent="0.25">
      <c r="H4462" s="151" t="s">
        <v>5556</v>
      </c>
      <c r="I4462" s="151" t="s">
        <v>391</v>
      </c>
      <c r="J4462" s="151" t="s">
        <v>8670</v>
      </c>
      <c r="K4462" s="151">
        <f t="shared" si="99"/>
        <v>650000000002039</v>
      </c>
      <c r="L4462" s="151" t="s">
        <v>9021</v>
      </c>
    </row>
    <row r="4463" spans="8:12" x14ac:dyDescent="0.25">
      <c r="H4463" s="151" t="s">
        <v>5557</v>
      </c>
      <c r="I4463" s="151" t="s">
        <v>6962</v>
      </c>
      <c r="J4463" s="151" t="s">
        <v>6962</v>
      </c>
      <c r="K4463" s="151">
        <f t="shared" si="99"/>
        <v>0</v>
      </c>
      <c r="L4463" s="151" t="s">
        <v>9021</v>
      </c>
    </row>
    <row r="4464" spans="8:12" x14ac:dyDescent="0.25">
      <c r="H4464" s="151" t="s">
        <v>5557</v>
      </c>
      <c r="I4464" s="151" t="s">
        <v>391</v>
      </c>
      <c r="J4464" s="151" t="s">
        <v>8671</v>
      </c>
      <c r="K4464" s="151">
        <f t="shared" si="99"/>
        <v>650000000001243</v>
      </c>
      <c r="L4464" s="151" t="s">
        <v>9021</v>
      </c>
    </row>
    <row r="4465" spans="8:12" x14ac:dyDescent="0.25">
      <c r="H4465" s="151" t="s">
        <v>5558</v>
      </c>
      <c r="I4465" s="151" t="s">
        <v>6962</v>
      </c>
      <c r="J4465" s="151" t="s">
        <v>6962</v>
      </c>
      <c r="K4465" s="151">
        <f t="shared" si="99"/>
        <v>0</v>
      </c>
      <c r="L4465" s="151" t="s">
        <v>9021</v>
      </c>
    </row>
    <row r="4466" spans="8:12" x14ac:dyDescent="0.25">
      <c r="H4466" s="151" t="s">
        <v>5558</v>
      </c>
      <c r="I4466" s="151" t="s">
        <v>391</v>
      </c>
      <c r="J4466" s="151" t="s">
        <v>8672</v>
      </c>
      <c r="K4466" s="151">
        <f t="shared" si="99"/>
        <v>650000000001244</v>
      </c>
      <c r="L4466" s="151" t="s">
        <v>9021</v>
      </c>
    </row>
    <row r="4467" spans="8:12" x14ac:dyDescent="0.25">
      <c r="H4467" s="151" t="s">
        <v>5559</v>
      </c>
      <c r="I4467" s="151" t="s">
        <v>6962</v>
      </c>
      <c r="J4467" s="151" t="s">
        <v>6962</v>
      </c>
      <c r="K4467" s="151">
        <f t="shared" si="99"/>
        <v>0</v>
      </c>
      <c r="L4467" s="151" t="s">
        <v>9021</v>
      </c>
    </row>
    <row r="4468" spans="8:12" x14ac:dyDescent="0.25">
      <c r="H4468" s="151" t="s">
        <v>5559</v>
      </c>
      <c r="I4468" s="151" t="s">
        <v>391</v>
      </c>
      <c r="J4468" s="151" t="s">
        <v>8673</v>
      </c>
      <c r="K4468" s="151">
        <f t="shared" si="99"/>
        <v>650000000002040</v>
      </c>
      <c r="L4468" s="151" t="s">
        <v>9021</v>
      </c>
    </row>
    <row r="4469" spans="8:12" x14ac:dyDescent="0.25">
      <c r="H4469" s="151" t="s">
        <v>5560</v>
      </c>
      <c r="I4469" s="151" t="s">
        <v>6962</v>
      </c>
      <c r="J4469" s="151" t="s">
        <v>6962</v>
      </c>
      <c r="K4469" s="151">
        <f t="shared" si="99"/>
        <v>0</v>
      </c>
      <c r="L4469" s="151" t="s">
        <v>9026</v>
      </c>
    </row>
    <row r="4470" spans="8:12" x14ac:dyDescent="0.25">
      <c r="H4470" s="151" t="s">
        <v>5560</v>
      </c>
      <c r="I4470" s="151" t="s">
        <v>391</v>
      </c>
      <c r="J4470" s="151" t="s">
        <v>8674</v>
      </c>
      <c r="K4470" s="151">
        <f t="shared" si="99"/>
        <v>650000000001245</v>
      </c>
      <c r="L4470" s="151" t="s">
        <v>9026</v>
      </c>
    </row>
    <row r="4471" spans="8:12" x14ac:dyDescent="0.25">
      <c r="H4471" s="151" t="s">
        <v>5561</v>
      </c>
      <c r="I4471" s="151" t="s">
        <v>6962</v>
      </c>
      <c r="J4471" s="151" t="s">
        <v>6962</v>
      </c>
      <c r="K4471" s="151">
        <f t="shared" si="99"/>
        <v>0</v>
      </c>
      <c r="L4471" s="151" t="s">
        <v>9025</v>
      </c>
    </row>
    <row r="4472" spans="8:12" x14ac:dyDescent="0.25">
      <c r="H4472" s="151" t="s">
        <v>5561</v>
      </c>
      <c r="I4472" s="151" t="s">
        <v>391</v>
      </c>
      <c r="J4472" s="151" t="s">
        <v>8675</v>
      </c>
      <c r="K4472" s="151">
        <f t="shared" si="99"/>
        <v>650000000001246</v>
      </c>
      <c r="L4472" s="151" t="s">
        <v>9025</v>
      </c>
    </row>
    <row r="4473" spans="8:12" x14ac:dyDescent="0.25">
      <c r="H4473" s="151" t="s">
        <v>5562</v>
      </c>
      <c r="I4473" s="151" t="s">
        <v>6962</v>
      </c>
      <c r="J4473" s="151" t="s">
        <v>6962</v>
      </c>
      <c r="K4473" s="151">
        <f t="shared" si="99"/>
        <v>0</v>
      </c>
      <c r="L4473" s="151" t="s">
        <v>9021</v>
      </c>
    </row>
    <row r="4474" spans="8:12" x14ac:dyDescent="0.25">
      <c r="H4474" s="151" t="s">
        <v>5562</v>
      </c>
      <c r="I4474" s="151" t="s">
        <v>391</v>
      </c>
      <c r="J4474" s="151" t="s">
        <v>8676</v>
      </c>
      <c r="K4474" s="151">
        <f t="shared" si="99"/>
        <v>650000000002041</v>
      </c>
      <c r="L4474" s="151" t="s">
        <v>9021</v>
      </c>
    </row>
    <row r="4475" spans="8:12" x14ac:dyDescent="0.25">
      <c r="H4475" s="151" t="s">
        <v>5563</v>
      </c>
      <c r="I4475" s="151" t="s">
        <v>6962</v>
      </c>
      <c r="J4475" s="151" t="s">
        <v>6962</v>
      </c>
      <c r="K4475" s="151">
        <f t="shared" si="99"/>
        <v>0</v>
      </c>
      <c r="L4475" s="151" t="s">
        <v>9021</v>
      </c>
    </row>
    <row r="4476" spans="8:12" x14ac:dyDescent="0.25">
      <c r="H4476" s="151" t="s">
        <v>5563</v>
      </c>
      <c r="I4476" s="151" t="s">
        <v>391</v>
      </c>
      <c r="J4476" s="151" t="s">
        <v>8677</v>
      </c>
      <c r="K4476" s="151">
        <f t="shared" si="99"/>
        <v>650000000001247</v>
      </c>
      <c r="L4476" s="151" t="s">
        <v>9021</v>
      </c>
    </row>
    <row r="4477" spans="8:12" x14ac:dyDescent="0.25">
      <c r="H4477" s="151" t="s">
        <v>5564</v>
      </c>
      <c r="I4477" s="151" t="s">
        <v>6962</v>
      </c>
      <c r="J4477" s="151" t="s">
        <v>6962</v>
      </c>
      <c r="K4477" s="151">
        <f t="shared" si="99"/>
        <v>0</v>
      </c>
      <c r="L4477" s="151" t="s">
        <v>9021</v>
      </c>
    </row>
    <row r="4478" spans="8:12" x14ac:dyDescent="0.25">
      <c r="H4478" s="151" t="s">
        <v>5564</v>
      </c>
      <c r="I4478" s="151" t="s">
        <v>391</v>
      </c>
      <c r="J4478" s="151" t="s">
        <v>8678</v>
      </c>
      <c r="K4478" s="151">
        <f t="shared" si="99"/>
        <v>650000000002042</v>
      </c>
      <c r="L4478" s="151" t="s">
        <v>9021</v>
      </c>
    </row>
    <row r="4479" spans="8:12" x14ac:dyDescent="0.25">
      <c r="H4479" s="151" t="s">
        <v>5565</v>
      </c>
      <c r="I4479" s="151" t="s">
        <v>6962</v>
      </c>
      <c r="J4479" s="151" t="s">
        <v>6962</v>
      </c>
      <c r="K4479" s="151">
        <f t="shared" si="99"/>
        <v>0</v>
      </c>
      <c r="L4479" s="151" t="s">
        <v>9021</v>
      </c>
    </row>
    <row r="4480" spans="8:12" x14ac:dyDescent="0.25">
      <c r="H4480" s="151" t="s">
        <v>5565</v>
      </c>
      <c r="I4480" s="151" t="s">
        <v>391</v>
      </c>
      <c r="J4480" s="151" t="s">
        <v>8679</v>
      </c>
      <c r="K4480" s="151">
        <f t="shared" si="99"/>
        <v>650000000001248</v>
      </c>
      <c r="L4480" s="151" t="s">
        <v>9021</v>
      </c>
    </row>
    <row r="4481" spans="8:12" x14ac:dyDescent="0.25">
      <c r="H4481" s="151" t="s">
        <v>5566</v>
      </c>
      <c r="I4481" s="151" t="s">
        <v>6962</v>
      </c>
      <c r="J4481" s="151" t="s">
        <v>6962</v>
      </c>
      <c r="K4481" s="151">
        <f t="shared" si="99"/>
        <v>0</v>
      </c>
      <c r="L4481" s="151" t="s">
        <v>9021</v>
      </c>
    </row>
    <row r="4482" spans="8:12" x14ac:dyDescent="0.25">
      <c r="H4482" s="151" t="s">
        <v>5566</v>
      </c>
      <c r="I4482" s="151" t="s">
        <v>391</v>
      </c>
      <c r="J4482" s="151" t="s">
        <v>8680</v>
      </c>
      <c r="K4482" s="151">
        <f t="shared" si="99"/>
        <v>650000000001249</v>
      </c>
      <c r="L4482" s="151" t="s">
        <v>9021</v>
      </c>
    </row>
    <row r="4483" spans="8:12" x14ac:dyDescent="0.25">
      <c r="H4483" s="151" t="s">
        <v>5567</v>
      </c>
      <c r="I4483" s="151" t="s">
        <v>6962</v>
      </c>
      <c r="J4483" s="151" t="s">
        <v>6962</v>
      </c>
      <c r="K4483" s="151">
        <f t="shared" ref="K4483:K4546" si="100">+IFERROR(J4483*1,0)</f>
        <v>0</v>
      </c>
      <c r="L4483" s="151" t="s">
        <v>9021</v>
      </c>
    </row>
    <row r="4484" spans="8:12" x14ac:dyDescent="0.25">
      <c r="H4484" s="151" t="s">
        <v>5567</v>
      </c>
      <c r="I4484" s="151" t="s">
        <v>391</v>
      </c>
      <c r="J4484" s="151" t="s">
        <v>8681</v>
      </c>
      <c r="K4484" s="151">
        <f t="shared" si="100"/>
        <v>650000000002043</v>
      </c>
      <c r="L4484" s="151" t="s">
        <v>9021</v>
      </c>
    </row>
    <row r="4485" spans="8:12" x14ac:dyDescent="0.25">
      <c r="H4485" s="151" t="s">
        <v>5568</v>
      </c>
      <c r="I4485" s="151" t="s">
        <v>6962</v>
      </c>
      <c r="J4485" s="151" t="s">
        <v>6962</v>
      </c>
      <c r="K4485" s="151">
        <f t="shared" si="100"/>
        <v>0</v>
      </c>
      <c r="L4485" s="151" t="s">
        <v>9021</v>
      </c>
    </row>
    <row r="4486" spans="8:12" x14ac:dyDescent="0.25">
      <c r="H4486" s="151" t="s">
        <v>5568</v>
      </c>
      <c r="I4486" s="151" t="s">
        <v>391</v>
      </c>
      <c r="J4486" s="151" t="s">
        <v>8682</v>
      </c>
      <c r="K4486" s="151">
        <f t="shared" si="100"/>
        <v>650000000001250</v>
      </c>
      <c r="L4486" s="151" t="s">
        <v>9021</v>
      </c>
    </row>
    <row r="4487" spans="8:12" x14ac:dyDescent="0.25">
      <c r="H4487" s="151" t="s">
        <v>5569</v>
      </c>
      <c r="I4487" s="151" t="s">
        <v>6962</v>
      </c>
      <c r="J4487" s="151" t="s">
        <v>6962</v>
      </c>
      <c r="K4487" s="151">
        <f t="shared" si="100"/>
        <v>0</v>
      </c>
      <c r="L4487" s="151" t="s">
        <v>9021</v>
      </c>
    </row>
    <row r="4488" spans="8:12" x14ac:dyDescent="0.25">
      <c r="H4488" s="151" t="s">
        <v>5569</v>
      </c>
      <c r="I4488" s="151" t="s">
        <v>391</v>
      </c>
      <c r="J4488" s="151" t="s">
        <v>8683</v>
      </c>
      <c r="K4488" s="151">
        <f t="shared" si="100"/>
        <v>650000000002044</v>
      </c>
      <c r="L4488" s="151" t="s">
        <v>9021</v>
      </c>
    </row>
    <row r="4489" spans="8:12" x14ac:dyDescent="0.25">
      <c r="H4489" s="151" t="s">
        <v>5570</v>
      </c>
      <c r="I4489" s="151" t="s">
        <v>6962</v>
      </c>
      <c r="J4489" s="151" t="s">
        <v>6962</v>
      </c>
      <c r="K4489" s="151">
        <f t="shared" si="100"/>
        <v>0</v>
      </c>
      <c r="L4489" s="151" t="s">
        <v>9021</v>
      </c>
    </row>
    <row r="4490" spans="8:12" x14ac:dyDescent="0.25">
      <c r="H4490" s="151" t="s">
        <v>5570</v>
      </c>
      <c r="I4490" s="151" t="s">
        <v>391</v>
      </c>
      <c r="J4490" s="151" t="s">
        <v>8684</v>
      </c>
      <c r="K4490" s="151">
        <f t="shared" si="100"/>
        <v>650000000001251</v>
      </c>
      <c r="L4490" s="151" t="s">
        <v>9021</v>
      </c>
    </row>
    <row r="4491" spans="8:12" x14ac:dyDescent="0.25">
      <c r="H4491" s="151" t="s">
        <v>5571</v>
      </c>
      <c r="I4491" s="151" t="s">
        <v>6962</v>
      </c>
      <c r="J4491" s="151" t="s">
        <v>6962</v>
      </c>
      <c r="K4491" s="151">
        <f t="shared" si="100"/>
        <v>0</v>
      </c>
      <c r="L4491" s="151" t="s">
        <v>9021</v>
      </c>
    </row>
    <row r="4492" spans="8:12" x14ac:dyDescent="0.25">
      <c r="H4492" s="151" t="s">
        <v>5571</v>
      </c>
      <c r="I4492" s="151" t="s">
        <v>391</v>
      </c>
      <c r="J4492" s="151" t="s">
        <v>8685</v>
      </c>
      <c r="K4492" s="151">
        <f t="shared" si="100"/>
        <v>650000000001252</v>
      </c>
      <c r="L4492" s="151" t="s">
        <v>9021</v>
      </c>
    </row>
    <row r="4493" spans="8:12" x14ac:dyDescent="0.25">
      <c r="H4493" s="151" t="s">
        <v>5572</v>
      </c>
      <c r="I4493" s="151" t="s">
        <v>6962</v>
      </c>
      <c r="J4493" s="151" t="s">
        <v>6962</v>
      </c>
      <c r="K4493" s="151">
        <f t="shared" si="100"/>
        <v>0</v>
      </c>
      <c r="L4493" s="151" t="s">
        <v>9021</v>
      </c>
    </row>
    <row r="4494" spans="8:12" x14ac:dyDescent="0.25">
      <c r="H4494" s="151" t="s">
        <v>5572</v>
      </c>
      <c r="I4494" s="151" t="s">
        <v>391</v>
      </c>
      <c r="J4494" s="151" t="s">
        <v>8686</v>
      </c>
      <c r="K4494" s="151">
        <f t="shared" si="100"/>
        <v>650000000001253</v>
      </c>
      <c r="L4494" s="151" t="s">
        <v>9021</v>
      </c>
    </row>
    <row r="4495" spans="8:12" x14ac:dyDescent="0.25">
      <c r="H4495" s="151" t="s">
        <v>5573</v>
      </c>
      <c r="I4495" s="151" t="s">
        <v>6962</v>
      </c>
      <c r="J4495" s="151" t="s">
        <v>6962</v>
      </c>
      <c r="K4495" s="151">
        <f t="shared" si="100"/>
        <v>0</v>
      </c>
      <c r="L4495" s="151" t="s">
        <v>9021</v>
      </c>
    </row>
    <row r="4496" spans="8:12" x14ac:dyDescent="0.25">
      <c r="H4496" s="151" t="s">
        <v>5573</v>
      </c>
      <c r="I4496" s="151" t="s">
        <v>391</v>
      </c>
      <c r="J4496" s="151" t="s">
        <v>8687</v>
      </c>
      <c r="K4496" s="151">
        <f t="shared" si="100"/>
        <v>650000000001254</v>
      </c>
      <c r="L4496" s="151" t="s">
        <v>9021</v>
      </c>
    </row>
    <row r="4497" spans="8:12" x14ac:dyDescent="0.25">
      <c r="H4497" s="151" t="s">
        <v>5574</v>
      </c>
      <c r="I4497" s="151" t="s">
        <v>6962</v>
      </c>
      <c r="J4497" s="151" t="s">
        <v>6962</v>
      </c>
      <c r="K4497" s="151">
        <f t="shared" si="100"/>
        <v>0</v>
      </c>
      <c r="L4497" s="151" t="s">
        <v>9021</v>
      </c>
    </row>
    <row r="4498" spans="8:12" x14ac:dyDescent="0.25">
      <c r="H4498" s="151" t="s">
        <v>5574</v>
      </c>
      <c r="I4498" s="151" t="s">
        <v>391</v>
      </c>
      <c r="J4498" s="151" t="s">
        <v>8688</v>
      </c>
      <c r="K4498" s="151">
        <f t="shared" si="100"/>
        <v>650000000002045</v>
      </c>
      <c r="L4498" s="151" t="s">
        <v>9021</v>
      </c>
    </row>
    <row r="4499" spans="8:12" x14ac:dyDescent="0.25">
      <c r="H4499" s="151" t="s">
        <v>5575</v>
      </c>
      <c r="I4499" s="151" t="s">
        <v>6962</v>
      </c>
      <c r="J4499" s="151" t="s">
        <v>6962</v>
      </c>
      <c r="K4499" s="151">
        <f t="shared" si="100"/>
        <v>0</v>
      </c>
      <c r="L4499" s="151" t="s">
        <v>9021</v>
      </c>
    </row>
    <row r="4500" spans="8:12" x14ac:dyDescent="0.25">
      <c r="H4500" s="151" t="s">
        <v>5575</v>
      </c>
      <c r="I4500" s="151" t="s">
        <v>391</v>
      </c>
      <c r="J4500" s="151" t="s">
        <v>8689</v>
      </c>
      <c r="K4500" s="151">
        <f t="shared" si="100"/>
        <v>650000000001255</v>
      </c>
      <c r="L4500" s="151" t="s">
        <v>9021</v>
      </c>
    </row>
    <row r="4501" spans="8:12" x14ac:dyDescent="0.25">
      <c r="H4501" s="151" t="s">
        <v>5576</v>
      </c>
      <c r="I4501" s="151" t="s">
        <v>6962</v>
      </c>
      <c r="J4501" s="151" t="s">
        <v>6962</v>
      </c>
      <c r="K4501" s="151">
        <f t="shared" si="100"/>
        <v>0</v>
      </c>
      <c r="L4501" s="151" t="s">
        <v>9021</v>
      </c>
    </row>
    <row r="4502" spans="8:12" x14ac:dyDescent="0.25">
      <c r="H4502" s="151" t="s">
        <v>5576</v>
      </c>
      <c r="I4502" s="151" t="s">
        <v>391</v>
      </c>
      <c r="J4502" s="151" t="s">
        <v>8690</v>
      </c>
      <c r="K4502" s="151">
        <f t="shared" si="100"/>
        <v>650000000001256</v>
      </c>
      <c r="L4502" s="151" t="s">
        <v>9021</v>
      </c>
    </row>
    <row r="4503" spans="8:12" x14ac:dyDescent="0.25">
      <c r="H4503" s="151" t="s">
        <v>5577</v>
      </c>
      <c r="I4503" s="151" t="s">
        <v>6962</v>
      </c>
      <c r="J4503" s="151" t="s">
        <v>6962</v>
      </c>
      <c r="K4503" s="151">
        <f t="shared" si="100"/>
        <v>0</v>
      </c>
      <c r="L4503" s="151" t="s">
        <v>9021</v>
      </c>
    </row>
    <row r="4504" spans="8:12" x14ac:dyDescent="0.25">
      <c r="H4504" s="151" t="s">
        <v>5577</v>
      </c>
      <c r="I4504" s="151" t="s">
        <v>391</v>
      </c>
      <c r="J4504" s="151" t="s">
        <v>8691</v>
      </c>
      <c r="K4504" s="151">
        <f t="shared" si="100"/>
        <v>650000000001257</v>
      </c>
      <c r="L4504" s="151" t="s">
        <v>9021</v>
      </c>
    </row>
    <row r="4505" spans="8:12" x14ac:dyDescent="0.25">
      <c r="H4505" s="151" t="s">
        <v>5578</v>
      </c>
      <c r="I4505" s="151" t="s">
        <v>6962</v>
      </c>
      <c r="J4505" s="151" t="s">
        <v>6962</v>
      </c>
      <c r="K4505" s="151">
        <f t="shared" si="100"/>
        <v>0</v>
      </c>
      <c r="L4505" s="151" t="s">
        <v>9021</v>
      </c>
    </row>
    <row r="4506" spans="8:12" x14ac:dyDescent="0.25">
      <c r="H4506" s="151" t="s">
        <v>5578</v>
      </c>
      <c r="I4506" s="151" t="s">
        <v>391</v>
      </c>
      <c r="J4506" s="151" t="s">
        <v>8692</v>
      </c>
      <c r="K4506" s="151">
        <f t="shared" si="100"/>
        <v>650000000001258</v>
      </c>
      <c r="L4506" s="151" t="s">
        <v>9021</v>
      </c>
    </row>
    <row r="4507" spans="8:12" x14ac:dyDescent="0.25">
      <c r="H4507" s="151" t="s">
        <v>5579</v>
      </c>
      <c r="I4507" s="151" t="s">
        <v>6962</v>
      </c>
      <c r="J4507" s="151" t="s">
        <v>6962</v>
      </c>
      <c r="K4507" s="151">
        <f t="shared" si="100"/>
        <v>0</v>
      </c>
      <c r="L4507" s="151" t="s">
        <v>9021</v>
      </c>
    </row>
    <row r="4508" spans="8:12" x14ac:dyDescent="0.25">
      <c r="H4508" s="151" t="s">
        <v>5579</v>
      </c>
      <c r="I4508" s="151" t="s">
        <v>391</v>
      </c>
      <c r="J4508" s="151" t="s">
        <v>8693</v>
      </c>
      <c r="K4508" s="151">
        <f t="shared" si="100"/>
        <v>650000000001259</v>
      </c>
      <c r="L4508" s="151" t="s">
        <v>9021</v>
      </c>
    </row>
    <row r="4509" spans="8:12" x14ac:dyDescent="0.25">
      <c r="H4509" s="151" t="s">
        <v>5580</v>
      </c>
      <c r="I4509" s="151" t="s">
        <v>6962</v>
      </c>
      <c r="J4509" s="151" t="s">
        <v>6962</v>
      </c>
      <c r="K4509" s="151">
        <f t="shared" si="100"/>
        <v>0</v>
      </c>
      <c r="L4509" s="151" t="s">
        <v>9021</v>
      </c>
    </row>
    <row r="4510" spans="8:12" x14ac:dyDescent="0.25">
      <c r="H4510" s="151" t="s">
        <v>5580</v>
      </c>
      <c r="I4510" s="151" t="s">
        <v>391</v>
      </c>
      <c r="J4510" s="151" t="s">
        <v>8694</v>
      </c>
      <c r="K4510" s="151">
        <f t="shared" si="100"/>
        <v>650000000001260</v>
      </c>
      <c r="L4510" s="151" t="s">
        <v>9021</v>
      </c>
    </row>
    <row r="4511" spans="8:12" x14ac:dyDescent="0.25">
      <c r="H4511" s="151" t="s">
        <v>6940</v>
      </c>
      <c r="I4511" s="151" t="s">
        <v>6962</v>
      </c>
      <c r="J4511" s="151" t="s">
        <v>6962</v>
      </c>
      <c r="K4511" s="151">
        <f t="shared" si="100"/>
        <v>0</v>
      </c>
      <c r="L4511" s="151" t="s">
        <v>9021</v>
      </c>
    </row>
    <row r="4512" spans="8:12" x14ac:dyDescent="0.25">
      <c r="H4512" s="151" t="s">
        <v>5581</v>
      </c>
      <c r="I4512" s="151" t="s">
        <v>6962</v>
      </c>
      <c r="J4512" s="151" t="s">
        <v>6962</v>
      </c>
      <c r="K4512" s="151">
        <f t="shared" si="100"/>
        <v>0</v>
      </c>
      <c r="L4512" s="151" t="s">
        <v>9021</v>
      </c>
    </row>
    <row r="4513" spans="8:12" x14ac:dyDescent="0.25">
      <c r="H4513" s="151" t="s">
        <v>5581</v>
      </c>
      <c r="I4513" s="151" t="s">
        <v>391</v>
      </c>
      <c r="J4513" s="151" t="s">
        <v>8695</v>
      </c>
      <c r="K4513" s="151">
        <f t="shared" si="100"/>
        <v>650000000001261</v>
      </c>
      <c r="L4513" s="151" t="s">
        <v>9021</v>
      </c>
    </row>
    <row r="4514" spans="8:12" x14ac:dyDescent="0.25">
      <c r="H4514" s="151" t="s">
        <v>5582</v>
      </c>
      <c r="I4514" s="151" t="s">
        <v>6962</v>
      </c>
      <c r="J4514" s="151" t="s">
        <v>6962</v>
      </c>
      <c r="K4514" s="151">
        <f t="shared" si="100"/>
        <v>0</v>
      </c>
      <c r="L4514" s="151" t="s">
        <v>9021</v>
      </c>
    </row>
    <row r="4515" spans="8:12" x14ac:dyDescent="0.25">
      <c r="H4515" s="151" t="s">
        <v>5582</v>
      </c>
      <c r="I4515" s="151" t="s">
        <v>391</v>
      </c>
      <c r="J4515" s="151" t="s">
        <v>8696</v>
      </c>
      <c r="K4515" s="151">
        <f t="shared" si="100"/>
        <v>650000000002046</v>
      </c>
      <c r="L4515" s="151" t="s">
        <v>9021</v>
      </c>
    </row>
    <row r="4516" spans="8:12" x14ac:dyDescent="0.25">
      <c r="H4516" s="151" t="s">
        <v>5583</v>
      </c>
      <c r="I4516" s="151" t="s">
        <v>6962</v>
      </c>
      <c r="J4516" s="151" t="s">
        <v>6962</v>
      </c>
      <c r="K4516" s="151">
        <f t="shared" si="100"/>
        <v>0</v>
      </c>
      <c r="L4516" s="151" t="s">
        <v>9021</v>
      </c>
    </row>
    <row r="4517" spans="8:12" x14ac:dyDescent="0.25">
      <c r="H4517" s="151" t="s">
        <v>5583</v>
      </c>
      <c r="I4517" s="151" t="s">
        <v>391</v>
      </c>
      <c r="J4517" s="151" t="s">
        <v>8697</v>
      </c>
      <c r="K4517" s="151">
        <f t="shared" si="100"/>
        <v>650000000002047</v>
      </c>
      <c r="L4517" s="151" t="s">
        <v>9021</v>
      </c>
    </row>
    <row r="4518" spans="8:12" x14ac:dyDescent="0.25">
      <c r="H4518" s="151" t="s">
        <v>5584</v>
      </c>
      <c r="I4518" s="151" t="s">
        <v>6962</v>
      </c>
      <c r="J4518" s="151" t="s">
        <v>6962</v>
      </c>
      <c r="K4518" s="151">
        <f t="shared" si="100"/>
        <v>0</v>
      </c>
      <c r="L4518" s="151" t="s">
        <v>9021</v>
      </c>
    </row>
    <row r="4519" spans="8:12" x14ac:dyDescent="0.25">
      <c r="H4519" s="151" t="s">
        <v>5584</v>
      </c>
      <c r="I4519" s="151" t="s">
        <v>391</v>
      </c>
      <c r="J4519" s="151" t="s">
        <v>8698</v>
      </c>
      <c r="K4519" s="151">
        <f t="shared" si="100"/>
        <v>650000000002048</v>
      </c>
      <c r="L4519" s="151" t="s">
        <v>9021</v>
      </c>
    </row>
    <row r="4520" spans="8:12" x14ac:dyDescent="0.25">
      <c r="H4520" s="151" t="s">
        <v>5585</v>
      </c>
      <c r="I4520" s="151" t="s">
        <v>6962</v>
      </c>
      <c r="J4520" s="151" t="s">
        <v>6962</v>
      </c>
      <c r="K4520" s="151">
        <f t="shared" si="100"/>
        <v>0</v>
      </c>
      <c r="L4520" s="151" t="s">
        <v>9026</v>
      </c>
    </row>
    <row r="4521" spans="8:12" x14ac:dyDescent="0.25">
      <c r="H4521" s="151" t="s">
        <v>5585</v>
      </c>
      <c r="I4521" s="151" t="s">
        <v>391</v>
      </c>
      <c r="J4521" s="151" t="s">
        <v>8699</v>
      </c>
      <c r="K4521" s="151">
        <f t="shared" si="100"/>
        <v>650000000001262</v>
      </c>
      <c r="L4521" s="151" t="s">
        <v>9026</v>
      </c>
    </row>
    <row r="4522" spans="8:12" x14ac:dyDescent="0.25">
      <c r="H4522" s="151" t="s">
        <v>5586</v>
      </c>
      <c r="I4522" s="151" t="s">
        <v>6962</v>
      </c>
      <c r="J4522" s="151" t="s">
        <v>6962</v>
      </c>
      <c r="K4522" s="151">
        <f t="shared" si="100"/>
        <v>0</v>
      </c>
      <c r="L4522" s="151" t="s">
        <v>9025</v>
      </c>
    </row>
    <row r="4523" spans="8:12" x14ac:dyDescent="0.25">
      <c r="H4523" s="151" t="s">
        <v>5586</v>
      </c>
      <c r="I4523" s="151" t="s">
        <v>391</v>
      </c>
      <c r="J4523" s="151" t="s">
        <v>8700</v>
      </c>
      <c r="K4523" s="151">
        <f t="shared" si="100"/>
        <v>650000000001263</v>
      </c>
      <c r="L4523" s="151" t="s">
        <v>9025</v>
      </c>
    </row>
    <row r="4524" spans="8:12" x14ac:dyDescent="0.25">
      <c r="H4524" s="151" t="s">
        <v>5587</v>
      </c>
      <c r="I4524" s="151" t="s">
        <v>6962</v>
      </c>
      <c r="J4524" s="151" t="s">
        <v>6962</v>
      </c>
      <c r="K4524" s="151">
        <f t="shared" si="100"/>
        <v>0</v>
      </c>
      <c r="L4524" s="151" t="s">
        <v>9021</v>
      </c>
    </row>
    <row r="4525" spans="8:12" x14ac:dyDescent="0.25">
      <c r="H4525" s="151" t="s">
        <v>5587</v>
      </c>
      <c r="I4525" s="151" t="s">
        <v>391</v>
      </c>
      <c r="J4525" s="151" t="s">
        <v>8701</v>
      </c>
      <c r="K4525" s="151">
        <f t="shared" si="100"/>
        <v>650000000002049</v>
      </c>
      <c r="L4525" s="151" t="s">
        <v>9021</v>
      </c>
    </row>
    <row r="4526" spans="8:12" x14ac:dyDescent="0.25">
      <c r="H4526" s="151" t="s">
        <v>5588</v>
      </c>
      <c r="I4526" s="151" t="s">
        <v>6962</v>
      </c>
      <c r="J4526" s="151" t="s">
        <v>6962</v>
      </c>
      <c r="K4526" s="151">
        <f t="shared" si="100"/>
        <v>0</v>
      </c>
      <c r="L4526" s="151" t="s">
        <v>9021</v>
      </c>
    </row>
    <row r="4527" spans="8:12" x14ac:dyDescent="0.25">
      <c r="H4527" s="151" t="s">
        <v>5588</v>
      </c>
      <c r="I4527" s="151" t="s">
        <v>391</v>
      </c>
      <c r="J4527" s="151" t="s">
        <v>8702</v>
      </c>
      <c r="K4527" s="151">
        <f t="shared" si="100"/>
        <v>650000000001264</v>
      </c>
      <c r="L4527" s="151" t="s">
        <v>9021</v>
      </c>
    </row>
    <row r="4528" spans="8:12" x14ac:dyDescent="0.25">
      <c r="H4528" s="151" t="s">
        <v>5589</v>
      </c>
      <c r="I4528" s="151" t="s">
        <v>6962</v>
      </c>
      <c r="J4528" s="151" t="s">
        <v>6962</v>
      </c>
      <c r="K4528" s="151">
        <f t="shared" si="100"/>
        <v>0</v>
      </c>
      <c r="L4528" s="151" t="s">
        <v>9021</v>
      </c>
    </row>
    <row r="4529" spans="8:12" x14ac:dyDescent="0.25">
      <c r="H4529" s="151" t="s">
        <v>5589</v>
      </c>
      <c r="I4529" s="151" t="s">
        <v>391</v>
      </c>
      <c r="J4529" s="151" t="s">
        <v>8703</v>
      </c>
      <c r="K4529" s="151">
        <f t="shared" si="100"/>
        <v>650000000001265</v>
      </c>
      <c r="L4529" s="151" t="s">
        <v>9021</v>
      </c>
    </row>
    <row r="4530" spans="8:12" x14ac:dyDescent="0.25">
      <c r="H4530" s="151" t="s">
        <v>5590</v>
      </c>
      <c r="I4530" s="151" t="s">
        <v>6962</v>
      </c>
      <c r="J4530" s="151" t="s">
        <v>6962</v>
      </c>
      <c r="K4530" s="151">
        <f t="shared" si="100"/>
        <v>0</v>
      </c>
      <c r="L4530" s="151" t="s">
        <v>9021</v>
      </c>
    </row>
    <row r="4531" spans="8:12" x14ac:dyDescent="0.25">
      <c r="H4531" s="151" t="s">
        <v>5590</v>
      </c>
      <c r="I4531" s="151" t="s">
        <v>391</v>
      </c>
      <c r="J4531" s="151" t="s">
        <v>8704</v>
      </c>
      <c r="K4531" s="151">
        <f t="shared" si="100"/>
        <v>650000000001266</v>
      </c>
      <c r="L4531" s="151" t="s">
        <v>9021</v>
      </c>
    </row>
    <row r="4532" spans="8:12" x14ac:dyDescent="0.25">
      <c r="H4532" s="151" t="s">
        <v>5591</v>
      </c>
      <c r="I4532" s="151" t="s">
        <v>6962</v>
      </c>
      <c r="J4532" s="151" t="s">
        <v>6962</v>
      </c>
      <c r="K4532" s="151">
        <f t="shared" si="100"/>
        <v>0</v>
      </c>
      <c r="L4532" s="151" t="s">
        <v>9021</v>
      </c>
    </row>
    <row r="4533" spans="8:12" x14ac:dyDescent="0.25">
      <c r="H4533" s="151" t="s">
        <v>5591</v>
      </c>
      <c r="I4533" s="151" t="s">
        <v>391</v>
      </c>
      <c r="J4533" s="151" t="s">
        <v>8705</v>
      </c>
      <c r="K4533" s="151">
        <f t="shared" si="100"/>
        <v>650000000001267</v>
      </c>
      <c r="L4533" s="151" t="s">
        <v>9021</v>
      </c>
    </row>
    <row r="4534" spans="8:12" x14ac:dyDescent="0.25">
      <c r="H4534" s="151" t="s">
        <v>5592</v>
      </c>
      <c r="I4534" s="151" t="s">
        <v>6962</v>
      </c>
      <c r="J4534" s="151" t="s">
        <v>6962</v>
      </c>
      <c r="K4534" s="151">
        <f t="shared" si="100"/>
        <v>0</v>
      </c>
      <c r="L4534" s="151" t="s">
        <v>9021</v>
      </c>
    </row>
    <row r="4535" spans="8:12" x14ac:dyDescent="0.25">
      <c r="H4535" s="151" t="s">
        <v>5592</v>
      </c>
      <c r="I4535" s="151" t="s">
        <v>391</v>
      </c>
      <c r="J4535" s="151" t="s">
        <v>8706</v>
      </c>
      <c r="K4535" s="151">
        <f t="shared" si="100"/>
        <v>650000000002050</v>
      </c>
      <c r="L4535" s="151" t="s">
        <v>9021</v>
      </c>
    </row>
    <row r="4536" spans="8:12" x14ac:dyDescent="0.25">
      <c r="H4536" s="151" t="s">
        <v>5593</v>
      </c>
      <c r="I4536" s="151" t="s">
        <v>6962</v>
      </c>
      <c r="J4536" s="151" t="s">
        <v>6962</v>
      </c>
      <c r="K4536" s="151">
        <f t="shared" si="100"/>
        <v>0</v>
      </c>
      <c r="L4536" s="151" t="s">
        <v>9021</v>
      </c>
    </row>
    <row r="4537" spans="8:12" x14ac:dyDescent="0.25">
      <c r="H4537" s="151" t="s">
        <v>5593</v>
      </c>
      <c r="I4537" s="151" t="s">
        <v>391</v>
      </c>
      <c r="J4537" s="151" t="s">
        <v>8707</v>
      </c>
      <c r="K4537" s="151">
        <f t="shared" si="100"/>
        <v>650000000001268</v>
      </c>
      <c r="L4537" s="151" t="s">
        <v>9021</v>
      </c>
    </row>
    <row r="4538" spans="8:12" x14ac:dyDescent="0.25">
      <c r="H4538" s="151" t="s">
        <v>5594</v>
      </c>
      <c r="I4538" s="151" t="s">
        <v>6962</v>
      </c>
      <c r="J4538" s="151" t="s">
        <v>6962</v>
      </c>
      <c r="K4538" s="151">
        <f t="shared" si="100"/>
        <v>0</v>
      </c>
      <c r="L4538" s="151" t="s">
        <v>9021</v>
      </c>
    </row>
    <row r="4539" spans="8:12" x14ac:dyDescent="0.25">
      <c r="H4539" s="151" t="s">
        <v>5594</v>
      </c>
      <c r="I4539" s="151" t="s">
        <v>391</v>
      </c>
      <c r="J4539" s="151" t="s">
        <v>8708</v>
      </c>
      <c r="K4539" s="151">
        <f t="shared" si="100"/>
        <v>650000000002051</v>
      </c>
      <c r="L4539" s="151" t="s">
        <v>9021</v>
      </c>
    </row>
    <row r="4540" spans="8:12" x14ac:dyDescent="0.25">
      <c r="H4540" s="151" t="s">
        <v>5595</v>
      </c>
      <c r="I4540" s="151" t="s">
        <v>6962</v>
      </c>
      <c r="J4540" s="151" t="s">
        <v>6962</v>
      </c>
      <c r="K4540" s="151">
        <f t="shared" si="100"/>
        <v>0</v>
      </c>
      <c r="L4540" s="151" t="s">
        <v>9021</v>
      </c>
    </row>
    <row r="4541" spans="8:12" x14ac:dyDescent="0.25">
      <c r="H4541" s="151" t="s">
        <v>5595</v>
      </c>
      <c r="I4541" s="151" t="s">
        <v>391</v>
      </c>
      <c r="J4541" s="151" t="s">
        <v>8709</v>
      </c>
      <c r="K4541" s="151">
        <f t="shared" si="100"/>
        <v>650000000001269</v>
      </c>
      <c r="L4541" s="151" t="s">
        <v>9021</v>
      </c>
    </row>
    <row r="4542" spans="8:12" x14ac:dyDescent="0.25">
      <c r="H4542" s="151" t="s">
        <v>5596</v>
      </c>
      <c r="I4542" s="151" t="s">
        <v>6962</v>
      </c>
      <c r="J4542" s="151" t="s">
        <v>6962</v>
      </c>
      <c r="K4542" s="151">
        <f t="shared" si="100"/>
        <v>0</v>
      </c>
      <c r="L4542" s="151" t="s">
        <v>9021</v>
      </c>
    </row>
    <row r="4543" spans="8:12" x14ac:dyDescent="0.25">
      <c r="H4543" s="151" t="s">
        <v>5596</v>
      </c>
      <c r="I4543" s="151" t="s">
        <v>391</v>
      </c>
      <c r="J4543" s="151" t="s">
        <v>8710</v>
      </c>
      <c r="K4543" s="151">
        <f t="shared" si="100"/>
        <v>650000000001270</v>
      </c>
      <c r="L4543" s="151" t="s">
        <v>9021</v>
      </c>
    </row>
    <row r="4544" spans="8:12" x14ac:dyDescent="0.25">
      <c r="H4544" s="151" t="s">
        <v>5597</v>
      </c>
      <c r="I4544" s="151" t="s">
        <v>6962</v>
      </c>
      <c r="J4544" s="151" t="s">
        <v>6962</v>
      </c>
      <c r="K4544" s="151">
        <f t="shared" si="100"/>
        <v>0</v>
      </c>
      <c r="L4544" s="151" t="s">
        <v>9021</v>
      </c>
    </row>
    <row r="4545" spans="8:12" x14ac:dyDescent="0.25">
      <c r="H4545" s="151" t="s">
        <v>5597</v>
      </c>
      <c r="I4545" s="151" t="s">
        <v>391</v>
      </c>
      <c r="J4545" s="151" t="s">
        <v>8711</v>
      </c>
      <c r="K4545" s="151">
        <f t="shared" si="100"/>
        <v>650000000001271</v>
      </c>
      <c r="L4545" s="151" t="s">
        <v>9021</v>
      </c>
    </row>
    <row r="4546" spans="8:12" x14ac:dyDescent="0.25">
      <c r="H4546" s="151" t="s">
        <v>5598</v>
      </c>
      <c r="I4546" s="151" t="s">
        <v>6962</v>
      </c>
      <c r="J4546" s="151" t="s">
        <v>6962</v>
      </c>
      <c r="K4546" s="151">
        <f t="shared" si="100"/>
        <v>0</v>
      </c>
      <c r="L4546" s="151" t="s">
        <v>9021</v>
      </c>
    </row>
    <row r="4547" spans="8:12" x14ac:dyDescent="0.25">
      <c r="H4547" s="151" t="s">
        <v>5598</v>
      </c>
      <c r="I4547" s="151" t="s">
        <v>391</v>
      </c>
      <c r="J4547" s="151" t="s">
        <v>8712</v>
      </c>
      <c r="K4547" s="151">
        <f t="shared" ref="K4547:K4610" si="101">+IFERROR(J4547*1,0)</f>
        <v>650000000001272</v>
      </c>
      <c r="L4547" s="151" t="s">
        <v>9021</v>
      </c>
    </row>
    <row r="4548" spans="8:12" x14ac:dyDescent="0.25">
      <c r="H4548" s="151" t="s">
        <v>5599</v>
      </c>
      <c r="I4548" s="151" t="s">
        <v>6962</v>
      </c>
      <c r="J4548" s="151" t="s">
        <v>6962</v>
      </c>
      <c r="K4548" s="151">
        <f t="shared" si="101"/>
        <v>0</v>
      </c>
      <c r="L4548" s="151" t="s">
        <v>9021</v>
      </c>
    </row>
    <row r="4549" spans="8:12" x14ac:dyDescent="0.25">
      <c r="H4549" s="151" t="s">
        <v>5599</v>
      </c>
      <c r="I4549" s="151" t="s">
        <v>391</v>
      </c>
      <c r="J4549" s="151" t="s">
        <v>8713</v>
      </c>
      <c r="K4549" s="151">
        <f t="shared" si="101"/>
        <v>650000000002052</v>
      </c>
      <c r="L4549" s="151" t="s">
        <v>9021</v>
      </c>
    </row>
    <row r="4550" spans="8:12" x14ac:dyDescent="0.25">
      <c r="H4550" s="151" t="s">
        <v>5600</v>
      </c>
      <c r="I4550" s="151" t="s">
        <v>6962</v>
      </c>
      <c r="J4550" s="151" t="s">
        <v>6962</v>
      </c>
      <c r="K4550" s="151">
        <f t="shared" si="101"/>
        <v>0</v>
      </c>
      <c r="L4550" s="151" t="s">
        <v>9026</v>
      </c>
    </row>
    <row r="4551" spans="8:12" x14ac:dyDescent="0.25">
      <c r="H4551" s="151" t="s">
        <v>5600</v>
      </c>
      <c r="I4551" s="151" t="s">
        <v>391</v>
      </c>
      <c r="J4551" s="151" t="s">
        <v>8714</v>
      </c>
      <c r="K4551" s="151">
        <f t="shared" si="101"/>
        <v>650000000002053</v>
      </c>
      <c r="L4551" s="151" t="s">
        <v>9026</v>
      </c>
    </row>
    <row r="4552" spans="8:12" x14ac:dyDescent="0.25">
      <c r="H4552" s="151" t="s">
        <v>5601</v>
      </c>
      <c r="I4552" s="151" t="s">
        <v>6962</v>
      </c>
      <c r="J4552" s="151" t="s">
        <v>6962</v>
      </c>
      <c r="K4552" s="151">
        <f t="shared" si="101"/>
        <v>0</v>
      </c>
      <c r="L4552" s="151" t="s">
        <v>9025</v>
      </c>
    </row>
    <row r="4553" spans="8:12" x14ac:dyDescent="0.25">
      <c r="H4553" s="151" t="s">
        <v>5601</v>
      </c>
      <c r="I4553" s="151" t="s">
        <v>391</v>
      </c>
      <c r="J4553" s="151" t="s">
        <v>8715</v>
      </c>
      <c r="K4553" s="151">
        <f t="shared" si="101"/>
        <v>650000000001273</v>
      </c>
      <c r="L4553" s="151" t="s">
        <v>9025</v>
      </c>
    </row>
    <row r="4554" spans="8:12" x14ac:dyDescent="0.25">
      <c r="H4554" s="151" t="s">
        <v>5602</v>
      </c>
      <c r="I4554" s="151" t="s">
        <v>6962</v>
      </c>
      <c r="J4554" s="151" t="s">
        <v>6962</v>
      </c>
      <c r="K4554" s="151">
        <f t="shared" si="101"/>
        <v>0</v>
      </c>
      <c r="L4554" s="151" t="s">
        <v>9026</v>
      </c>
    </row>
    <row r="4555" spans="8:12" x14ac:dyDescent="0.25">
      <c r="H4555" s="151" t="s">
        <v>5602</v>
      </c>
      <c r="I4555" s="151" t="s">
        <v>391</v>
      </c>
      <c r="J4555" s="151" t="s">
        <v>8716</v>
      </c>
      <c r="K4555" s="151">
        <f t="shared" si="101"/>
        <v>650000000002054</v>
      </c>
      <c r="L4555" s="151" t="s">
        <v>9026</v>
      </c>
    </row>
    <row r="4556" spans="8:12" x14ac:dyDescent="0.25">
      <c r="H4556" s="151" t="s">
        <v>5603</v>
      </c>
      <c r="I4556" s="151" t="s">
        <v>6962</v>
      </c>
      <c r="J4556" s="151" t="s">
        <v>6962</v>
      </c>
      <c r="K4556" s="151">
        <f t="shared" si="101"/>
        <v>0</v>
      </c>
      <c r="L4556" s="151" t="s">
        <v>9025</v>
      </c>
    </row>
    <row r="4557" spans="8:12" x14ac:dyDescent="0.25">
      <c r="H4557" s="151" t="s">
        <v>5603</v>
      </c>
      <c r="I4557" s="151" t="s">
        <v>391</v>
      </c>
      <c r="J4557" s="151" t="s">
        <v>8717</v>
      </c>
      <c r="K4557" s="151">
        <f t="shared" si="101"/>
        <v>650000000001274</v>
      </c>
      <c r="L4557" s="151" t="s">
        <v>9025</v>
      </c>
    </row>
    <row r="4558" spans="8:12" x14ac:dyDescent="0.25">
      <c r="H4558" s="151" t="s">
        <v>5604</v>
      </c>
      <c r="I4558" s="151" t="s">
        <v>6962</v>
      </c>
      <c r="J4558" s="151" t="s">
        <v>6962</v>
      </c>
      <c r="K4558" s="151">
        <f t="shared" si="101"/>
        <v>0</v>
      </c>
      <c r="L4558" s="151" t="s">
        <v>9026</v>
      </c>
    </row>
    <row r="4559" spans="8:12" x14ac:dyDescent="0.25">
      <c r="H4559" s="151" t="s">
        <v>5604</v>
      </c>
      <c r="I4559" s="151" t="s">
        <v>391</v>
      </c>
      <c r="J4559" s="151" t="s">
        <v>8718</v>
      </c>
      <c r="K4559" s="151">
        <f t="shared" si="101"/>
        <v>650000000002055</v>
      </c>
      <c r="L4559" s="151" t="s">
        <v>9026</v>
      </c>
    </row>
    <row r="4560" spans="8:12" x14ac:dyDescent="0.25">
      <c r="H4560" s="151" t="s">
        <v>5605</v>
      </c>
      <c r="I4560" s="151" t="s">
        <v>6962</v>
      </c>
      <c r="J4560" s="151" t="s">
        <v>6962</v>
      </c>
      <c r="K4560" s="151">
        <f t="shared" si="101"/>
        <v>0</v>
      </c>
      <c r="L4560" s="151" t="s">
        <v>9025</v>
      </c>
    </row>
    <row r="4561" spans="8:12" x14ac:dyDescent="0.25">
      <c r="H4561" s="151" t="s">
        <v>5605</v>
      </c>
      <c r="I4561" s="151" t="s">
        <v>391</v>
      </c>
      <c r="J4561" s="151" t="s">
        <v>8719</v>
      </c>
      <c r="K4561" s="151">
        <f t="shared" si="101"/>
        <v>650000000001275</v>
      </c>
      <c r="L4561" s="151" t="s">
        <v>9025</v>
      </c>
    </row>
    <row r="4562" spans="8:12" x14ac:dyDescent="0.25">
      <c r="H4562" s="151" t="s">
        <v>5606</v>
      </c>
      <c r="I4562" s="151" t="s">
        <v>6962</v>
      </c>
      <c r="J4562" s="151" t="s">
        <v>6962</v>
      </c>
      <c r="K4562" s="151">
        <f t="shared" si="101"/>
        <v>0</v>
      </c>
      <c r="L4562" s="151" t="s">
        <v>9026</v>
      </c>
    </row>
    <row r="4563" spans="8:12" x14ac:dyDescent="0.25">
      <c r="H4563" s="151" t="s">
        <v>5606</v>
      </c>
      <c r="I4563" s="151" t="s">
        <v>391</v>
      </c>
      <c r="J4563" s="151" t="s">
        <v>8720</v>
      </c>
      <c r="K4563" s="151">
        <f t="shared" si="101"/>
        <v>650000000001276</v>
      </c>
      <c r="L4563" s="151" t="s">
        <v>9026</v>
      </c>
    </row>
    <row r="4564" spans="8:12" x14ac:dyDescent="0.25">
      <c r="H4564" s="151" t="s">
        <v>5607</v>
      </c>
      <c r="I4564" s="151" t="s">
        <v>6962</v>
      </c>
      <c r="J4564" s="151" t="s">
        <v>6962</v>
      </c>
      <c r="K4564" s="151">
        <f t="shared" si="101"/>
        <v>0</v>
      </c>
      <c r="L4564" s="151" t="s">
        <v>9025</v>
      </c>
    </row>
    <row r="4565" spans="8:12" x14ac:dyDescent="0.25">
      <c r="H4565" s="151" t="s">
        <v>5607</v>
      </c>
      <c r="I4565" s="151" t="s">
        <v>391</v>
      </c>
      <c r="J4565" s="151" t="s">
        <v>8721</v>
      </c>
      <c r="K4565" s="151">
        <f t="shared" si="101"/>
        <v>650000000001277</v>
      </c>
      <c r="L4565" s="151" t="s">
        <v>9025</v>
      </c>
    </row>
    <row r="4566" spans="8:12" x14ac:dyDescent="0.25">
      <c r="H4566" s="151" t="s">
        <v>5608</v>
      </c>
      <c r="I4566" s="151" t="s">
        <v>6962</v>
      </c>
      <c r="J4566" s="151" t="s">
        <v>6962</v>
      </c>
      <c r="K4566" s="151">
        <f t="shared" si="101"/>
        <v>0</v>
      </c>
      <c r="L4566" s="151" t="s">
        <v>9026</v>
      </c>
    </row>
    <row r="4567" spans="8:12" x14ac:dyDescent="0.25">
      <c r="H4567" s="151" t="s">
        <v>5608</v>
      </c>
      <c r="I4567" s="151" t="s">
        <v>391</v>
      </c>
      <c r="J4567" s="151" t="s">
        <v>8722</v>
      </c>
      <c r="K4567" s="151">
        <f t="shared" si="101"/>
        <v>650000000002056</v>
      </c>
      <c r="L4567" s="151" t="s">
        <v>9026</v>
      </c>
    </row>
    <row r="4568" spans="8:12" x14ac:dyDescent="0.25">
      <c r="H4568" s="151" t="s">
        <v>5609</v>
      </c>
      <c r="I4568" s="151" t="s">
        <v>6962</v>
      </c>
      <c r="J4568" s="151" t="s">
        <v>6962</v>
      </c>
      <c r="K4568" s="151">
        <f t="shared" si="101"/>
        <v>0</v>
      </c>
      <c r="L4568" s="151" t="s">
        <v>9025</v>
      </c>
    </row>
    <row r="4569" spans="8:12" x14ac:dyDescent="0.25">
      <c r="H4569" s="151" t="s">
        <v>5609</v>
      </c>
      <c r="I4569" s="151" t="s">
        <v>391</v>
      </c>
      <c r="J4569" s="151" t="s">
        <v>8723</v>
      </c>
      <c r="K4569" s="151">
        <f t="shared" si="101"/>
        <v>650000000001278</v>
      </c>
      <c r="L4569" s="151" t="s">
        <v>9025</v>
      </c>
    </row>
    <row r="4570" spans="8:12" x14ac:dyDescent="0.25">
      <c r="H4570" s="151" t="s">
        <v>5610</v>
      </c>
      <c r="I4570" s="151" t="s">
        <v>6962</v>
      </c>
      <c r="J4570" s="151" t="s">
        <v>6962</v>
      </c>
      <c r="K4570" s="151">
        <f t="shared" si="101"/>
        <v>0</v>
      </c>
      <c r="L4570" s="151" t="s">
        <v>9026</v>
      </c>
    </row>
    <row r="4571" spans="8:12" x14ac:dyDescent="0.25">
      <c r="H4571" s="151" t="s">
        <v>5610</v>
      </c>
      <c r="I4571" s="151" t="s">
        <v>391</v>
      </c>
      <c r="J4571" s="151" t="s">
        <v>8724</v>
      </c>
      <c r="K4571" s="151">
        <f t="shared" si="101"/>
        <v>650000000002057</v>
      </c>
      <c r="L4571" s="151" t="s">
        <v>9026</v>
      </c>
    </row>
    <row r="4572" spans="8:12" x14ac:dyDescent="0.25">
      <c r="H4572" s="151" t="s">
        <v>5611</v>
      </c>
      <c r="I4572" s="151" t="s">
        <v>6962</v>
      </c>
      <c r="J4572" s="151" t="s">
        <v>6962</v>
      </c>
      <c r="K4572" s="151">
        <f t="shared" si="101"/>
        <v>0</v>
      </c>
      <c r="L4572" s="151" t="s">
        <v>9025</v>
      </c>
    </row>
    <row r="4573" spans="8:12" x14ac:dyDescent="0.25">
      <c r="H4573" s="151" t="s">
        <v>5611</v>
      </c>
      <c r="I4573" s="151" t="s">
        <v>391</v>
      </c>
      <c r="J4573" s="151" t="s">
        <v>8725</v>
      </c>
      <c r="K4573" s="151">
        <f t="shared" si="101"/>
        <v>650000000001279</v>
      </c>
      <c r="L4573" s="151" t="s">
        <v>9025</v>
      </c>
    </row>
    <row r="4574" spans="8:12" x14ac:dyDescent="0.25">
      <c r="H4574" s="151" t="s">
        <v>5612</v>
      </c>
      <c r="I4574" s="151" t="s">
        <v>6962</v>
      </c>
      <c r="J4574" s="151" t="s">
        <v>6962</v>
      </c>
      <c r="K4574" s="151">
        <f t="shared" si="101"/>
        <v>0</v>
      </c>
      <c r="L4574" s="151" t="s">
        <v>9021</v>
      </c>
    </row>
    <row r="4575" spans="8:12" x14ac:dyDescent="0.25">
      <c r="H4575" s="151" t="s">
        <v>5612</v>
      </c>
      <c r="I4575" s="151" t="s">
        <v>391</v>
      </c>
      <c r="J4575" s="151" t="s">
        <v>8726</v>
      </c>
      <c r="K4575" s="151">
        <f t="shared" si="101"/>
        <v>650000000001280</v>
      </c>
      <c r="L4575" s="151" t="s">
        <v>9021</v>
      </c>
    </row>
    <row r="4576" spans="8:12" x14ac:dyDescent="0.25">
      <c r="H4576" s="151" t="s">
        <v>5613</v>
      </c>
      <c r="I4576" s="151" t="s">
        <v>6962</v>
      </c>
      <c r="J4576" s="151" t="s">
        <v>6962</v>
      </c>
      <c r="K4576" s="151">
        <f t="shared" si="101"/>
        <v>0</v>
      </c>
      <c r="L4576" s="151" t="s">
        <v>9021</v>
      </c>
    </row>
    <row r="4577" spans="8:12" x14ac:dyDescent="0.25">
      <c r="H4577" s="151" t="s">
        <v>5613</v>
      </c>
      <c r="I4577" s="151" t="s">
        <v>391</v>
      </c>
      <c r="J4577" s="151" t="s">
        <v>8727</v>
      </c>
      <c r="K4577" s="151">
        <f t="shared" si="101"/>
        <v>650000000002058</v>
      </c>
      <c r="L4577" s="151" t="s">
        <v>9021</v>
      </c>
    </row>
    <row r="4578" spans="8:12" x14ac:dyDescent="0.25">
      <c r="H4578" s="151" t="s">
        <v>5614</v>
      </c>
      <c r="I4578" s="151" t="s">
        <v>6962</v>
      </c>
      <c r="J4578" s="151" t="s">
        <v>6962</v>
      </c>
      <c r="K4578" s="151">
        <f t="shared" si="101"/>
        <v>0</v>
      </c>
      <c r="L4578" s="151" t="s">
        <v>9021</v>
      </c>
    </row>
    <row r="4579" spans="8:12" x14ac:dyDescent="0.25">
      <c r="H4579" s="151" t="s">
        <v>5614</v>
      </c>
      <c r="I4579" s="151" t="s">
        <v>391</v>
      </c>
      <c r="J4579" s="151" t="s">
        <v>8728</v>
      </c>
      <c r="K4579" s="151">
        <f t="shared" si="101"/>
        <v>650000000002059</v>
      </c>
      <c r="L4579" s="151" t="s">
        <v>9021</v>
      </c>
    </row>
    <row r="4580" spans="8:12" x14ac:dyDescent="0.25">
      <c r="H4580" s="151" t="s">
        <v>5615</v>
      </c>
      <c r="I4580" s="151" t="s">
        <v>6962</v>
      </c>
      <c r="J4580" s="151" t="s">
        <v>6962</v>
      </c>
      <c r="K4580" s="151">
        <f t="shared" si="101"/>
        <v>0</v>
      </c>
      <c r="L4580" s="151" t="s">
        <v>9021</v>
      </c>
    </row>
    <row r="4581" spans="8:12" x14ac:dyDescent="0.25">
      <c r="H4581" s="151" t="s">
        <v>5615</v>
      </c>
      <c r="I4581" s="151" t="s">
        <v>391</v>
      </c>
      <c r="J4581" s="151" t="s">
        <v>8729</v>
      </c>
      <c r="K4581" s="151">
        <f t="shared" si="101"/>
        <v>650000000001281</v>
      </c>
      <c r="L4581" s="151" t="s">
        <v>9021</v>
      </c>
    </row>
    <row r="4582" spans="8:12" x14ac:dyDescent="0.25">
      <c r="H4582" s="151" t="s">
        <v>5616</v>
      </c>
      <c r="I4582" s="151" t="s">
        <v>6962</v>
      </c>
      <c r="J4582" s="151" t="s">
        <v>6962</v>
      </c>
      <c r="K4582" s="151">
        <f t="shared" si="101"/>
        <v>0</v>
      </c>
      <c r="L4582" s="151" t="s">
        <v>9021</v>
      </c>
    </row>
    <row r="4583" spans="8:12" x14ac:dyDescent="0.25">
      <c r="H4583" s="151" t="s">
        <v>5616</v>
      </c>
      <c r="I4583" s="151" t="s">
        <v>391</v>
      </c>
      <c r="J4583" s="151" t="s">
        <v>8730</v>
      </c>
      <c r="K4583" s="151">
        <f t="shared" si="101"/>
        <v>650000000002060</v>
      </c>
      <c r="L4583" s="151" t="s">
        <v>9021</v>
      </c>
    </row>
    <row r="4584" spans="8:12" x14ac:dyDescent="0.25">
      <c r="H4584" s="151" t="s">
        <v>6941</v>
      </c>
      <c r="I4584" s="151" t="s">
        <v>6962</v>
      </c>
      <c r="J4584" s="151" t="s">
        <v>6962</v>
      </c>
      <c r="K4584" s="151">
        <f t="shared" si="101"/>
        <v>0</v>
      </c>
      <c r="L4584" s="151" t="s">
        <v>9021</v>
      </c>
    </row>
    <row r="4585" spans="8:12" x14ac:dyDescent="0.25">
      <c r="H4585" s="151" t="s">
        <v>5617</v>
      </c>
      <c r="I4585" s="151" t="s">
        <v>6962</v>
      </c>
      <c r="J4585" s="151" t="s">
        <v>6962</v>
      </c>
      <c r="K4585" s="151">
        <f t="shared" si="101"/>
        <v>0</v>
      </c>
      <c r="L4585" s="151" t="s">
        <v>9021</v>
      </c>
    </row>
    <row r="4586" spans="8:12" x14ac:dyDescent="0.25">
      <c r="H4586" s="151" t="s">
        <v>5617</v>
      </c>
      <c r="I4586" s="151" t="s">
        <v>391</v>
      </c>
      <c r="J4586" s="151" t="s">
        <v>8731</v>
      </c>
      <c r="K4586" s="151">
        <f t="shared" si="101"/>
        <v>650000000001282</v>
      </c>
      <c r="L4586" s="151" t="s">
        <v>9021</v>
      </c>
    </row>
    <row r="4587" spans="8:12" x14ac:dyDescent="0.25">
      <c r="H4587" s="151" t="s">
        <v>5618</v>
      </c>
      <c r="I4587" s="151" t="s">
        <v>6962</v>
      </c>
      <c r="J4587" s="151" t="s">
        <v>6962</v>
      </c>
      <c r="K4587" s="151">
        <f t="shared" si="101"/>
        <v>0</v>
      </c>
      <c r="L4587" s="151" t="s">
        <v>9021</v>
      </c>
    </row>
    <row r="4588" spans="8:12" x14ac:dyDescent="0.25">
      <c r="H4588" s="151" t="s">
        <v>5618</v>
      </c>
      <c r="I4588" s="151" t="s">
        <v>391</v>
      </c>
      <c r="J4588" s="151" t="s">
        <v>8732</v>
      </c>
      <c r="K4588" s="151">
        <f t="shared" si="101"/>
        <v>650000000001283</v>
      </c>
      <c r="L4588" s="151" t="s">
        <v>9021</v>
      </c>
    </row>
    <row r="4589" spans="8:12" x14ac:dyDescent="0.25">
      <c r="H4589" s="151" t="s">
        <v>6942</v>
      </c>
      <c r="I4589" s="151" t="s">
        <v>6962</v>
      </c>
      <c r="J4589" s="151" t="s">
        <v>6962</v>
      </c>
      <c r="K4589" s="151">
        <f t="shared" si="101"/>
        <v>0</v>
      </c>
      <c r="L4589" s="151" t="s">
        <v>9021</v>
      </c>
    </row>
    <row r="4590" spans="8:12" x14ac:dyDescent="0.25">
      <c r="H4590" s="151" t="s">
        <v>5619</v>
      </c>
      <c r="I4590" s="151" t="s">
        <v>6962</v>
      </c>
      <c r="J4590" s="151" t="s">
        <v>6962</v>
      </c>
      <c r="K4590" s="151">
        <f t="shared" si="101"/>
        <v>0</v>
      </c>
      <c r="L4590" s="151" t="s">
        <v>9021</v>
      </c>
    </row>
    <row r="4591" spans="8:12" x14ac:dyDescent="0.25">
      <c r="H4591" s="151" t="s">
        <v>5619</v>
      </c>
      <c r="I4591" s="151" t="s">
        <v>391</v>
      </c>
      <c r="J4591" s="151" t="s">
        <v>8733</v>
      </c>
      <c r="K4591" s="151">
        <f t="shared" si="101"/>
        <v>650000000001284</v>
      </c>
      <c r="L4591" s="151" t="s">
        <v>9021</v>
      </c>
    </row>
    <row r="4592" spans="8:12" x14ac:dyDescent="0.25">
      <c r="H4592" s="151" t="s">
        <v>5620</v>
      </c>
      <c r="I4592" s="151" t="s">
        <v>6962</v>
      </c>
      <c r="J4592" s="151" t="s">
        <v>6962</v>
      </c>
      <c r="K4592" s="151">
        <f t="shared" si="101"/>
        <v>0</v>
      </c>
      <c r="L4592" s="151" t="s">
        <v>9021</v>
      </c>
    </row>
    <row r="4593" spans="8:12" x14ac:dyDescent="0.25">
      <c r="H4593" s="151" t="s">
        <v>5620</v>
      </c>
      <c r="I4593" s="151" t="s">
        <v>391</v>
      </c>
      <c r="J4593" s="151" t="s">
        <v>8734</v>
      </c>
      <c r="K4593" s="151">
        <f t="shared" si="101"/>
        <v>650000000002061</v>
      </c>
      <c r="L4593" s="151" t="s">
        <v>9021</v>
      </c>
    </row>
    <row r="4594" spans="8:12" x14ac:dyDescent="0.25">
      <c r="H4594" s="151" t="s">
        <v>5621</v>
      </c>
      <c r="I4594" s="151" t="s">
        <v>6962</v>
      </c>
      <c r="J4594" s="151" t="s">
        <v>6962</v>
      </c>
      <c r="K4594" s="151">
        <f t="shared" si="101"/>
        <v>0</v>
      </c>
      <c r="L4594" s="151" t="s">
        <v>9021</v>
      </c>
    </row>
    <row r="4595" spans="8:12" x14ac:dyDescent="0.25">
      <c r="H4595" s="151" t="s">
        <v>5621</v>
      </c>
      <c r="I4595" s="151" t="s">
        <v>391</v>
      </c>
      <c r="J4595" s="151" t="s">
        <v>8735</v>
      </c>
      <c r="K4595" s="151">
        <f t="shared" si="101"/>
        <v>650000000001285</v>
      </c>
      <c r="L4595" s="151" t="s">
        <v>9021</v>
      </c>
    </row>
    <row r="4596" spans="8:12" x14ac:dyDescent="0.25">
      <c r="H4596" s="151" t="s">
        <v>5622</v>
      </c>
      <c r="I4596" s="151" t="s">
        <v>6962</v>
      </c>
      <c r="J4596" s="151" t="s">
        <v>6962</v>
      </c>
      <c r="K4596" s="151">
        <f t="shared" si="101"/>
        <v>0</v>
      </c>
      <c r="L4596" s="151" t="s">
        <v>9021</v>
      </c>
    </row>
    <row r="4597" spans="8:12" x14ac:dyDescent="0.25">
      <c r="H4597" s="151" t="s">
        <v>5622</v>
      </c>
      <c r="I4597" s="151" t="s">
        <v>391</v>
      </c>
      <c r="J4597" s="151" t="s">
        <v>8736</v>
      </c>
      <c r="K4597" s="151">
        <f t="shared" si="101"/>
        <v>650000000001286</v>
      </c>
      <c r="L4597" s="151" t="s">
        <v>9021</v>
      </c>
    </row>
    <row r="4598" spans="8:12" x14ac:dyDescent="0.25">
      <c r="H4598" s="151" t="s">
        <v>5623</v>
      </c>
      <c r="I4598" s="151" t="s">
        <v>6962</v>
      </c>
      <c r="J4598" s="151" t="s">
        <v>6962</v>
      </c>
      <c r="K4598" s="151">
        <f t="shared" si="101"/>
        <v>0</v>
      </c>
      <c r="L4598" s="151" t="s">
        <v>9021</v>
      </c>
    </row>
    <row r="4599" spans="8:12" x14ac:dyDescent="0.25">
      <c r="H4599" s="151" t="s">
        <v>5623</v>
      </c>
      <c r="I4599" s="151" t="s">
        <v>391</v>
      </c>
      <c r="J4599" s="151" t="s">
        <v>8737</v>
      </c>
      <c r="K4599" s="151">
        <f t="shared" si="101"/>
        <v>650000000002062</v>
      </c>
      <c r="L4599" s="151" t="s">
        <v>9021</v>
      </c>
    </row>
    <row r="4600" spans="8:12" x14ac:dyDescent="0.25">
      <c r="H4600" s="151" t="s">
        <v>5624</v>
      </c>
      <c r="I4600" s="151" t="s">
        <v>6962</v>
      </c>
      <c r="J4600" s="151" t="s">
        <v>6962</v>
      </c>
      <c r="K4600" s="151">
        <f t="shared" si="101"/>
        <v>0</v>
      </c>
      <c r="L4600" s="151" t="s">
        <v>9021</v>
      </c>
    </row>
    <row r="4601" spans="8:12" x14ac:dyDescent="0.25">
      <c r="H4601" s="151" t="s">
        <v>5624</v>
      </c>
      <c r="I4601" s="151" t="s">
        <v>391</v>
      </c>
      <c r="J4601" s="151" t="s">
        <v>8738</v>
      </c>
      <c r="K4601" s="151">
        <f t="shared" si="101"/>
        <v>650000000001287</v>
      </c>
      <c r="L4601" s="151" t="s">
        <v>9021</v>
      </c>
    </row>
    <row r="4602" spans="8:12" x14ac:dyDescent="0.25">
      <c r="H4602" s="151" t="s">
        <v>6943</v>
      </c>
      <c r="I4602" s="151" t="s">
        <v>6962</v>
      </c>
      <c r="J4602" s="151" t="s">
        <v>6962</v>
      </c>
      <c r="K4602" s="151">
        <f t="shared" si="101"/>
        <v>0</v>
      </c>
      <c r="L4602" s="151" t="s">
        <v>9021</v>
      </c>
    </row>
    <row r="4603" spans="8:12" x14ac:dyDescent="0.25">
      <c r="H4603" s="151" t="s">
        <v>5625</v>
      </c>
      <c r="I4603" s="151" t="s">
        <v>6962</v>
      </c>
      <c r="J4603" s="151" t="s">
        <v>6962</v>
      </c>
      <c r="K4603" s="151">
        <f t="shared" si="101"/>
        <v>0</v>
      </c>
      <c r="L4603" s="151" t="s">
        <v>9021</v>
      </c>
    </row>
    <row r="4604" spans="8:12" x14ac:dyDescent="0.25">
      <c r="H4604" s="151" t="s">
        <v>5625</v>
      </c>
      <c r="I4604" s="151" t="s">
        <v>391</v>
      </c>
      <c r="J4604" s="151" t="s">
        <v>8739</v>
      </c>
      <c r="K4604" s="151">
        <f t="shared" si="101"/>
        <v>650000000002063</v>
      </c>
      <c r="L4604" s="151" t="s">
        <v>9021</v>
      </c>
    </row>
    <row r="4605" spans="8:12" x14ac:dyDescent="0.25">
      <c r="H4605" s="151" t="s">
        <v>5626</v>
      </c>
      <c r="I4605" s="151" t="s">
        <v>6962</v>
      </c>
      <c r="J4605" s="151" t="s">
        <v>6962</v>
      </c>
      <c r="K4605" s="151">
        <f t="shared" si="101"/>
        <v>0</v>
      </c>
      <c r="L4605" s="151" t="s">
        <v>9021</v>
      </c>
    </row>
    <row r="4606" spans="8:12" x14ac:dyDescent="0.25">
      <c r="H4606" s="151" t="s">
        <v>5626</v>
      </c>
      <c r="I4606" s="151" t="s">
        <v>391</v>
      </c>
      <c r="J4606" s="151" t="s">
        <v>8740</v>
      </c>
      <c r="K4606" s="151">
        <f t="shared" si="101"/>
        <v>650000000002064</v>
      </c>
      <c r="L4606" s="151" t="s">
        <v>9021</v>
      </c>
    </row>
    <row r="4607" spans="8:12" x14ac:dyDescent="0.25">
      <c r="H4607" s="151" t="s">
        <v>5627</v>
      </c>
      <c r="I4607" s="151" t="s">
        <v>6962</v>
      </c>
      <c r="J4607" s="151" t="s">
        <v>6962</v>
      </c>
      <c r="K4607" s="151">
        <f t="shared" si="101"/>
        <v>0</v>
      </c>
      <c r="L4607" s="151" t="s">
        <v>9021</v>
      </c>
    </row>
    <row r="4608" spans="8:12" x14ac:dyDescent="0.25">
      <c r="H4608" s="151" t="s">
        <v>5627</v>
      </c>
      <c r="I4608" s="151" t="s">
        <v>391</v>
      </c>
      <c r="J4608" s="151" t="s">
        <v>8741</v>
      </c>
      <c r="K4608" s="151">
        <f t="shared" si="101"/>
        <v>650000000002065</v>
      </c>
      <c r="L4608" s="151" t="s">
        <v>9021</v>
      </c>
    </row>
    <row r="4609" spans="8:12" x14ac:dyDescent="0.25">
      <c r="H4609" s="151" t="s">
        <v>5628</v>
      </c>
      <c r="I4609" s="151" t="s">
        <v>6962</v>
      </c>
      <c r="J4609" s="151" t="s">
        <v>6962</v>
      </c>
      <c r="K4609" s="151">
        <f t="shared" si="101"/>
        <v>0</v>
      </c>
      <c r="L4609" s="151" t="s">
        <v>9021</v>
      </c>
    </row>
    <row r="4610" spans="8:12" x14ac:dyDescent="0.25">
      <c r="H4610" s="151" t="s">
        <v>5628</v>
      </c>
      <c r="I4610" s="151" t="s">
        <v>391</v>
      </c>
      <c r="J4610" s="151" t="s">
        <v>8742</v>
      </c>
      <c r="K4610" s="151">
        <f t="shared" si="101"/>
        <v>650000000001288</v>
      </c>
      <c r="L4610" s="151" t="s">
        <v>9021</v>
      </c>
    </row>
    <row r="4611" spans="8:12" x14ac:dyDescent="0.25">
      <c r="H4611" s="151" t="s">
        <v>5629</v>
      </c>
      <c r="I4611" s="151" t="s">
        <v>6962</v>
      </c>
      <c r="J4611" s="151" t="s">
        <v>6962</v>
      </c>
      <c r="K4611" s="151">
        <f t="shared" ref="K4611:K4674" si="102">+IFERROR(J4611*1,0)</f>
        <v>0</v>
      </c>
      <c r="L4611" s="151" t="s">
        <v>9021</v>
      </c>
    </row>
    <row r="4612" spans="8:12" x14ac:dyDescent="0.25">
      <c r="H4612" s="151" t="s">
        <v>5629</v>
      </c>
      <c r="I4612" s="151" t="s">
        <v>391</v>
      </c>
      <c r="J4612" s="151" t="s">
        <v>8743</v>
      </c>
      <c r="K4612" s="151">
        <f t="shared" si="102"/>
        <v>650000000001289</v>
      </c>
      <c r="L4612" s="151" t="s">
        <v>9021</v>
      </c>
    </row>
    <row r="4613" spans="8:12" x14ac:dyDescent="0.25">
      <c r="H4613" s="151" t="s">
        <v>5630</v>
      </c>
      <c r="I4613" s="151" t="s">
        <v>6962</v>
      </c>
      <c r="J4613" s="151" t="s">
        <v>6962</v>
      </c>
      <c r="K4613" s="151">
        <f t="shared" si="102"/>
        <v>0</v>
      </c>
      <c r="L4613" s="151" t="s">
        <v>9021</v>
      </c>
    </row>
    <row r="4614" spans="8:12" x14ac:dyDescent="0.25">
      <c r="H4614" s="151" t="s">
        <v>5630</v>
      </c>
      <c r="I4614" s="151" t="s">
        <v>391</v>
      </c>
      <c r="J4614" s="151" t="s">
        <v>8744</v>
      </c>
      <c r="K4614" s="151">
        <f t="shared" si="102"/>
        <v>650000000001290</v>
      </c>
      <c r="L4614" s="151" t="s">
        <v>9021</v>
      </c>
    </row>
    <row r="4615" spans="8:12" x14ac:dyDescent="0.25">
      <c r="H4615" s="151" t="s">
        <v>5631</v>
      </c>
      <c r="I4615" s="151" t="s">
        <v>6962</v>
      </c>
      <c r="J4615" s="151" t="s">
        <v>6962</v>
      </c>
      <c r="K4615" s="151">
        <f t="shared" si="102"/>
        <v>0</v>
      </c>
      <c r="L4615" s="151" t="s">
        <v>9021</v>
      </c>
    </row>
    <row r="4616" spans="8:12" x14ac:dyDescent="0.25">
      <c r="H4616" s="151" t="s">
        <v>5631</v>
      </c>
      <c r="I4616" s="151" t="s">
        <v>391</v>
      </c>
      <c r="J4616" s="151" t="s">
        <v>8745</v>
      </c>
      <c r="K4616" s="151">
        <f t="shared" si="102"/>
        <v>650000000001291</v>
      </c>
      <c r="L4616" s="151" t="s">
        <v>9021</v>
      </c>
    </row>
    <row r="4617" spans="8:12" x14ac:dyDescent="0.25">
      <c r="H4617" s="151" t="s">
        <v>5632</v>
      </c>
      <c r="I4617" s="151" t="s">
        <v>6962</v>
      </c>
      <c r="J4617" s="151" t="s">
        <v>6962</v>
      </c>
      <c r="K4617" s="151">
        <f t="shared" si="102"/>
        <v>0</v>
      </c>
      <c r="L4617" s="151" t="s">
        <v>9021</v>
      </c>
    </row>
    <row r="4618" spans="8:12" x14ac:dyDescent="0.25">
      <c r="H4618" s="151" t="s">
        <v>5632</v>
      </c>
      <c r="I4618" s="151" t="s">
        <v>391</v>
      </c>
      <c r="J4618" s="151" t="s">
        <v>8746</v>
      </c>
      <c r="K4618" s="151">
        <f t="shared" si="102"/>
        <v>650000000001292</v>
      </c>
      <c r="L4618" s="151" t="s">
        <v>9021</v>
      </c>
    </row>
    <row r="4619" spans="8:12" x14ac:dyDescent="0.25">
      <c r="H4619" s="151" t="s">
        <v>5633</v>
      </c>
      <c r="I4619" s="151" t="s">
        <v>6962</v>
      </c>
      <c r="J4619" s="151" t="s">
        <v>6962</v>
      </c>
      <c r="K4619" s="151">
        <f t="shared" si="102"/>
        <v>0</v>
      </c>
      <c r="L4619" s="151" t="s">
        <v>9021</v>
      </c>
    </row>
    <row r="4620" spans="8:12" x14ac:dyDescent="0.25">
      <c r="H4620" s="151" t="s">
        <v>5633</v>
      </c>
      <c r="I4620" s="151" t="s">
        <v>391</v>
      </c>
      <c r="J4620" s="151" t="s">
        <v>8747</v>
      </c>
      <c r="K4620" s="151">
        <f t="shared" si="102"/>
        <v>650000000002066</v>
      </c>
      <c r="L4620" s="151" t="s">
        <v>9021</v>
      </c>
    </row>
    <row r="4621" spans="8:12" x14ac:dyDescent="0.25">
      <c r="H4621" s="151" t="s">
        <v>5634</v>
      </c>
      <c r="I4621" s="151" t="s">
        <v>6962</v>
      </c>
      <c r="J4621" s="151" t="s">
        <v>6962</v>
      </c>
      <c r="K4621" s="151">
        <f t="shared" si="102"/>
        <v>0</v>
      </c>
      <c r="L4621" s="151" t="s">
        <v>9021</v>
      </c>
    </row>
    <row r="4622" spans="8:12" x14ac:dyDescent="0.25">
      <c r="H4622" s="151" t="s">
        <v>5634</v>
      </c>
      <c r="I4622" s="151" t="s">
        <v>391</v>
      </c>
      <c r="J4622" s="151" t="s">
        <v>8748</v>
      </c>
      <c r="K4622" s="151">
        <f t="shared" si="102"/>
        <v>650000000002067</v>
      </c>
      <c r="L4622" s="151" t="s">
        <v>9021</v>
      </c>
    </row>
    <row r="4623" spans="8:12" x14ac:dyDescent="0.25">
      <c r="H4623" s="151" t="s">
        <v>5635</v>
      </c>
      <c r="I4623" s="151" t="s">
        <v>6962</v>
      </c>
      <c r="J4623" s="151" t="s">
        <v>6962</v>
      </c>
      <c r="K4623" s="151">
        <f t="shared" si="102"/>
        <v>0</v>
      </c>
      <c r="L4623" s="151" t="s">
        <v>9021</v>
      </c>
    </row>
    <row r="4624" spans="8:12" x14ac:dyDescent="0.25">
      <c r="H4624" s="151" t="s">
        <v>5635</v>
      </c>
      <c r="I4624" s="151" t="s">
        <v>391</v>
      </c>
      <c r="J4624" s="151" t="s">
        <v>8749</v>
      </c>
      <c r="K4624" s="151">
        <f t="shared" si="102"/>
        <v>650000000002068</v>
      </c>
      <c r="L4624" s="151" t="s">
        <v>9021</v>
      </c>
    </row>
    <row r="4625" spans="8:12" x14ac:dyDescent="0.25">
      <c r="H4625" s="151" t="s">
        <v>5636</v>
      </c>
      <c r="I4625" s="151" t="s">
        <v>6962</v>
      </c>
      <c r="J4625" s="151" t="s">
        <v>6962</v>
      </c>
      <c r="K4625" s="151">
        <f t="shared" si="102"/>
        <v>0</v>
      </c>
      <c r="L4625" s="151" t="s">
        <v>9021</v>
      </c>
    </row>
    <row r="4626" spans="8:12" x14ac:dyDescent="0.25">
      <c r="H4626" s="151" t="s">
        <v>5636</v>
      </c>
      <c r="I4626" s="151" t="s">
        <v>391</v>
      </c>
      <c r="J4626" s="151" t="s">
        <v>8750</v>
      </c>
      <c r="K4626" s="151">
        <f t="shared" si="102"/>
        <v>650000000001293</v>
      </c>
      <c r="L4626" s="151" t="s">
        <v>9021</v>
      </c>
    </row>
    <row r="4627" spans="8:12" x14ac:dyDescent="0.25">
      <c r="H4627" s="151" t="s">
        <v>5637</v>
      </c>
      <c r="I4627" s="151" t="s">
        <v>6962</v>
      </c>
      <c r="J4627" s="151" t="s">
        <v>6962</v>
      </c>
      <c r="K4627" s="151">
        <f t="shared" si="102"/>
        <v>0</v>
      </c>
      <c r="L4627" s="151" t="s">
        <v>9021</v>
      </c>
    </row>
    <row r="4628" spans="8:12" x14ac:dyDescent="0.25">
      <c r="H4628" s="151" t="s">
        <v>5637</v>
      </c>
      <c r="I4628" s="151" t="s">
        <v>391</v>
      </c>
      <c r="J4628" s="151" t="s">
        <v>8751</v>
      </c>
      <c r="K4628" s="151">
        <f t="shared" si="102"/>
        <v>650000000002069</v>
      </c>
      <c r="L4628" s="151" t="s">
        <v>9021</v>
      </c>
    </row>
    <row r="4629" spans="8:12" x14ac:dyDescent="0.25">
      <c r="H4629" s="151" t="s">
        <v>5638</v>
      </c>
      <c r="I4629" s="151" t="s">
        <v>6962</v>
      </c>
      <c r="J4629" s="151" t="s">
        <v>6962</v>
      </c>
      <c r="K4629" s="151">
        <f t="shared" si="102"/>
        <v>0</v>
      </c>
      <c r="L4629" s="151" t="s">
        <v>9021</v>
      </c>
    </row>
    <row r="4630" spans="8:12" x14ac:dyDescent="0.25">
      <c r="H4630" s="151" t="s">
        <v>5638</v>
      </c>
      <c r="I4630" s="151" t="s">
        <v>391</v>
      </c>
      <c r="J4630" s="151" t="s">
        <v>8752</v>
      </c>
      <c r="K4630" s="151">
        <f t="shared" si="102"/>
        <v>650000000002070</v>
      </c>
      <c r="L4630" s="151" t="s">
        <v>9021</v>
      </c>
    </row>
    <row r="4631" spans="8:12" x14ac:dyDescent="0.25">
      <c r="H4631" s="151" t="s">
        <v>5639</v>
      </c>
      <c r="I4631" s="151" t="s">
        <v>6962</v>
      </c>
      <c r="J4631" s="151" t="s">
        <v>6962</v>
      </c>
      <c r="K4631" s="151">
        <f t="shared" si="102"/>
        <v>0</v>
      </c>
      <c r="L4631" s="151" t="s">
        <v>9021</v>
      </c>
    </row>
    <row r="4632" spans="8:12" x14ac:dyDescent="0.25">
      <c r="H4632" s="151" t="s">
        <v>5639</v>
      </c>
      <c r="I4632" s="151" t="s">
        <v>391</v>
      </c>
      <c r="J4632" s="151" t="s">
        <v>8753</v>
      </c>
      <c r="K4632" s="151">
        <f t="shared" si="102"/>
        <v>650000000002071</v>
      </c>
      <c r="L4632" s="151" t="s">
        <v>9021</v>
      </c>
    </row>
    <row r="4633" spans="8:12" x14ac:dyDescent="0.25">
      <c r="H4633" s="151" t="s">
        <v>5640</v>
      </c>
      <c r="I4633" s="151" t="s">
        <v>6962</v>
      </c>
      <c r="J4633" s="151" t="s">
        <v>6962</v>
      </c>
      <c r="K4633" s="151">
        <f t="shared" si="102"/>
        <v>0</v>
      </c>
      <c r="L4633" s="151" t="s">
        <v>9021</v>
      </c>
    </row>
    <row r="4634" spans="8:12" x14ac:dyDescent="0.25">
      <c r="H4634" s="151" t="s">
        <v>5640</v>
      </c>
      <c r="I4634" s="151" t="s">
        <v>391</v>
      </c>
      <c r="J4634" s="151" t="s">
        <v>8754</v>
      </c>
      <c r="K4634" s="151">
        <f t="shared" si="102"/>
        <v>650000000002072</v>
      </c>
      <c r="L4634" s="151" t="s">
        <v>9021</v>
      </c>
    </row>
    <row r="4635" spans="8:12" x14ac:dyDescent="0.25">
      <c r="H4635" s="151" t="s">
        <v>5641</v>
      </c>
      <c r="I4635" s="151" t="s">
        <v>6962</v>
      </c>
      <c r="J4635" s="151" t="s">
        <v>6962</v>
      </c>
      <c r="K4635" s="151">
        <f t="shared" si="102"/>
        <v>0</v>
      </c>
      <c r="L4635" s="151" t="s">
        <v>9021</v>
      </c>
    </row>
    <row r="4636" spans="8:12" x14ac:dyDescent="0.25">
      <c r="H4636" s="151" t="s">
        <v>5641</v>
      </c>
      <c r="I4636" s="151" t="s">
        <v>391</v>
      </c>
      <c r="J4636" s="151" t="s">
        <v>8755</v>
      </c>
      <c r="K4636" s="151">
        <f t="shared" si="102"/>
        <v>650000000002073</v>
      </c>
      <c r="L4636" s="151" t="s">
        <v>9021</v>
      </c>
    </row>
    <row r="4637" spans="8:12" x14ac:dyDescent="0.25">
      <c r="H4637" s="151" t="s">
        <v>5642</v>
      </c>
      <c r="I4637" s="151" t="s">
        <v>6962</v>
      </c>
      <c r="J4637" s="151" t="s">
        <v>6962</v>
      </c>
      <c r="K4637" s="151">
        <f t="shared" si="102"/>
        <v>0</v>
      </c>
      <c r="L4637" s="151" t="s">
        <v>9021</v>
      </c>
    </row>
    <row r="4638" spans="8:12" x14ac:dyDescent="0.25">
      <c r="H4638" s="151" t="s">
        <v>5642</v>
      </c>
      <c r="I4638" s="151" t="s">
        <v>391</v>
      </c>
      <c r="J4638" s="151" t="s">
        <v>8756</v>
      </c>
      <c r="K4638" s="151">
        <f t="shared" si="102"/>
        <v>650000000001294</v>
      </c>
      <c r="L4638" s="151" t="s">
        <v>9021</v>
      </c>
    </row>
    <row r="4639" spans="8:12" x14ac:dyDescent="0.25">
      <c r="H4639" s="151" t="s">
        <v>5643</v>
      </c>
      <c r="I4639" s="151" t="s">
        <v>6962</v>
      </c>
      <c r="J4639" s="151" t="s">
        <v>6962</v>
      </c>
      <c r="K4639" s="151">
        <f t="shared" si="102"/>
        <v>0</v>
      </c>
      <c r="L4639" s="151" t="s">
        <v>9021</v>
      </c>
    </row>
    <row r="4640" spans="8:12" x14ac:dyDescent="0.25">
      <c r="H4640" s="151" t="s">
        <v>5643</v>
      </c>
      <c r="I4640" s="151" t="s">
        <v>391</v>
      </c>
      <c r="J4640" s="151" t="s">
        <v>8757</v>
      </c>
      <c r="K4640" s="151">
        <f t="shared" si="102"/>
        <v>650000000001295</v>
      </c>
      <c r="L4640" s="151" t="s">
        <v>9021</v>
      </c>
    </row>
    <row r="4641" spans="8:12" x14ac:dyDescent="0.25">
      <c r="H4641" s="151" t="s">
        <v>5644</v>
      </c>
      <c r="I4641" s="151" t="s">
        <v>6962</v>
      </c>
      <c r="J4641" s="151" t="s">
        <v>6962</v>
      </c>
      <c r="K4641" s="151">
        <f t="shared" si="102"/>
        <v>0</v>
      </c>
      <c r="L4641" s="151" t="s">
        <v>9021</v>
      </c>
    </row>
    <row r="4642" spans="8:12" x14ac:dyDescent="0.25">
      <c r="H4642" s="151" t="s">
        <v>5644</v>
      </c>
      <c r="I4642" s="151" t="s">
        <v>391</v>
      </c>
      <c r="J4642" s="151" t="s">
        <v>8758</v>
      </c>
      <c r="K4642" s="151">
        <f t="shared" si="102"/>
        <v>650000000002074</v>
      </c>
      <c r="L4642" s="151" t="s">
        <v>9021</v>
      </c>
    </row>
    <row r="4643" spans="8:12" x14ac:dyDescent="0.25">
      <c r="H4643" s="151" t="s">
        <v>5645</v>
      </c>
      <c r="I4643" s="151" t="s">
        <v>6962</v>
      </c>
      <c r="J4643" s="151" t="s">
        <v>6962</v>
      </c>
      <c r="K4643" s="151">
        <f t="shared" si="102"/>
        <v>0</v>
      </c>
      <c r="L4643" s="151" t="s">
        <v>9021</v>
      </c>
    </row>
    <row r="4644" spans="8:12" x14ac:dyDescent="0.25">
      <c r="H4644" s="151" t="s">
        <v>5645</v>
      </c>
      <c r="I4644" s="151" t="s">
        <v>391</v>
      </c>
      <c r="J4644" s="151" t="s">
        <v>8759</v>
      </c>
      <c r="K4644" s="151">
        <f t="shared" si="102"/>
        <v>650000000001296</v>
      </c>
      <c r="L4644" s="151" t="s">
        <v>9021</v>
      </c>
    </row>
    <row r="4645" spans="8:12" x14ac:dyDescent="0.25">
      <c r="H4645" s="151" t="s">
        <v>5646</v>
      </c>
      <c r="I4645" s="151" t="s">
        <v>6962</v>
      </c>
      <c r="J4645" s="151" t="s">
        <v>6962</v>
      </c>
      <c r="K4645" s="151">
        <f t="shared" si="102"/>
        <v>0</v>
      </c>
      <c r="L4645" s="151" t="s">
        <v>9021</v>
      </c>
    </row>
    <row r="4646" spans="8:12" x14ac:dyDescent="0.25">
      <c r="H4646" s="151" t="s">
        <v>5646</v>
      </c>
      <c r="I4646" s="151" t="s">
        <v>391</v>
      </c>
      <c r="J4646" s="151" t="s">
        <v>8760</v>
      </c>
      <c r="K4646" s="151">
        <f t="shared" si="102"/>
        <v>650000000001297</v>
      </c>
      <c r="L4646" s="151" t="s">
        <v>9021</v>
      </c>
    </row>
    <row r="4647" spans="8:12" x14ac:dyDescent="0.25">
      <c r="H4647" s="151" t="s">
        <v>5647</v>
      </c>
      <c r="I4647" s="151" t="s">
        <v>6962</v>
      </c>
      <c r="J4647" s="151" t="s">
        <v>6962</v>
      </c>
      <c r="K4647" s="151">
        <f t="shared" si="102"/>
        <v>0</v>
      </c>
      <c r="L4647" s="151" t="s">
        <v>9021</v>
      </c>
    </row>
    <row r="4648" spans="8:12" x14ac:dyDescent="0.25">
      <c r="H4648" s="151" t="s">
        <v>5647</v>
      </c>
      <c r="I4648" s="151" t="s">
        <v>391</v>
      </c>
      <c r="J4648" s="151" t="s">
        <v>8761</v>
      </c>
      <c r="K4648" s="151">
        <f t="shared" si="102"/>
        <v>650000000002075</v>
      </c>
      <c r="L4648" s="151" t="s">
        <v>9021</v>
      </c>
    </row>
    <row r="4649" spans="8:12" x14ac:dyDescent="0.25">
      <c r="H4649" s="151" t="s">
        <v>5648</v>
      </c>
      <c r="I4649" s="151" t="s">
        <v>6962</v>
      </c>
      <c r="J4649" s="151" t="s">
        <v>6962</v>
      </c>
      <c r="K4649" s="151">
        <f t="shared" si="102"/>
        <v>0</v>
      </c>
      <c r="L4649" s="151" t="s">
        <v>9021</v>
      </c>
    </row>
    <row r="4650" spans="8:12" x14ac:dyDescent="0.25">
      <c r="H4650" s="151" t="s">
        <v>5648</v>
      </c>
      <c r="I4650" s="151" t="s">
        <v>391</v>
      </c>
      <c r="J4650" s="151" t="s">
        <v>8762</v>
      </c>
      <c r="K4650" s="151">
        <f t="shared" si="102"/>
        <v>650000000001298</v>
      </c>
      <c r="L4650" s="151" t="s">
        <v>9021</v>
      </c>
    </row>
    <row r="4651" spans="8:12" x14ac:dyDescent="0.25">
      <c r="H4651" s="151" t="s">
        <v>5649</v>
      </c>
      <c r="I4651" s="151" t="s">
        <v>6962</v>
      </c>
      <c r="J4651" s="151" t="s">
        <v>6962</v>
      </c>
      <c r="K4651" s="151">
        <f t="shared" si="102"/>
        <v>0</v>
      </c>
      <c r="L4651" s="151" t="s">
        <v>9021</v>
      </c>
    </row>
    <row r="4652" spans="8:12" x14ac:dyDescent="0.25">
      <c r="H4652" s="151" t="s">
        <v>5649</v>
      </c>
      <c r="I4652" s="151" t="s">
        <v>391</v>
      </c>
      <c r="J4652" s="151" t="s">
        <v>8763</v>
      </c>
      <c r="K4652" s="151">
        <f t="shared" si="102"/>
        <v>650000000001299</v>
      </c>
      <c r="L4652" s="151" t="s">
        <v>9021</v>
      </c>
    </row>
    <row r="4653" spans="8:12" x14ac:dyDescent="0.25">
      <c r="H4653" s="151" t="s">
        <v>5650</v>
      </c>
      <c r="I4653" s="151" t="s">
        <v>6962</v>
      </c>
      <c r="J4653" s="151" t="s">
        <v>6962</v>
      </c>
      <c r="K4653" s="151">
        <f t="shared" si="102"/>
        <v>0</v>
      </c>
      <c r="L4653" s="151" t="s">
        <v>9021</v>
      </c>
    </row>
    <row r="4654" spans="8:12" x14ac:dyDescent="0.25">
      <c r="H4654" s="151" t="s">
        <v>5650</v>
      </c>
      <c r="I4654" s="151" t="s">
        <v>391</v>
      </c>
      <c r="J4654" s="151" t="s">
        <v>8764</v>
      </c>
      <c r="K4654" s="151">
        <f t="shared" si="102"/>
        <v>650000000001300</v>
      </c>
      <c r="L4654" s="151" t="s">
        <v>9021</v>
      </c>
    </row>
    <row r="4655" spans="8:12" x14ac:dyDescent="0.25">
      <c r="H4655" s="151" t="s">
        <v>5651</v>
      </c>
      <c r="I4655" s="151" t="s">
        <v>6962</v>
      </c>
      <c r="J4655" s="151" t="s">
        <v>6962</v>
      </c>
      <c r="K4655" s="151">
        <f t="shared" si="102"/>
        <v>0</v>
      </c>
      <c r="L4655" s="151" t="s">
        <v>9021</v>
      </c>
    </row>
    <row r="4656" spans="8:12" x14ac:dyDescent="0.25">
      <c r="H4656" s="151" t="s">
        <v>5651</v>
      </c>
      <c r="I4656" s="151" t="s">
        <v>391</v>
      </c>
      <c r="J4656" s="151" t="s">
        <v>8765</v>
      </c>
      <c r="K4656" s="151">
        <f t="shared" si="102"/>
        <v>650000000001301</v>
      </c>
      <c r="L4656" s="151" t="s">
        <v>9021</v>
      </c>
    </row>
    <row r="4657" spans="8:12" x14ac:dyDescent="0.25">
      <c r="H4657" s="151" t="s">
        <v>5652</v>
      </c>
      <c r="I4657" s="151" t="s">
        <v>6962</v>
      </c>
      <c r="J4657" s="151" t="s">
        <v>6962</v>
      </c>
      <c r="K4657" s="151">
        <f t="shared" si="102"/>
        <v>0</v>
      </c>
      <c r="L4657" s="151" t="s">
        <v>9021</v>
      </c>
    </row>
    <row r="4658" spans="8:12" x14ac:dyDescent="0.25">
      <c r="H4658" s="151" t="s">
        <v>5652</v>
      </c>
      <c r="I4658" s="151" t="s">
        <v>391</v>
      </c>
      <c r="J4658" s="151" t="s">
        <v>8766</v>
      </c>
      <c r="K4658" s="151">
        <f t="shared" si="102"/>
        <v>650000000001302</v>
      </c>
      <c r="L4658" s="151" t="s">
        <v>9021</v>
      </c>
    </row>
    <row r="4659" spans="8:12" x14ac:dyDescent="0.25">
      <c r="H4659" s="151" t="s">
        <v>5653</v>
      </c>
      <c r="I4659" s="151" t="s">
        <v>6962</v>
      </c>
      <c r="J4659" s="151" t="s">
        <v>6962</v>
      </c>
      <c r="K4659" s="151">
        <f t="shared" si="102"/>
        <v>0</v>
      </c>
      <c r="L4659" s="151" t="s">
        <v>9021</v>
      </c>
    </row>
    <row r="4660" spans="8:12" x14ac:dyDescent="0.25">
      <c r="H4660" s="151" t="s">
        <v>5653</v>
      </c>
      <c r="I4660" s="151" t="s">
        <v>391</v>
      </c>
      <c r="J4660" s="151" t="s">
        <v>8767</v>
      </c>
      <c r="K4660" s="151">
        <f t="shared" si="102"/>
        <v>650000000001303</v>
      </c>
      <c r="L4660" s="151" t="s">
        <v>9021</v>
      </c>
    </row>
    <row r="4661" spans="8:12" x14ac:dyDescent="0.25">
      <c r="H4661" s="151" t="s">
        <v>5654</v>
      </c>
      <c r="I4661" s="151" t="s">
        <v>6962</v>
      </c>
      <c r="J4661" s="151" t="s">
        <v>6962</v>
      </c>
      <c r="K4661" s="151">
        <f t="shared" si="102"/>
        <v>0</v>
      </c>
      <c r="L4661" s="151" t="s">
        <v>9021</v>
      </c>
    </row>
    <row r="4662" spans="8:12" x14ac:dyDescent="0.25">
      <c r="H4662" s="151" t="s">
        <v>5654</v>
      </c>
      <c r="I4662" s="151" t="s">
        <v>391</v>
      </c>
      <c r="J4662" s="151" t="s">
        <v>8768</v>
      </c>
      <c r="K4662" s="151">
        <f t="shared" si="102"/>
        <v>650000000002076</v>
      </c>
      <c r="L4662" s="151" t="s">
        <v>9021</v>
      </c>
    </row>
    <row r="4663" spans="8:12" x14ac:dyDescent="0.25">
      <c r="H4663" s="151" t="s">
        <v>5655</v>
      </c>
      <c r="I4663" s="151" t="s">
        <v>6962</v>
      </c>
      <c r="J4663" s="151" t="s">
        <v>6962</v>
      </c>
      <c r="K4663" s="151">
        <f t="shared" si="102"/>
        <v>0</v>
      </c>
      <c r="L4663" s="151" t="s">
        <v>9021</v>
      </c>
    </row>
    <row r="4664" spans="8:12" x14ac:dyDescent="0.25">
      <c r="H4664" s="151" t="s">
        <v>5655</v>
      </c>
      <c r="I4664" s="151" t="s">
        <v>391</v>
      </c>
      <c r="J4664" s="151" t="s">
        <v>8769</v>
      </c>
      <c r="K4664" s="151">
        <f t="shared" si="102"/>
        <v>650000000002077</v>
      </c>
      <c r="L4664" s="151" t="s">
        <v>9021</v>
      </c>
    </row>
    <row r="4665" spans="8:12" x14ac:dyDescent="0.25">
      <c r="H4665" s="151" t="s">
        <v>5656</v>
      </c>
      <c r="I4665" s="151" t="s">
        <v>6962</v>
      </c>
      <c r="J4665" s="151" t="s">
        <v>6962</v>
      </c>
      <c r="K4665" s="151">
        <f t="shared" si="102"/>
        <v>0</v>
      </c>
      <c r="L4665" s="151" t="s">
        <v>9021</v>
      </c>
    </row>
    <row r="4666" spans="8:12" x14ac:dyDescent="0.25">
      <c r="H4666" s="151" t="s">
        <v>5656</v>
      </c>
      <c r="I4666" s="151" t="s">
        <v>391</v>
      </c>
      <c r="J4666" s="151" t="s">
        <v>8770</v>
      </c>
      <c r="K4666" s="151">
        <f t="shared" si="102"/>
        <v>650000000001304</v>
      </c>
      <c r="L4666" s="151" t="s">
        <v>9021</v>
      </c>
    </row>
    <row r="4667" spans="8:12" x14ac:dyDescent="0.25">
      <c r="H4667" s="151" t="s">
        <v>5657</v>
      </c>
      <c r="I4667" s="151" t="s">
        <v>6962</v>
      </c>
      <c r="J4667" s="151" t="s">
        <v>6962</v>
      </c>
      <c r="K4667" s="151">
        <f t="shared" si="102"/>
        <v>0</v>
      </c>
      <c r="L4667" s="151" t="s">
        <v>9021</v>
      </c>
    </row>
    <row r="4668" spans="8:12" x14ac:dyDescent="0.25">
      <c r="H4668" s="151" t="s">
        <v>5657</v>
      </c>
      <c r="I4668" s="151" t="s">
        <v>391</v>
      </c>
      <c r="J4668" s="151" t="s">
        <v>8771</v>
      </c>
      <c r="K4668" s="151">
        <f t="shared" si="102"/>
        <v>650000000001305</v>
      </c>
      <c r="L4668" s="151" t="s">
        <v>9021</v>
      </c>
    </row>
    <row r="4669" spans="8:12" x14ac:dyDescent="0.25">
      <c r="H4669" s="151" t="s">
        <v>5658</v>
      </c>
      <c r="I4669" s="151" t="s">
        <v>6962</v>
      </c>
      <c r="J4669" s="151" t="s">
        <v>6962</v>
      </c>
      <c r="K4669" s="151">
        <f t="shared" si="102"/>
        <v>0</v>
      </c>
      <c r="L4669" s="151" t="s">
        <v>9021</v>
      </c>
    </row>
    <row r="4670" spans="8:12" x14ac:dyDescent="0.25">
      <c r="H4670" s="151" t="s">
        <v>5658</v>
      </c>
      <c r="I4670" s="151" t="s">
        <v>391</v>
      </c>
      <c r="J4670" s="151" t="s">
        <v>8772</v>
      </c>
      <c r="K4670" s="151">
        <f t="shared" si="102"/>
        <v>650000000001306</v>
      </c>
      <c r="L4670" s="151" t="s">
        <v>9021</v>
      </c>
    </row>
    <row r="4671" spans="8:12" x14ac:dyDescent="0.25">
      <c r="H4671" s="151" t="s">
        <v>5659</v>
      </c>
      <c r="I4671" s="151" t="s">
        <v>6962</v>
      </c>
      <c r="J4671" s="151" t="s">
        <v>6962</v>
      </c>
      <c r="K4671" s="151">
        <f t="shared" si="102"/>
        <v>0</v>
      </c>
      <c r="L4671" s="151" t="s">
        <v>9021</v>
      </c>
    </row>
    <row r="4672" spans="8:12" x14ac:dyDescent="0.25">
      <c r="H4672" s="151" t="s">
        <v>5659</v>
      </c>
      <c r="I4672" s="151" t="s">
        <v>391</v>
      </c>
      <c r="J4672" s="151" t="s">
        <v>8773</v>
      </c>
      <c r="K4672" s="151">
        <f t="shared" si="102"/>
        <v>650000000002078</v>
      </c>
      <c r="L4672" s="151" t="s">
        <v>9021</v>
      </c>
    </row>
    <row r="4673" spans="8:12" x14ac:dyDescent="0.25">
      <c r="H4673" s="151" t="s">
        <v>5660</v>
      </c>
      <c r="I4673" s="151" t="s">
        <v>6962</v>
      </c>
      <c r="J4673" s="151" t="s">
        <v>6962</v>
      </c>
      <c r="K4673" s="151">
        <f t="shared" si="102"/>
        <v>0</v>
      </c>
      <c r="L4673" s="151" t="s">
        <v>9021</v>
      </c>
    </row>
    <row r="4674" spans="8:12" x14ac:dyDescent="0.25">
      <c r="H4674" s="151" t="s">
        <v>5660</v>
      </c>
      <c r="I4674" s="151" t="s">
        <v>391</v>
      </c>
      <c r="J4674" s="151" t="s">
        <v>8774</v>
      </c>
      <c r="K4674" s="151">
        <f t="shared" si="102"/>
        <v>650000000001307</v>
      </c>
      <c r="L4674" s="151" t="s">
        <v>9021</v>
      </c>
    </row>
    <row r="4675" spans="8:12" x14ac:dyDescent="0.25">
      <c r="H4675" s="151" t="s">
        <v>5661</v>
      </c>
      <c r="I4675" s="151" t="s">
        <v>6962</v>
      </c>
      <c r="J4675" s="151" t="s">
        <v>6962</v>
      </c>
      <c r="K4675" s="151">
        <f t="shared" ref="K4675:K4738" si="103">+IFERROR(J4675*1,0)</f>
        <v>0</v>
      </c>
      <c r="L4675" s="151" t="s">
        <v>9021</v>
      </c>
    </row>
    <row r="4676" spans="8:12" x14ac:dyDescent="0.25">
      <c r="H4676" s="151" t="s">
        <v>5661</v>
      </c>
      <c r="I4676" s="151" t="s">
        <v>391</v>
      </c>
      <c r="J4676" s="151" t="s">
        <v>8775</v>
      </c>
      <c r="K4676" s="151">
        <f t="shared" si="103"/>
        <v>650000000002079</v>
      </c>
      <c r="L4676" s="151" t="s">
        <v>9021</v>
      </c>
    </row>
    <row r="4677" spans="8:12" x14ac:dyDescent="0.25">
      <c r="H4677" s="151" t="s">
        <v>5662</v>
      </c>
      <c r="I4677" s="151" t="s">
        <v>6962</v>
      </c>
      <c r="J4677" s="151" t="s">
        <v>6962</v>
      </c>
      <c r="K4677" s="151">
        <f t="shared" si="103"/>
        <v>0</v>
      </c>
      <c r="L4677" s="151" t="s">
        <v>9021</v>
      </c>
    </row>
    <row r="4678" spans="8:12" x14ac:dyDescent="0.25">
      <c r="H4678" s="151" t="s">
        <v>5662</v>
      </c>
      <c r="I4678" s="151" t="s">
        <v>391</v>
      </c>
      <c r="J4678" s="151" t="s">
        <v>8776</v>
      </c>
      <c r="K4678" s="151">
        <f t="shared" si="103"/>
        <v>650000000001308</v>
      </c>
      <c r="L4678" s="151" t="s">
        <v>9021</v>
      </c>
    </row>
    <row r="4679" spans="8:12" x14ac:dyDescent="0.25">
      <c r="H4679" s="151" t="s">
        <v>5663</v>
      </c>
      <c r="I4679" s="151" t="s">
        <v>6962</v>
      </c>
      <c r="J4679" s="151" t="s">
        <v>6962</v>
      </c>
      <c r="K4679" s="151">
        <f t="shared" si="103"/>
        <v>0</v>
      </c>
      <c r="L4679" s="151" t="s">
        <v>9021</v>
      </c>
    </row>
    <row r="4680" spans="8:12" x14ac:dyDescent="0.25">
      <c r="H4680" s="151" t="s">
        <v>5663</v>
      </c>
      <c r="I4680" s="151" t="s">
        <v>391</v>
      </c>
      <c r="J4680" s="151" t="s">
        <v>8777</v>
      </c>
      <c r="K4680" s="151">
        <f t="shared" si="103"/>
        <v>650000000001309</v>
      </c>
      <c r="L4680" s="151" t="s">
        <v>9021</v>
      </c>
    </row>
    <row r="4681" spans="8:12" x14ac:dyDescent="0.25">
      <c r="H4681" s="151" t="s">
        <v>5664</v>
      </c>
      <c r="I4681" s="151" t="s">
        <v>6962</v>
      </c>
      <c r="J4681" s="151" t="s">
        <v>6962</v>
      </c>
      <c r="K4681" s="151">
        <f t="shared" si="103"/>
        <v>0</v>
      </c>
      <c r="L4681" s="151" t="s">
        <v>9021</v>
      </c>
    </row>
    <row r="4682" spans="8:12" x14ac:dyDescent="0.25">
      <c r="H4682" s="151" t="s">
        <v>5664</v>
      </c>
      <c r="I4682" s="151" t="s">
        <v>391</v>
      </c>
      <c r="J4682" s="151" t="s">
        <v>8778</v>
      </c>
      <c r="K4682" s="151">
        <f t="shared" si="103"/>
        <v>650000000001310</v>
      </c>
      <c r="L4682" s="151" t="s">
        <v>9021</v>
      </c>
    </row>
    <row r="4683" spans="8:12" x14ac:dyDescent="0.25">
      <c r="H4683" s="151" t="s">
        <v>5665</v>
      </c>
      <c r="I4683" s="151" t="s">
        <v>6962</v>
      </c>
      <c r="J4683" s="151" t="s">
        <v>6962</v>
      </c>
      <c r="K4683" s="151">
        <f t="shared" si="103"/>
        <v>0</v>
      </c>
      <c r="L4683" s="151" t="s">
        <v>9021</v>
      </c>
    </row>
    <row r="4684" spans="8:12" x14ac:dyDescent="0.25">
      <c r="H4684" s="151" t="s">
        <v>5665</v>
      </c>
      <c r="I4684" s="151" t="s">
        <v>391</v>
      </c>
      <c r="J4684" s="151" t="s">
        <v>8779</v>
      </c>
      <c r="K4684" s="151">
        <f t="shared" si="103"/>
        <v>650000000001311</v>
      </c>
      <c r="L4684" s="151" t="s">
        <v>9021</v>
      </c>
    </row>
    <row r="4685" spans="8:12" x14ac:dyDescent="0.25">
      <c r="H4685" s="151" t="s">
        <v>5666</v>
      </c>
      <c r="I4685" s="151" t="s">
        <v>6962</v>
      </c>
      <c r="J4685" s="151" t="s">
        <v>6962</v>
      </c>
      <c r="K4685" s="151">
        <f t="shared" si="103"/>
        <v>0</v>
      </c>
      <c r="L4685" s="151" t="s">
        <v>9021</v>
      </c>
    </row>
    <row r="4686" spans="8:12" x14ac:dyDescent="0.25">
      <c r="H4686" s="151" t="s">
        <v>5666</v>
      </c>
      <c r="I4686" s="151" t="s">
        <v>391</v>
      </c>
      <c r="J4686" s="151" t="s">
        <v>8780</v>
      </c>
      <c r="K4686" s="151">
        <f t="shared" si="103"/>
        <v>650000000001312</v>
      </c>
      <c r="L4686" s="151" t="s">
        <v>9021</v>
      </c>
    </row>
    <row r="4687" spans="8:12" x14ac:dyDescent="0.25">
      <c r="H4687" s="151" t="s">
        <v>5667</v>
      </c>
      <c r="I4687" s="151" t="s">
        <v>6962</v>
      </c>
      <c r="J4687" s="151" t="s">
        <v>6962</v>
      </c>
      <c r="K4687" s="151">
        <f t="shared" si="103"/>
        <v>0</v>
      </c>
      <c r="L4687" s="151" t="s">
        <v>9021</v>
      </c>
    </row>
    <row r="4688" spans="8:12" x14ac:dyDescent="0.25">
      <c r="H4688" s="151" t="s">
        <v>5667</v>
      </c>
      <c r="I4688" s="151" t="s">
        <v>391</v>
      </c>
      <c r="J4688" s="151" t="s">
        <v>8781</v>
      </c>
      <c r="K4688" s="151">
        <f t="shared" si="103"/>
        <v>650000000001313</v>
      </c>
      <c r="L4688" s="151" t="s">
        <v>9021</v>
      </c>
    </row>
    <row r="4689" spans="8:12" x14ac:dyDescent="0.25">
      <c r="H4689" s="151" t="s">
        <v>5668</v>
      </c>
      <c r="I4689" s="151" t="s">
        <v>6962</v>
      </c>
      <c r="J4689" s="151" t="s">
        <v>6962</v>
      </c>
      <c r="K4689" s="151">
        <f t="shared" si="103"/>
        <v>0</v>
      </c>
      <c r="L4689" s="151" t="s">
        <v>9021</v>
      </c>
    </row>
    <row r="4690" spans="8:12" x14ac:dyDescent="0.25">
      <c r="H4690" s="151" t="s">
        <v>5668</v>
      </c>
      <c r="I4690" s="151" t="s">
        <v>391</v>
      </c>
      <c r="J4690" s="151" t="s">
        <v>8782</v>
      </c>
      <c r="K4690" s="151">
        <f t="shared" si="103"/>
        <v>650000000001314</v>
      </c>
      <c r="L4690" s="151" t="s">
        <v>9021</v>
      </c>
    </row>
    <row r="4691" spans="8:12" x14ac:dyDescent="0.25">
      <c r="H4691" s="151" t="s">
        <v>5669</v>
      </c>
      <c r="I4691" s="151" t="s">
        <v>6962</v>
      </c>
      <c r="J4691" s="151" t="s">
        <v>6962</v>
      </c>
      <c r="K4691" s="151">
        <f t="shared" si="103"/>
        <v>0</v>
      </c>
      <c r="L4691" s="151" t="s">
        <v>9021</v>
      </c>
    </row>
    <row r="4692" spans="8:12" x14ac:dyDescent="0.25">
      <c r="H4692" s="151" t="s">
        <v>5669</v>
      </c>
      <c r="I4692" s="151" t="s">
        <v>391</v>
      </c>
      <c r="J4692" s="151" t="s">
        <v>8783</v>
      </c>
      <c r="K4692" s="151">
        <f t="shared" si="103"/>
        <v>650000000001315</v>
      </c>
      <c r="L4692" s="151" t="s">
        <v>9021</v>
      </c>
    </row>
    <row r="4693" spans="8:12" x14ac:dyDescent="0.25">
      <c r="H4693" s="151" t="s">
        <v>5670</v>
      </c>
      <c r="I4693" s="151" t="s">
        <v>6962</v>
      </c>
      <c r="J4693" s="151" t="s">
        <v>6962</v>
      </c>
      <c r="K4693" s="151">
        <f t="shared" si="103"/>
        <v>0</v>
      </c>
      <c r="L4693" s="151" t="s">
        <v>9021</v>
      </c>
    </row>
    <row r="4694" spans="8:12" x14ac:dyDescent="0.25">
      <c r="H4694" s="151" t="s">
        <v>5670</v>
      </c>
      <c r="I4694" s="151" t="s">
        <v>391</v>
      </c>
      <c r="J4694" s="151" t="s">
        <v>8784</v>
      </c>
      <c r="K4694" s="151">
        <f t="shared" si="103"/>
        <v>650000000001316</v>
      </c>
      <c r="L4694" s="151" t="s">
        <v>9021</v>
      </c>
    </row>
    <row r="4695" spans="8:12" x14ac:dyDescent="0.25">
      <c r="H4695" s="151" t="s">
        <v>5671</v>
      </c>
      <c r="I4695" s="151" t="s">
        <v>6962</v>
      </c>
      <c r="J4695" s="151" t="s">
        <v>6962</v>
      </c>
      <c r="K4695" s="151">
        <f t="shared" si="103"/>
        <v>0</v>
      </c>
      <c r="L4695" s="151" t="s">
        <v>9021</v>
      </c>
    </row>
    <row r="4696" spans="8:12" x14ac:dyDescent="0.25">
      <c r="H4696" s="151" t="s">
        <v>5671</v>
      </c>
      <c r="I4696" s="151" t="s">
        <v>391</v>
      </c>
      <c r="J4696" s="151" t="s">
        <v>8785</v>
      </c>
      <c r="K4696" s="151">
        <f t="shared" si="103"/>
        <v>650000000002080</v>
      </c>
      <c r="L4696" s="151" t="s">
        <v>9021</v>
      </c>
    </row>
    <row r="4697" spans="8:12" x14ac:dyDescent="0.25">
      <c r="H4697" s="151" t="s">
        <v>5672</v>
      </c>
      <c r="I4697" s="151" t="s">
        <v>6962</v>
      </c>
      <c r="J4697" s="151" t="s">
        <v>6962</v>
      </c>
      <c r="K4697" s="151">
        <f t="shared" si="103"/>
        <v>0</v>
      </c>
      <c r="L4697" s="151" t="s">
        <v>9021</v>
      </c>
    </row>
    <row r="4698" spans="8:12" x14ac:dyDescent="0.25">
      <c r="H4698" s="151" t="s">
        <v>5672</v>
      </c>
      <c r="I4698" s="151" t="s">
        <v>391</v>
      </c>
      <c r="J4698" s="151" t="s">
        <v>8786</v>
      </c>
      <c r="K4698" s="151">
        <f t="shared" si="103"/>
        <v>650000000001317</v>
      </c>
      <c r="L4698" s="151" t="s">
        <v>9021</v>
      </c>
    </row>
    <row r="4699" spans="8:12" x14ac:dyDescent="0.25">
      <c r="H4699" s="151" t="s">
        <v>5673</v>
      </c>
      <c r="I4699" s="151" t="s">
        <v>6962</v>
      </c>
      <c r="J4699" s="151" t="s">
        <v>6962</v>
      </c>
      <c r="K4699" s="151">
        <f t="shared" si="103"/>
        <v>0</v>
      </c>
      <c r="L4699" s="151" t="s">
        <v>9021</v>
      </c>
    </row>
    <row r="4700" spans="8:12" x14ac:dyDescent="0.25">
      <c r="H4700" s="151" t="s">
        <v>5673</v>
      </c>
      <c r="I4700" s="151" t="s">
        <v>391</v>
      </c>
      <c r="J4700" s="151" t="s">
        <v>8787</v>
      </c>
      <c r="K4700" s="151">
        <f t="shared" si="103"/>
        <v>650000000002081</v>
      </c>
      <c r="L4700" s="151" t="s">
        <v>9021</v>
      </c>
    </row>
    <row r="4701" spans="8:12" x14ac:dyDescent="0.25">
      <c r="H4701" s="151" t="s">
        <v>5674</v>
      </c>
      <c r="I4701" s="151" t="s">
        <v>6962</v>
      </c>
      <c r="J4701" s="151" t="s">
        <v>6962</v>
      </c>
      <c r="K4701" s="151">
        <f t="shared" si="103"/>
        <v>0</v>
      </c>
      <c r="L4701" s="151" t="s">
        <v>9021</v>
      </c>
    </row>
    <row r="4702" spans="8:12" x14ac:dyDescent="0.25">
      <c r="H4702" s="151" t="s">
        <v>5674</v>
      </c>
      <c r="I4702" s="151" t="s">
        <v>391</v>
      </c>
      <c r="J4702" s="151" t="s">
        <v>8788</v>
      </c>
      <c r="K4702" s="151">
        <f t="shared" si="103"/>
        <v>650000000001318</v>
      </c>
      <c r="L4702" s="151" t="s">
        <v>9021</v>
      </c>
    </row>
    <row r="4703" spans="8:12" x14ac:dyDescent="0.25">
      <c r="H4703" s="151" t="s">
        <v>5675</v>
      </c>
      <c r="I4703" s="151" t="s">
        <v>6962</v>
      </c>
      <c r="J4703" s="151" t="s">
        <v>6962</v>
      </c>
      <c r="K4703" s="151">
        <f t="shared" si="103"/>
        <v>0</v>
      </c>
      <c r="L4703" s="151" t="s">
        <v>9021</v>
      </c>
    </row>
    <row r="4704" spans="8:12" x14ac:dyDescent="0.25">
      <c r="H4704" s="151" t="s">
        <v>5675</v>
      </c>
      <c r="I4704" s="151" t="s">
        <v>391</v>
      </c>
      <c r="J4704" s="151" t="s">
        <v>8789</v>
      </c>
      <c r="K4704" s="151">
        <f t="shared" si="103"/>
        <v>650000000001319</v>
      </c>
      <c r="L4704" s="151" t="s">
        <v>9021</v>
      </c>
    </row>
    <row r="4705" spans="8:12" x14ac:dyDescent="0.25">
      <c r="H4705" s="151" t="s">
        <v>5676</v>
      </c>
      <c r="I4705" s="151" t="s">
        <v>6962</v>
      </c>
      <c r="J4705" s="151" t="s">
        <v>6962</v>
      </c>
      <c r="K4705" s="151">
        <f t="shared" si="103"/>
        <v>0</v>
      </c>
      <c r="L4705" s="151" t="s">
        <v>9021</v>
      </c>
    </row>
    <row r="4706" spans="8:12" x14ac:dyDescent="0.25">
      <c r="H4706" s="151" t="s">
        <v>5676</v>
      </c>
      <c r="I4706" s="151" t="s">
        <v>391</v>
      </c>
      <c r="J4706" s="151" t="s">
        <v>8790</v>
      </c>
      <c r="K4706" s="151">
        <f t="shared" si="103"/>
        <v>650000000002082</v>
      </c>
      <c r="L4706" s="151" t="s">
        <v>9021</v>
      </c>
    </row>
    <row r="4707" spans="8:12" x14ac:dyDescent="0.25">
      <c r="H4707" s="151" t="s">
        <v>5677</v>
      </c>
      <c r="I4707" s="151" t="s">
        <v>6962</v>
      </c>
      <c r="J4707" s="151" t="s">
        <v>6962</v>
      </c>
      <c r="K4707" s="151">
        <f t="shared" si="103"/>
        <v>0</v>
      </c>
      <c r="L4707" s="151" t="s">
        <v>9021</v>
      </c>
    </row>
    <row r="4708" spans="8:12" x14ac:dyDescent="0.25">
      <c r="H4708" s="151" t="s">
        <v>5677</v>
      </c>
      <c r="I4708" s="151" t="s">
        <v>391</v>
      </c>
      <c r="J4708" s="151" t="s">
        <v>8791</v>
      </c>
      <c r="K4708" s="151">
        <f t="shared" si="103"/>
        <v>650000000001320</v>
      </c>
      <c r="L4708" s="151" t="s">
        <v>9021</v>
      </c>
    </row>
    <row r="4709" spans="8:12" x14ac:dyDescent="0.25">
      <c r="H4709" s="151" t="s">
        <v>5678</v>
      </c>
      <c r="I4709" s="151" t="s">
        <v>6962</v>
      </c>
      <c r="J4709" s="151" t="s">
        <v>6962</v>
      </c>
      <c r="K4709" s="151">
        <f t="shared" si="103"/>
        <v>0</v>
      </c>
      <c r="L4709" s="151" t="s">
        <v>9021</v>
      </c>
    </row>
    <row r="4710" spans="8:12" x14ac:dyDescent="0.25">
      <c r="H4710" s="151" t="s">
        <v>5678</v>
      </c>
      <c r="I4710" s="151" t="s">
        <v>391</v>
      </c>
      <c r="J4710" s="151" t="s">
        <v>8792</v>
      </c>
      <c r="K4710" s="151">
        <f t="shared" si="103"/>
        <v>650000000001321</v>
      </c>
      <c r="L4710" s="151" t="s">
        <v>9021</v>
      </c>
    </row>
    <row r="4711" spans="8:12" x14ac:dyDescent="0.25">
      <c r="H4711" s="151" t="s">
        <v>5679</v>
      </c>
      <c r="I4711" s="151" t="s">
        <v>6962</v>
      </c>
      <c r="J4711" s="151" t="s">
        <v>6962</v>
      </c>
      <c r="K4711" s="151">
        <f t="shared" si="103"/>
        <v>0</v>
      </c>
      <c r="L4711" s="151" t="s">
        <v>9021</v>
      </c>
    </row>
    <row r="4712" spans="8:12" x14ac:dyDescent="0.25">
      <c r="H4712" s="151" t="s">
        <v>5679</v>
      </c>
      <c r="I4712" s="151" t="s">
        <v>391</v>
      </c>
      <c r="J4712" s="151" t="s">
        <v>8793</v>
      </c>
      <c r="K4712" s="151">
        <f t="shared" si="103"/>
        <v>650000000001322</v>
      </c>
      <c r="L4712" s="151" t="s">
        <v>9021</v>
      </c>
    </row>
    <row r="4713" spans="8:12" x14ac:dyDescent="0.25">
      <c r="H4713" s="151" t="s">
        <v>5680</v>
      </c>
      <c r="I4713" s="151" t="s">
        <v>6962</v>
      </c>
      <c r="J4713" s="151" t="s">
        <v>6962</v>
      </c>
      <c r="K4713" s="151">
        <f t="shared" si="103"/>
        <v>0</v>
      </c>
      <c r="L4713" s="151" t="s">
        <v>9021</v>
      </c>
    </row>
    <row r="4714" spans="8:12" x14ac:dyDescent="0.25">
      <c r="H4714" s="151" t="s">
        <v>5680</v>
      </c>
      <c r="I4714" s="151" t="s">
        <v>391</v>
      </c>
      <c r="J4714" s="151" t="s">
        <v>8794</v>
      </c>
      <c r="K4714" s="151">
        <f t="shared" si="103"/>
        <v>650000000001323</v>
      </c>
      <c r="L4714" s="151" t="s">
        <v>9021</v>
      </c>
    </row>
    <row r="4715" spans="8:12" x14ac:dyDescent="0.25">
      <c r="H4715" s="151" t="s">
        <v>5681</v>
      </c>
      <c r="I4715" s="151" t="s">
        <v>6962</v>
      </c>
      <c r="J4715" s="151" t="s">
        <v>6962</v>
      </c>
      <c r="K4715" s="151">
        <f t="shared" si="103"/>
        <v>0</v>
      </c>
      <c r="L4715" s="151" t="s">
        <v>9021</v>
      </c>
    </row>
    <row r="4716" spans="8:12" x14ac:dyDescent="0.25">
      <c r="H4716" s="151" t="s">
        <v>5681</v>
      </c>
      <c r="I4716" s="151" t="s">
        <v>391</v>
      </c>
      <c r="J4716" s="151" t="s">
        <v>8795</v>
      </c>
      <c r="K4716" s="151">
        <f t="shared" si="103"/>
        <v>650000000001324</v>
      </c>
      <c r="L4716" s="151" t="s">
        <v>9021</v>
      </c>
    </row>
    <row r="4717" spans="8:12" x14ac:dyDescent="0.25">
      <c r="H4717" s="151" t="s">
        <v>5682</v>
      </c>
      <c r="I4717" s="151" t="s">
        <v>6962</v>
      </c>
      <c r="J4717" s="151" t="s">
        <v>6962</v>
      </c>
      <c r="K4717" s="151">
        <f t="shared" si="103"/>
        <v>0</v>
      </c>
      <c r="L4717" s="151" t="s">
        <v>9021</v>
      </c>
    </row>
    <row r="4718" spans="8:12" x14ac:dyDescent="0.25">
      <c r="H4718" s="151" t="s">
        <v>5682</v>
      </c>
      <c r="I4718" s="151" t="s">
        <v>391</v>
      </c>
      <c r="J4718" s="151" t="s">
        <v>8796</v>
      </c>
      <c r="K4718" s="151">
        <f t="shared" si="103"/>
        <v>650000000001325</v>
      </c>
      <c r="L4718" s="151" t="s">
        <v>9021</v>
      </c>
    </row>
    <row r="4719" spans="8:12" x14ac:dyDescent="0.25">
      <c r="H4719" s="151" t="s">
        <v>5683</v>
      </c>
      <c r="I4719" s="151" t="s">
        <v>6962</v>
      </c>
      <c r="J4719" s="151" t="s">
        <v>6962</v>
      </c>
      <c r="K4719" s="151">
        <f t="shared" si="103"/>
        <v>0</v>
      </c>
      <c r="L4719" s="151" t="s">
        <v>9021</v>
      </c>
    </row>
    <row r="4720" spans="8:12" x14ac:dyDescent="0.25">
      <c r="H4720" s="151" t="s">
        <v>5683</v>
      </c>
      <c r="I4720" s="151" t="s">
        <v>391</v>
      </c>
      <c r="J4720" s="151" t="s">
        <v>8797</v>
      </c>
      <c r="K4720" s="151">
        <f t="shared" si="103"/>
        <v>650000000002083</v>
      </c>
      <c r="L4720" s="151" t="s">
        <v>9021</v>
      </c>
    </row>
    <row r="4721" spans="8:12" x14ac:dyDescent="0.25">
      <c r="H4721" s="151" t="s">
        <v>5684</v>
      </c>
      <c r="I4721" s="151" t="s">
        <v>6962</v>
      </c>
      <c r="J4721" s="151" t="s">
        <v>6962</v>
      </c>
      <c r="K4721" s="151">
        <f t="shared" si="103"/>
        <v>0</v>
      </c>
      <c r="L4721" s="151" t="s">
        <v>9021</v>
      </c>
    </row>
    <row r="4722" spans="8:12" x14ac:dyDescent="0.25">
      <c r="H4722" s="151" t="s">
        <v>5684</v>
      </c>
      <c r="I4722" s="151" t="s">
        <v>391</v>
      </c>
      <c r="J4722" s="151" t="s">
        <v>8798</v>
      </c>
      <c r="K4722" s="151">
        <f t="shared" si="103"/>
        <v>650000000002084</v>
      </c>
      <c r="L4722" s="151" t="s">
        <v>9021</v>
      </c>
    </row>
    <row r="4723" spans="8:12" x14ac:dyDescent="0.25">
      <c r="H4723" s="151" t="s">
        <v>5685</v>
      </c>
      <c r="I4723" s="151" t="s">
        <v>6962</v>
      </c>
      <c r="J4723" s="151" t="s">
        <v>6962</v>
      </c>
      <c r="K4723" s="151">
        <f t="shared" si="103"/>
        <v>0</v>
      </c>
      <c r="L4723" s="151" t="s">
        <v>9021</v>
      </c>
    </row>
    <row r="4724" spans="8:12" x14ac:dyDescent="0.25">
      <c r="H4724" s="151" t="s">
        <v>5685</v>
      </c>
      <c r="I4724" s="151" t="s">
        <v>391</v>
      </c>
      <c r="J4724" s="151" t="s">
        <v>8799</v>
      </c>
      <c r="K4724" s="151">
        <f t="shared" si="103"/>
        <v>650000000001326</v>
      </c>
      <c r="L4724" s="151" t="s">
        <v>9021</v>
      </c>
    </row>
    <row r="4725" spans="8:12" x14ac:dyDescent="0.25">
      <c r="H4725" s="151" t="s">
        <v>5686</v>
      </c>
      <c r="I4725" s="151" t="s">
        <v>6962</v>
      </c>
      <c r="J4725" s="151" t="s">
        <v>6962</v>
      </c>
      <c r="K4725" s="151">
        <f t="shared" si="103"/>
        <v>0</v>
      </c>
      <c r="L4725" s="151" t="s">
        <v>9021</v>
      </c>
    </row>
    <row r="4726" spans="8:12" x14ac:dyDescent="0.25">
      <c r="H4726" s="151" t="s">
        <v>5686</v>
      </c>
      <c r="I4726" s="151" t="s">
        <v>391</v>
      </c>
      <c r="J4726" s="151" t="s">
        <v>8800</v>
      </c>
      <c r="K4726" s="151">
        <f t="shared" si="103"/>
        <v>650000000001327</v>
      </c>
      <c r="L4726" s="151" t="s">
        <v>9021</v>
      </c>
    </row>
    <row r="4727" spans="8:12" x14ac:dyDescent="0.25">
      <c r="H4727" s="151" t="s">
        <v>5687</v>
      </c>
      <c r="I4727" s="151" t="s">
        <v>6962</v>
      </c>
      <c r="J4727" s="151" t="s">
        <v>6962</v>
      </c>
      <c r="K4727" s="151">
        <f t="shared" si="103"/>
        <v>0</v>
      </c>
      <c r="L4727" s="151" t="s">
        <v>9021</v>
      </c>
    </row>
    <row r="4728" spans="8:12" x14ac:dyDescent="0.25">
      <c r="H4728" s="151" t="s">
        <v>5687</v>
      </c>
      <c r="I4728" s="151" t="s">
        <v>391</v>
      </c>
      <c r="J4728" s="151" t="s">
        <v>8801</v>
      </c>
      <c r="K4728" s="151">
        <f t="shared" si="103"/>
        <v>650000000001328</v>
      </c>
      <c r="L4728" s="151" t="s">
        <v>9021</v>
      </c>
    </row>
    <row r="4729" spans="8:12" x14ac:dyDescent="0.25">
      <c r="H4729" s="151" t="s">
        <v>5688</v>
      </c>
      <c r="I4729" s="151" t="s">
        <v>6962</v>
      </c>
      <c r="J4729" s="151" t="s">
        <v>6962</v>
      </c>
      <c r="K4729" s="151">
        <f t="shared" si="103"/>
        <v>0</v>
      </c>
      <c r="L4729" s="151" t="s">
        <v>9021</v>
      </c>
    </row>
    <row r="4730" spans="8:12" x14ac:dyDescent="0.25">
      <c r="H4730" s="151" t="s">
        <v>5688</v>
      </c>
      <c r="I4730" s="151" t="s">
        <v>391</v>
      </c>
      <c r="J4730" s="151" t="s">
        <v>8802</v>
      </c>
      <c r="K4730" s="151">
        <f t="shared" si="103"/>
        <v>650000000002085</v>
      </c>
      <c r="L4730" s="151" t="s">
        <v>9021</v>
      </c>
    </row>
    <row r="4731" spans="8:12" x14ac:dyDescent="0.25">
      <c r="H4731" s="151" t="s">
        <v>5689</v>
      </c>
      <c r="I4731" s="151" t="s">
        <v>6962</v>
      </c>
      <c r="J4731" s="151" t="s">
        <v>6962</v>
      </c>
      <c r="K4731" s="151">
        <f t="shared" si="103"/>
        <v>0</v>
      </c>
      <c r="L4731" s="151" t="s">
        <v>9021</v>
      </c>
    </row>
    <row r="4732" spans="8:12" x14ac:dyDescent="0.25">
      <c r="H4732" s="151" t="s">
        <v>5689</v>
      </c>
      <c r="I4732" s="151" t="s">
        <v>391</v>
      </c>
      <c r="J4732" s="151" t="s">
        <v>8803</v>
      </c>
      <c r="K4732" s="151">
        <f t="shared" si="103"/>
        <v>650000000002086</v>
      </c>
      <c r="L4732" s="151" t="s">
        <v>9021</v>
      </c>
    </row>
    <row r="4733" spans="8:12" x14ac:dyDescent="0.25">
      <c r="H4733" s="151" t="s">
        <v>5690</v>
      </c>
      <c r="I4733" s="151" t="s">
        <v>6962</v>
      </c>
      <c r="J4733" s="151" t="s">
        <v>6962</v>
      </c>
      <c r="K4733" s="151">
        <f t="shared" si="103"/>
        <v>0</v>
      </c>
      <c r="L4733" s="151" t="s">
        <v>9021</v>
      </c>
    </row>
    <row r="4734" spans="8:12" x14ac:dyDescent="0.25">
      <c r="H4734" s="151" t="s">
        <v>5690</v>
      </c>
      <c r="I4734" s="151" t="s">
        <v>391</v>
      </c>
      <c r="J4734" s="151" t="s">
        <v>8804</v>
      </c>
      <c r="K4734" s="151">
        <f t="shared" si="103"/>
        <v>650000000001329</v>
      </c>
      <c r="L4734" s="151" t="s">
        <v>9021</v>
      </c>
    </row>
    <row r="4735" spans="8:12" x14ac:dyDescent="0.25">
      <c r="H4735" s="151" t="s">
        <v>5691</v>
      </c>
      <c r="I4735" s="151" t="s">
        <v>6962</v>
      </c>
      <c r="J4735" s="151" t="s">
        <v>6962</v>
      </c>
      <c r="K4735" s="151">
        <f t="shared" si="103"/>
        <v>0</v>
      </c>
      <c r="L4735" s="151" t="s">
        <v>9021</v>
      </c>
    </row>
    <row r="4736" spans="8:12" x14ac:dyDescent="0.25">
      <c r="H4736" s="151" t="s">
        <v>5691</v>
      </c>
      <c r="I4736" s="151" t="s">
        <v>391</v>
      </c>
      <c r="J4736" s="151" t="s">
        <v>8805</v>
      </c>
      <c r="K4736" s="151">
        <f t="shared" si="103"/>
        <v>650000000001330</v>
      </c>
      <c r="L4736" s="151" t="s">
        <v>9021</v>
      </c>
    </row>
    <row r="4737" spans="8:12" x14ac:dyDescent="0.25">
      <c r="H4737" s="151" t="s">
        <v>5692</v>
      </c>
      <c r="I4737" s="151" t="s">
        <v>6962</v>
      </c>
      <c r="J4737" s="151" t="s">
        <v>6962</v>
      </c>
      <c r="K4737" s="151">
        <f t="shared" si="103"/>
        <v>0</v>
      </c>
      <c r="L4737" s="151" t="s">
        <v>9021</v>
      </c>
    </row>
    <row r="4738" spans="8:12" x14ac:dyDescent="0.25">
      <c r="H4738" s="151" t="s">
        <v>5692</v>
      </c>
      <c r="I4738" s="151" t="s">
        <v>391</v>
      </c>
      <c r="J4738" s="151" t="s">
        <v>8806</v>
      </c>
      <c r="K4738" s="151">
        <f t="shared" si="103"/>
        <v>650000000001331</v>
      </c>
      <c r="L4738" s="151" t="s">
        <v>9021</v>
      </c>
    </row>
    <row r="4739" spans="8:12" x14ac:dyDescent="0.25">
      <c r="H4739" s="151" t="s">
        <v>5693</v>
      </c>
      <c r="I4739" s="151" t="s">
        <v>6962</v>
      </c>
      <c r="J4739" s="151" t="s">
        <v>6962</v>
      </c>
      <c r="K4739" s="151">
        <f t="shared" ref="K4739:K4802" si="104">+IFERROR(J4739*1,0)</f>
        <v>0</v>
      </c>
      <c r="L4739" s="151" t="s">
        <v>9021</v>
      </c>
    </row>
    <row r="4740" spans="8:12" x14ac:dyDescent="0.25">
      <c r="H4740" s="151" t="s">
        <v>5693</v>
      </c>
      <c r="I4740" s="151" t="s">
        <v>391</v>
      </c>
      <c r="J4740" s="151" t="s">
        <v>8807</v>
      </c>
      <c r="K4740" s="151">
        <f t="shared" si="104"/>
        <v>650000000002087</v>
      </c>
      <c r="L4740" s="151" t="s">
        <v>9021</v>
      </c>
    </row>
    <row r="4741" spans="8:12" x14ac:dyDescent="0.25">
      <c r="H4741" s="151" t="s">
        <v>5694</v>
      </c>
      <c r="I4741" s="151" t="s">
        <v>6962</v>
      </c>
      <c r="J4741" s="151" t="s">
        <v>6962</v>
      </c>
      <c r="K4741" s="151">
        <f t="shared" si="104"/>
        <v>0</v>
      </c>
      <c r="L4741" s="151" t="s">
        <v>9021</v>
      </c>
    </row>
    <row r="4742" spans="8:12" x14ac:dyDescent="0.25">
      <c r="H4742" s="151" t="s">
        <v>5694</v>
      </c>
      <c r="I4742" s="151" t="s">
        <v>391</v>
      </c>
      <c r="J4742" s="151" t="s">
        <v>8808</v>
      </c>
      <c r="K4742" s="151">
        <f t="shared" si="104"/>
        <v>650000000002088</v>
      </c>
      <c r="L4742" s="151" t="s">
        <v>9021</v>
      </c>
    </row>
    <row r="4743" spans="8:12" x14ac:dyDescent="0.25">
      <c r="H4743" s="151" t="s">
        <v>5695</v>
      </c>
      <c r="I4743" s="151" t="s">
        <v>6962</v>
      </c>
      <c r="J4743" s="151" t="s">
        <v>6962</v>
      </c>
      <c r="K4743" s="151">
        <f t="shared" si="104"/>
        <v>0</v>
      </c>
      <c r="L4743" s="151" t="s">
        <v>9021</v>
      </c>
    </row>
    <row r="4744" spans="8:12" x14ac:dyDescent="0.25">
      <c r="H4744" s="151" t="s">
        <v>5695</v>
      </c>
      <c r="I4744" s="151" t="s">
        <v>391</v>
      </c>
      <c r="J4744" s="151" t="s">
        <v>8809</v>
      </c>
      <c r="K4744" s="151">
        <f t="shared" si="104"/>
        <v>650000000002089</v>
      </c>
      <c r="L4744" s="151" t="s">
        <v>9021</v>
      </c>
    </row>
    <row r="4745" spans="8:12" x14ac:dyDescent="0.25">
      <c r="H4745" s="151" t="s">
        <v>5696</v>
      </c>
      <c r="I4745" s="151" t="s">
        <v>6962</v>
      </c>
      <c r="J4745" s="151" t="s">
        <v>6962</v>
      </c>
      <c r="K4745" s="151">
        <f t="shared" si="104"/>
        <v>0</v>
      </c>
      <c r="L4745" s="151" t="s">
        <v>9021</v>
      </c>
    </row>
    <row r="4746" spans="8:12" x14ac:dyDescent="0.25">
      <c r="H4746" s="151" t="s">
        <v>5696</v>
      </c>
      <c r="I4746" s="151" t="s">
        <v>391</v>
      </c>
      <c r="J4746" s="151" t="s">
        <v>8810</v>
      </c>
      <c r="K4746" s="151">
        <f t="shared" si="104"/>
        <v>650000000002090</v>
      </c>
      <c r="L4746" s="151" t="s">
        <v>9021</v>
      </c>
    </row>
    <row r="4747" spans="8:12" x14ac:dyDescent="0.25">
      <c r="H4747" s="151" t="s">
        <v>5697</v>
      </c>
      <c r="I4747" s="151" t="s">
        <v>6962</v>
      </c>
      <c r="J4747" s="151" t="s">
        <v>6962</v>
      </c>
      <c r="K4747" s="151">
        <f t="shared" si="104"/>
        <v>0</v>
      </c>
      <c r="L4747" s="151" t="s">
        <v>9026</v>
      </c>
    </row>
    <row r="4748" spans="8:12" x14ac:dyDescent="0.25">
      <c r="H4748" s="151" t="s">
        <v>5697</v>
      </c>
      <c r="I4748" s="151" t="s">
        <v>391</v>
      </c>
      <c r="J4748" s="151" t="s">
        <v>8811</v>
      </c>
      <c r="K4748" s="151">
        <f t="shared" si="104"/>
        <v>650000000002091</v>
      </c>
      <c r="L4748" s="151" t="s">
        <v>9026</v>
      </c>
    </row>
    <row r="4749" spans="8:12" x14ac:dyDescent="0.25">
      <c r="H4749" s="151" t="s">
        <v>6944</v>
      </c>
      <c r="I4749" s="151" t="s">
        <v>6962</v>
      </c>
      <c r="J4749" s="151" t="s">
        <v>6962</v>
      </c>
      <c r="K4749" s="151">
        <f t="shared" si="104"/>
        <v>0</v>
      </c>
      <c r="L4749" s="151" t="s">
        <v>9021</v>
      </c>
    </row>
    <row r="4750" spans="8:12" x14ac:dyDescent="0.25">
      <c r="H4750" s="151" t="s">
        <v>6945</v>
      </c>
      <c r="I4750" s="151" t="s">
        <v>6962</v>
      </c>
      <c r="J4750" s="151" t="s">
        <v>6962</v>
      </c>
      <c r="K4750" s="151">
        <f t="shared" si="104"/>
        <v>0</v>
      </c>
      <c r="L4750" s="151" t="s">
        <v>9021</v>
      </c>
    </row>
    <row r="4751" spans="8:12" x14ac:dyDescent="0.25">
      <c r="H4751" s="151" t="s">
        <v>5698</v>
      </c>
      <c r="I4751" s="151" t="s">
        <v>6962</v>
      </c>
      <c r="J4751" s="151" t="s">
        <v>6962</v>
      </c>
      <c r="K4751" s="151">
        <f t="shared" si="104"/>
        <v>0</v>
      </c>
      <c r="L4751" s="151" t="s">
        <v>9021</v>
      </c>
    </row>
    <row r="4752" spans="8:12" x14ac:dyDescent="0.25">
      <c r="H4752" s="151" t="s">
        <v>5698</v>
      </c>
      <c r="I4752" s="151" t="s">
        <v>391</v>
      </c>
      <c r="J4752" s="151" t="s">
        <v>8812</v>
      </c>
      <c r="K4752" s="151">
        <f t="shared" si="104"/>
        <v>650000000001332</v>
      </c>
      <c r="L4752" s="151" t="s">
        <v>9021</v>
      </c>
    </row>
    <row r="4753" spans="8:12" x14ac:dyDescent="0.25">
      <c r="H4753" s="151" t="s">
        <v>5699</v>
      </c>
      <c r="I4753" s="151" t="s">
        <v>6962</v>
      </c>
      <c r="J4753" s="151" t="s">
        <v>6962</v>
      </c>
      <c r="K4753" s="151">
        <f t="shared" si="104"/>
        <v>0</v>
      </c>
      <c r="L4753" s="151" t="s">
        <v>9021</v>
      </c>
    </row>
    <row r="4754" spans="8:12" x14ac:dyDescent="0.25">
      <c r="H4754" s="151" t="s">
        <v>5699</v>
      </c>
      <c r="I4754" s="151" t="s">
        <v>391</v>
      </c>
      <c r="J4754" s="151" t="s">
        <v>8813</v>
      </c>
      <c r="K4754" s="151">
        <f t="shared" si="104"/>
        <v>650000000002092</v>
      </c>
      <c r="L4754" s="151" t="s">
        <v>9021</v>
      </c>
    </row>
    <row r="4755" spans="8:12" x14ac:dyDescent="0.25">
      <c r="H4755" s="151" t="s">
        <v>5700</v>
      </c>
      <c r="I4755" s="151" t="s">
        <v>6962</v>
      </c>
      <c r="J4755" s="151" t="s">
        <v>6962</v>
      </c>
      <c r="K4755" s="151">
        <f t="shared" si="104"/>
        <v>0</v>
      </c>
      <c r="L4755" s="151" t="s">
        <v>9021</v>
      </c>
    </row>
    <row r="4756" spans="8:12" x14ac:dyDescent="0.25">
      <c r="H4756" s="151" t="s">
        <v>5700</v>
      </c>
      <c r="I4756" s="151" t="s">
        <v>391</v>
      </c>
      <c r="J4756" s="151" t="s">
        <v>8814</v>
      </c>
      <c r="K4756" s="151">
        <f t="shared" si="104"/>
        <v>650000000002093</v>
      </c>
      <c r="L4756" s="151" t="s">
        <v>9021</v>
      </c>
    </row>
    <row r="4757" spans="8:12" x14ac:dyDescent="0.25">
      <c r="H4757" s="151" t="s">
        <v>5701</v>
      </c>
      <c r="I4757" s="151" t="s">
        <v>6962</v>
      </c>
      <c r="J4757" s="151" t="s">
        <v>6962</v>
      </c>
      <c r="K4757" s="151">
        <f t="shared" si="104"/>
        <v>0</v>
      </c>
      <c r="L4757" s="151" t="s">
        <v>9021</v>
      </c>
    </row>
    <row r="4758" spans="8:12" x14ac:dyDescent="0.25">
      <c r="H4758" s="151" t="s">
        <v>5701</v>
      </c>
      <c r="I4758" s="151" t="s">
        <v>391</v>
      </c>
      <c r="J4758" s="151" t="s">
        <v>8815</v>
      </c>
      <c r="K4758" s="151">
        <f t="shared" si="104"/>
        <v>650000000001333</v>
      </c>
      <c r="L4758" s="151" t="s">
        <v>9021</v>
      </c>
    </row>
    <row r="4759" spans="8:12" x14ac:dyDescent="0.25">
      <c r="H4759" s="151" t="s">
        <v>5702</v>
      </c>
      <c r="I4759" s="151" t="s">
        <v>6962</v>
      </c>
      <c r="J4759" s="151" t="s">
        <v>6962</v>
      </c>
      <c r="K4759" s="151">
        <f t="shared" si="104"/>
        <v>0</v>
      </c>
      <c r="L4759" s="151" t="s">
        <v>9021</v>
      </c>
    </row>
    <row r="4760" spans="8:12" x14ac:dyDescent="0.25">
      <c r="H4760" s="151" t="s">
        <v>5702</v>
      </c>
      <c r="I4760" s="151" t="s">
        <v>391</v>
      </c>
      <c r="J4760" s="151" t="s">
        <v>8816</v>
      </c>
      <c r="K4760" s="151">
        <f t="shared" si="104"/>
        <v>650000000002094</v>
      </c>
      <c r="L4760" s="151" t="s">
        <v>9021</v>
      </c>
    </row>
    <row r="4761" spans="8:12" x14ac:dyDescent="0.25">
      <c r="H4761" s="151" t="s">
        <v>5703</v>
      </c>
      <c r="I4761" s="151" t="s">
        <v>6962</v>
      </c>
      <c r="J4761" s="151" t="s">
        <v>6962</v>
      </c>
      <c r="K4761" s="151">
        <f t="shared" si="104"/>
        <v>0</v>
      </c>
      <c r="L4761" s="151" t="s">
        <v>9021</v>
      </c>
    </row>
    <row r="4762" spans="8:12" x14ac:dyDescent="0.25">
      <c r="H4762" s="151" t="s">
        <v>5703</v>
      </c>
      <c r="I4762" s="151" t="s">
        <v>391</v>
      </c>
      <c r="J4762" s="151" t="s">
        <v>8817</v>
      </c>
      <c r="K4762" s="151">
        <f t="shared" si="104"/>
        <v>650000000001334</v>
      </c>
      <c r="L4762" s="151" t="s">
        <v>9021</v>
      </c>
    </row>
    <row r="4763" spans="8:12" x14ac:dyDescent="0.25">
      <c r="H4763" s="151" t="s">
        <v>5704</v>
      </c>
      <c r="I4763" s="151" t="s">
        <v>6962</v>
      </c>
      <c r="J4763" s="151" t="s">
        <v>6962</v>
      </c>
      <c r="K4763" s="151">
        <f t="shared" si="104"/>
        <v>0</v>
      </c>
      <c r="L4763" s="151" t="s">
        <v>9021</v>
      </c>
    </row>
    <row r="4764" spans="8:12" x14ac:dyDescent="0.25">
      <c r="H4764" s="151" t="s">
        <v>5704</v>
      </c>
      <c r="I4764" s="151" t="s">
        <v>391</v>
      </c>
      <c r="J4764" s="151" t="s">
        <v>8818</v>
      </c>
      <c r="K4764" s="151">
        <f t="shared" si="104"/>
        <v>650000000002095</v>
      </c>
      <c r="L4764" s="151" t="s">
        <v>9021</v>
      </c>
    </row>
    <row r="4765" spans="8:12" x14ac:dyDescent="0.25">
      <c r="H4765" s="151" t="s">
        <v>5705</v>
      </c>
      <c r="I4765" s="151" t="s">
        <v>6962</v>
      </c>
      <c r="J4765" s="151" t="s">
        <v>6962</v>
      </c>
      <c r="K4765" s="151">
        <f t="shared" si="104"/>
        <v>0</v>
      </c>
      <c r="L4765" s="151" t="s">
        <v>9021</v>
      </c>
    </row>
    <row r="4766" spans="8:12" x14ac:dyDescent="0.25">
      <c r="H4766" s="151" t="s">
        <v>5705</v>
      </c>
      <c r="I4766" s="151" t="s">
        <v>391</v>
      </c>
      <c r="J4766" s="151" t="s">
        <v>8819</v>
      </c>
      <c r="K4766" s="151">
        <f t="shared" si="104"/>
        <v>650000000001335</v>
      </c>
      <c r="L4766" s="151" t="s">
        <v>9021</v>
      </c>
    </row>
    <row r="4767" spans="8:12" x14ac:dyDescent="0.25">
      <c r="H4767" s="151" t="s">
        <v>5706</v>
      </c>
      <c r="I4767" s="151" t="s">
        <v>6962</v>
      </c>
      <c r="J4767" s="151" t="s">
        <v>6962</v>
      </c>
      <c r="K4767" s="151">
        <f t="shared" si="104"/>
        <v>0</v>
      </c>
      <c r="L4767" s="151" t="s">
        <v>9021</v>
      </c>
    </row>
    <row r="4768" spans="8:12" x14ac:dyDescent="0.25">
      <c r="H4768" s="151" t="s">
        <v>5706</v>
      </c>
      <c r="I4768" s="151" t="s">
        <v>391</v>
      </c>
      <c r="J4768" s="151" t="s">
        <v>8820</v>
      </c>
      <c r="K4768" s="151">
        <f t="shared" si="104"/>
        <v>650000000002096</v>
      </c>
      <c r="L4768" s="151" t="s">
        <v>9021</v>
      </c>
    </row>
    <row r="4769" spans="8:12" x14ac:dyDescent="0.25">
      <c r="H4769" s="151" t="s">
        <v>5707</v>
      </c>
      <c r="I4769" s="151" t="s">
        <v>6962</v>
      </c>
      <c r="J4769" s="151" t="s">
        <v>6962</v>
      </c>
      <c r="K4769" s="151">
        <f t="shared" si="104"/>
        <v>0</v>
      </c>
      <c r="L4769" s="151" t="s">
        <v>9021</v>
      </c>
    </row>
    <row r="4770" spans="8:12" x14ac:dyDescent="0.25">
      <c r="H4770" s="151" t="s">
        <v>5707</v>
      </c>
      <c r="I4770" s="151" t="s">
        <v>391</v>
      </c>
      <c r="J4770" s="151" t="s">
        <v>8821</v>
      </c>
      <c r="K4770" s="151">
        <f t="shared" si="104"/>
        <v>650000000001336</v>
      </c>
      <c r="L4770" s="151" t="s">
        <v>9021</v>
      </c>
    </row>
    <row r="4771" spans="8:12" x14ac:dyDescent="0.25">
      <c r="H4771" s="151" t="s">
        <v>5708</v>
      </c>
      <c r="I4771" s="151" t="s">
        <v>6962</v>
      </c>
      <c r="J4771" s="151" t="s">
        <v>6962</v>
      </c>
      <c r="K4771" s="151">
        <f t="shared" si="104"/>
        <v>0</v>
      </c>
      <c r="L4771" s="151" t="s">
        <v>9021</v>
      </c>
    </row>
    <row r="4772" spans="8:12" x14ac:dyDescent="0.25">
      <c r="H4772" s="151" t="s">
        <v>5708</v>
      </c>
      <c r="I4772" s="151" t="s">
        <v>391</v>
      </c>
      <c r="J4772" s="151" t="s">
        <v>8822</v>
      </c>
      <c r="K4772" s="151">
        <f t="shared" si="104"/>
        <v>650000000002097</v>
      </c>
      <c r="L4772" s="151" t="s">
        <v>9021</v>
      </c>
    </row>
    <row r="4773" spans="8:12" x14ac:dyDescent="0.25">
      <c r="H4773" s="151" t="s">
        <v>5709</v>
      </c>
      <c r="I4773" s="151" t="s">
        <v>6962</v>
      </c>
      <c r="J4773" s="151" t="s">
        <v>6962</v>
      </c>
      <c r="K4773" s="151">
        <f t="shared" si="104"/>
        <v>0</v>
      </c>
      <c r="L4773" s="151" t="s">
        <v>9021</v>
      </c>
    </row>
    <row r="4774" spans="8:12" x14ac:dyDescent="0.25">
      <c r="H4774" s="151" t="s">
        <v>5709</v>
      </c>
      <c r="I4774" s="151" t="s">
        <v>391</v>
      </c>
      <c r="J4774" s="151" t="s">
        <v>8823</v>
      </c>
      <c r="K4774" s="151">
        <f t="shared" si="104"/>
        <v>650000000001337</v>
      </c>
      <c r="L4774" s="151" t="s">
        <v>9021</v>
      </c>
    </row>
    <row r="4775" spans="8:12" x14ac:dyDescent="0.25">
      <c r="H4775" s="151" t="s">
        <v>5710</v>
      </c>
      <c r="I4775" s="151" t="s">
        <v>6962</v>
      </c>
      <c r="J4775" s="151" t="s">
        <v>6962</v>
      </c>
      <c r="K4775" s="151">
        <f t="shared" si="104"/>
        <v>0</v>
      </c>
      <c r="L4775" s="151" t="s">
        <v>9021</v>
      </c>
    </row>
    <row r="4776" spans="8:12" x14ac:dyDescent="0.25">
      <c r="H4776" s="151" t="s">
        <v>5710</v>
      </c>
      <c r="I4776" s="151" t="s">
        <v>391</v>
      </c>
      <c r="J4776" s="151" t="s">
        <v>8824</v>
      </c>
      <c r="K4776" s="151">
        <f t="shared" si="104"/>
        <v>650000000001338</v>
      </c>
      <c r="L4776" s="151" t="s">
        <v>9021</v>
      </c>
    </row>
    <row r="4777" spans="8:12" x14ac:dyDescent="0.25">
      <c r="H4777" s="151" t="s">
        <v>5711</v>
      </c>
      <c r="I4777" s="151" t="s">
        <v>6962</v>
      </c>
      <c r="J4777" s="151" t="s">
        <v>6962</v>
      </c>
      <c r="K4777" s="151">
        <f t="shared" si="104"/>
        <v>0</v>
      </c>
      <c r="L4777" s="151" t="s">
        <v>9021</v>
      </c>
    </row>
    <row r="4778" spans="8:12" x14ac:dyDescent="0.25">
      <c r="H4778" s="151" t="s">
        <v>5711</v>
      </c>
      <c r="I4778" s="151" t="s">
        <v>391</v>
      </c>
      <c r="J4778" s="151" t="s">
        <v>8825</v>
      </c>
      <c r="K4778" s="151">
        <f t="shared" si="104"/>
        <v>650000000001339</v>
      </c>
      <c r="L4778" s="151" t="s">
        <v>9021</v>
      </c>
    </row>
    <row r="4779" spans="8:12" x14ac:dyDescent="0.25">
      <c r="H4779" s="151" t="s">
        <v>5712</v>
      </c>
      <c r="I4779" s="151" t="s">
        <v>6962</v>
      </c>
      <c r="J4779" s="151" t="s">
        <v>6962</v>
      </c>
      <c r="K4779" s="151">
        <f t="shared" si="104"/>
        <v>0</v>
      </c>
      <c r="L4779" s="151" t="s">
        <v>9021</v>
      </c>
    </row>
    <row r="4780" spans="8:12" x14ac:dyDescent="0.25">
      <c r="H4780" s="151" t="s">
        <v>5712</v>
      </c>
      <c r="I4780" s="151" t="s">
        <v>391</v>
      </c>
      <c r="J4780" s="151" t="s">
        <v>8826</v>
      </c>
      <c r="K4780" s="151">
        <f t="shared" si="104"/>
        <v>650000000002098</v>
      </c>
      <c r="L4780" s="151" t="s">
        <v>9021</v>
      </c>
    </row>
    <row r="4781" spans="8:12" x14ac:dyDescent="0.25">
      <c r="H4781" s="151" t="s">
        <v>5713</v>
      </c>
      <c r="I4781" s="151" t="s">
        <v>6962</v>
      </c>
      <c r="J4781" s="151" t="s">
        <v>6962</v>
      </c>
      <c r="K4781" s="151">
        <f t="shared" si="104"/>
        <v>0</v>
      </c>
      <c r="L4781" s="151" t="s">
        <v>9021</v>
      </c>
    </row>
    <row r="4782" spans="8:12" x14ac:dyDescent="0.25">
      <c r="H4782" s="151" t="s">
        <v>5713</v>
      </c>
      <c r="I4782" s="151" t="s">
        <v>391</v>
      </c>
      <c r="J4782" s="151" t="s">
        <v>8827</v>
      </c>
      <c r="K4782" s="151">
        <f t="shared" si="104"/>
        <v>650000000002099</v>
      </c>
      <c r="L4782" s="151" t="s">
        <v>9021</v>
      </c>
    </row>
    <row r="4783" spans="8:12" x14ac:dyDescent="0.25">
      <c r="H4783" s="151" t="s">
        <v>6946</v>
      </c>
      <c r="I4783" s="151" t="s">
        <v>6962</v>
      </c>
      <c r="J4783" s="151" t="s">
        <v>6962</v>
      </c>
      <c r="K4783" s="151">
        <f t="shared" si="104"/>
        <v>0</v>
      </c>
      <c r="L4783" s="151" t="s">
        <v>9021</v>
      </c>
    </row>
    <row r="4784" spans="8:12" x14ac:dyDescent="0.25">
      <c r="H4784" s="151" t="s">
        <v>5714</v>
      </c>
      <c r="I4784" s="151" t="s">
        <v>6962</v>
      </c>
      <c r="J4784" s="151" t="s">
        <v>6962</v>
      </c>
      <c r="K4784" s="151">
        <f t="shared" si="104"/>
        <v>0</v>
      </c>
      <c r="L4784" s="151" t="s">
        <v>9021</v>
      </c>
    </row>
    <row r="4785" spans="8:12" x14ac:dyDescent="0.25">
      <c r="H4785" s="151" t="s">
        <v>5714</v>
      </c>
      <c r="I4785" s="151" t="s">
        <v>391</v>
      </c>
      <c r="J4785" s="151" t="s">
        <v>8828</v>
      </c>
      <c r="K4785" s="151">
        <f t="shared" si="104"/>
        <v>650000000002100</v>
      </c>
      <c r="L4785" s="151" t="s">
        <v>9021</v>
      </c>
    </row>
    <row r="4786" spans="8:12" x14ac:dyDescent="0.25">
      <c r="H4786" s="151" t="s">
        <v>6947</v>
      </c>
      <c r="I4786" s="151" t="s">
        <v>6962</v>
      </c>
      <c r="J4786" s="151" t="s">
        <v>6962</v>
      </c>
      <c r="K4786" s="151">
        <f t="shared" si="104"/>
        <v>0</v>
      </c>
      <c r="L4786" s="151" t="s">
        <v>9021</v>
      </c>
    </row>
    <row r="4787" spans="8:12" x14ac:dyDescent="0.25">
      <c r="H4787" s="151" t="s">
        <v>5715</v>
      </c>
      <c r="I4787" s="151" t="s">
        <v>6962</v>
      </c>
      <c r="J4787" s="151" t="s">
        <v>6962</v>
      </c>
      <c r="K4787" s="151">
        <f t="shared" si="104"/>
        <v>0</v>
      </c>
      <c r="L4787" s="151" t="s">
        <v>9021</v>
      </c>
    </row>
    <row r="4788" spans="8:12" x14ac:dyDescent="0.25">
      <c r="H4788" s="151" t="s">
        <v>5715</v>
      </c>
      <c r="I4788" s="151" t="s">
        <v>391</v>
      </c>
      <c r="J4788" s="151" t="s">
        <v>8829</v>
      </c>
      <c r="K4788" s="151">
        <f t="shared" si="104"/>
        <v>650000000001340</v>
      </c>
      <c r="L4788" s="151" t="s">
        <v>9021</v>
      </c>
    </row>
    <row r="4789" spans="8:12" x14ac:dyDescent="0.25">
      <c r="H4789" s="151" t="s">
        <v>5716</v>
      </c>
      <c r="I4789" s="151" t="s">
        <v>6962</v>
      </c>
      <c r="J4789" s="151" t="s">
        <v>6962</v>
      </c>
      <c r="K4789" s="151">
        <f t="shared" si="104"/>
        <v>0</v>
      </c>
      <c r="L4789" s="151" t="s">
        <v>9026</v>
      </c>
    </row>
    <row r="4790" spans="8:12" x14ac:dyDescent="0.25">
      <c r="H4790" s="151" t="s">
        <v>5716</v>
      </c>
      <c r="I4790" s="151" t="s">
        <v>391</v>
      </c>
      <c r="J4790" s="151" t="s">
        <v>8830</v>
      </c>
      <c r="K4790" s="151">
        <f t="shared" si="104"/>
        <v>650000000002101</v>
      </c>
      <c r="L4790" s="151" t="s">
        <v>9026</v>
      </c>
    </row>
    <row r="4791" spans="8:12" x14ac:dyDescent="0.25">
      <c r="H4791" s="151" t="s">
        <v>5717</v>
      </c>
      <c r="I4791" s="151" t="s">
        <v>6962</v>
      </c>
      <c r="J4791" s="151" t="s">
        <v>6962</v>
      </c>
      <c r="K4791" s="151">
        <f t="shared" si="104"/>
        <v>0</v>
      </c>
      <c r="L4791" s="151" t="s">
        <v>9021</v>
      </c>
    </row>
    <row r="4792" spans="8:12" x14ac:dyDescent="0.25">
      <c r="H4792" s="151" t="s">
        <v>5717</v>
      </c>
      <c r="I4792" s="151" t="s">
        <v>391</v>
      </c>
      <c r="J4792" s="151" t="s">
        <v>8831</v>
      </c>
      <c r="K4792" s="151">
        <f t="shared" si="104"/>
        <v>650000000001341</v>
      </c>
      <c r="L4792" s="151" t="s">
        <v>9021</v>
      </c>
    </row>
    <row r="4793" spans="8:12" x14ac:dyDescent="0.25">
      <c r="H4793" s="151" t="s">
        <v>5718</v>
      </c>
      <c r="I4793" s="151" t="s">
        <v>6962</v>
      </c>
      <c r="J4793" s="151" t="s">
        <v>6962</v>
      </c>
      <c r="K4793" s="151">
        <f t="shared" si="104"/>
        <v>0</v>
      </c>
      <c r="L4793" s="151" t="s">
        <v>9021</v>
      </c>
    </row>
    <row r="4794" spans="8:12" x14ac:dyDescent="0.25">
      <c r="H4794" s="151" t="s">
        <v>5718</v>
      </c>
      <c r="I4794" s="151" t="s">
        <v>391</v>
      </c>
      <c r="J4794" s="151" t="s">
        <v>8832</v>
      </c>
      <c r="K4794" s="151">
        <f t="shared" si="104"/>
        <v>650000000002102</v>
      </c>
      <c r="L4794" s="151" t="s">
        <v>9021</v>
      </c>
    </row>
    <row r="4795" spans="8:12" x14ac:dyDescent="0.25">
      <c r="H4795" s="151" t="s">
        <v>5719</v>
      </c>
      <c r="I4795" s="151" t="s">
        <v>6962</v>
      </c>
      <c r="J4795" s="151" t="s">
        <v>6962</v>
      </c>
      <c r="K4795" s="151">
        <f t="shared" si="104"/>
        <v>0</v>
      </c>
      <c r="L4795" s="151" t="s">
        <v>9021</v>
      </c>
    </row>
    <row r="4796" spans="8:12" x14ac:dyDescent="0.25">
      <c r="H4796" s="151" t="s">
        <v>5719</v>
      </c>
      <c r="I4796" s="151" t="s">
        <v>391</v>
      </c>
      <c r="J4796" s="151" t="s">
        <v>8833</v>
      </c>
      <c r="K4796" s="151">
        <f t="shared" si="104"/>
        <v>650000000002103</v>
      </c>
      <c r="L4796" s="151" t="s">
        <v>9021</v>
      </c>
    </row>
    <row r="4797" spans="8:12" x14ac:dyDescent="0.25">
      <c r="H4797" s="151" t="s">
        <v>5720</v>
      </c>
      <c r="I4797" s="151" t="s">
        <v>6962</v>
      </c>
      <c r="J4797" s="151" t="s">
        <v>6962</v>
      </c>
      <c r="K4797" s="151">
        <f t="shared" si="104"/>
        <v>0</v>
      </c>
      <c r="L4797" s="151" t="s">
        <v>9021</v>
      </c>
    </row>
    <row r="4798" spans="8:12" x14ac:dyDescent="0.25">
      <c r="H4798" s="151" t="s">
        <v>5720</v>
      </c>
      <c r="I4798" s="151" t="s">
        <v>391</v>
      </c>
      <c r="J4798" s="151" t="s">
        <v>8834</v>
      </c>
      <c r="K4798" s="151">
        <f t="shared" si="104"/>
        <v>650000000001342</v>
      </c>
      <c r="L4798" s="151" t="s">
        <v>9021</v>
      </c>
    </row>
    <row r="4799" spans="8:12" x14ac:dyDescent="0.25">
      <c r="H4799" s="151" t="s">
        <v>5721</v>
      </c>
      <c r="I4799" s="151" t="s">
        <v>6962</v>
      </c>
      <c r="J4799" s="151" t="s">
        <v>6962</v>
      </c>
      <c r="K4799" s="151">
        <f t="shared" si="104"/>
        <v>0</v>
      </c>
      <c r="L4799" s="151" t="s">
        <v>9021</v>
      </c>
    </row>
    <row r="4800" spans="8:12" x14ac:dyDescent="0.25">
      <c r="H4800" s="151" t="s">
        <v>5721</v>
      </c>
      <c r="I4800" s="151" t="s">
        <v>391</v>
      </c>
      <c r="J4800" s="151" t="s">
        <v>8835</v>
      </c>
      <c r="K4800" s="151">
        <f t="shared" si="104"/>
        <v>650000000001343</v>
      </c>
      <c r="L4800" s="151" t="s">
        <v>9021</v>
      </c>
    </row>
    <row r="4801" spans="8:12" x14ac:dyDescent="0.25">
      <c r="H4801" s="151" t="s">
        <v>5722</v>
      </c>
      <c r="I4801" s="151" t="s">
        <v>6962</v>
      </c>
      <c r="J4801" s="151" t="s">
        <v>6962</v>
      </c>
      <c r="K4801" s="151">
        <f t="shared" si="104"/>
        <v>0</v>
      </c>
      <c r="L4801" s="151" t="s">
        <v>9021</v>
      </c>
    </row>
    <row r="4802" spans="8:12" x14ac:dyDescent="0.25">
      <c r="H4802" s="151" t="s">
        <v>5722</v>
      </c>
      <c r="I4802" s="151" t="s">
        <v>391</v>
      </c>
      <c r="J4802" s="151" t="s">
        <v>8836</v>
      </c>
      <c r="K4802" s="151">
        <f t="shared" si="104"/>
        <v>650000000001344</v>
      </c>
      <c r="L4802" s="151" t="s">
        <v>9021</v>
      </c>
    </row>
    <row r="4803" spans="8:12" x14ac:dyDescent="0.25">
      <c r="H4803" s="151" t="s">
        <v>5723</v>
      </c>
      <c r="I4803" s="151" t="s">
        <v>6962</v>
      </c>
      <c r="J4803" s="151" t="s">
        <v>6962</v>
      </c>
      <c r="K4803" s="151">
        <f t="shared" ref="K4803:K4866" si="105">+IFERROR(J4803*1,0)</f>
        <v>0</v>
      </c>
      <c r="L4803" s="151" t="s">
        <v>9021</v>
      </c>
    </row>
    <row r="4804" spans="8:12" x14ac:dyDescent="0.25">
      <c r="H4804" s="151" t="s">
        <v>5723</v>
      </c>
      <c r="I4804" s="151" t="s">
        <v>391</v>
      </c>
      <c r="J4804" s="151" t="s">
        <v>8837</v>
      </c>
      <c r="K4804" s="151">
        <f t="shared" si="105"/>
        <v>650000000001345</v>
      </c>
      <c r="L4804" s="151" t="s">
        <v>9021</v>
      </c>
    </row>
    <row r="4805" spans="8:12" x14ac:dyDescent="0.25">
      <c r="H4805" s="151" t="s">
        <v>5724</v>
      </c>
      <c r="I4805" s="151" t="s">
        <v>6962</v>
      </c>
      <c r="J4805" s="151" t="s">
        <v>6962</v>
      </c>
      <c r="K4805" s="151">
        <f t="shared" si="105"/>
        <v>0</v>
      </c>
      <c r="L4805" s="151" t="s">
        <v>9021</v>
      </c>
    </row>
    <row r="4806" spans="8:12" x14ac:dyDescent="0.25">
      <c r="H4806" s="151" t="s">
        <v>5724</v>
      </c>
      <c r="I4806" s="151" t="s">
        <v>391</v>
      </c>
      <c r="J4806" s="151" t="s">
        <v>8838</v>
      </c>
      <c r="K4806" s="151">
        <f t="shared" si="105"/>
        <v>650000000001346</v>
      </c>
      <c r="L4806" s="151" t="s">
        <v>9021</v>
      </c>
    </row>
    <row r="4807" spans="8:12" x14ac:dyDescent="0.25">
      <c r="H4807" s="151" t="s">
        <v>5725</v>
      </c>
      <c r="I4807" s="151" t="s">
        <v>6962</v>
      </c>
      <c r="J4807" s="151" t="s">
        <v>6962</v>
      </c>
      <c r="K4807" s="151">
        <f t="shared" si="105"/>
        <v>0</v>
      </c>
      <c r="L4807" s="151" t="s">
        <v>9021</v>
      </c>
    </row>
    <row r="4808" spans="8:12" x14ac:dyDescent="0.25">
      <c r="H4808" s="151" t="s">
        <v>5725</v>
      </c>
      <c r="I4808" s="151" t="s">
        <v>391</v>
      </c>
      <c r="J4808" s="151" t="s">
        <v>8839</v>
      </c>
      <c r="K4808" s="151">
        <f t="shared" si="105"/>
        <v>650000000001347</v>
      </c>
      <c r="L4808" s="151" t="s">
        <v>9021</v>
      </c>
    </row>
    <row r="4809" spans="8:12" x14ac:dyDescent="0.25">
      <c r="H4809" s="151" t="s">
        <v>5726</v>
      </c>
      <c r="I4809" s="151" t="s">
        <v>6962</v>
      </c>
      <c r="J4809" s="151" t="s">
        <v>6962</v>
      </c>
      <c r="K4809" s="151">
        <f t="shared" si="105"/>
        <v>0</v>
      </c>
      <c r="L4809" s="151" t="s">
        <v>9021</v>
      </c>
    </row>
    <row r="4810" spans="8:12" x14ac:dyDescent="0.25">
      <c r="H4810" s="151" t="s">
        <v>5726</v>
      </c>
      <c r="I4810" s="151" t="s">
        <v>391</v>
      </c>
      <c r="J4810" s="151" t="s">
        <v>8840</v>
      </c>
      <c r="K4810" s="151">
        <f t="shared" si="105"/>
        <v>650000000002104</v>
      </c>
      <c r="L4810" s="151" t="s">
        <v>9021</v>
      </c>
    </row>
    <row r="4811" spans="8:12" x14ac:dyDescent="0.25">
      <c r="H4811" s="151" t="s">
        <v>5727</v>
      </c>
      <c r="I4811" s="151" t="s">
        <v>6962</v>
      </c>
      <c r="J4811" s="151" t="s">
        <v>6962</v>
      </c>
      <c r="K4811" s="151">
        <f t="shared" si="105"/>
        <v>0</v>
      </c>
      <c r="L4811" s="151" t="s">
        <v>9021</v>
      </c>
    </row>
    <row r="4812" spans="8:12" x14ac:dyDescent="0.25">
      <c r="H4812" s="151" t="s">
        <v>5727</v>
      </c>
      <c r="I4812" s="151" t="s">
        <v>391</v>
      </c>
      <c r="J4812" s="151" t="s">
        <v>8841</v>
      </c>
      <c r="K4812" s="151">
        <f t="shared" si="105"/>
        <v>650000000001348</v>
      </c>
      <c r="L4812" s="151" t="s">
        <v>9021</v>
      </c>
    </row>
    <row r="4813" spans="8:12" x14ac:dyDescent="0.25">
      <c r="H4813" s="151" t="s">
        <v>5728</v>
      </c>
      <c r="I4813" s="151" t="s">
        <v>6962</v>
      </c>
      <c r="J4813" s="151" t="s">
        <v>6962</v>
      </c>
      <c r="K4813" s="151">
        <f t="shared" si="105"/>
        <v>0</v>
      </c>
      <c r="L4813" s="151" t="s">
        <v>9021</v>
      </c>
    </row>
    <row r="4814" spans="8:12" x14ac:dyDescent="0.25">
      <c r="H4814" s="151" t="s">
        <v>5728</v>
      </c>
      <c r="I4814" s="151" t="s">
        <v>391</v>
      </c>
      <c r="J4814" s="151" t="s">
        <v>8842</v>
      </c>
      <c r="K4814" s="151">
        <f t="shared" si="105"/>
        <v>650000000001349</v>
      </c>
      <c r="L4814" s="151" t="s">
        <v>9021</v>
      </c>
    </row>
    <row r="4815" spans="8:12" x14ac:dyDescent="0.25">
      <c r="H4815" s="151" t="s">
        <v>5729</v>
      </c>
      <c r="I4815" s="151" t="s">
        <v>6962</v>
      </c>
      <c r="J4815" s="151" t="s">
        <v>6962</v>
      </c>
      <c r="K4815" s="151">
        <f t="shared" si="105"/>
        <v>0</v>
      </c>
      <c r="L4815" s="151" t="s">
        <v>9021</v>
      </c>
    </row>
    <row r="4816" spans="8:12" x14ac:dyDescent="0.25">
      <c r="H4816" s="151" t="s">
        <v>5729</v>
      </c>
      <c r="I4816" s="151" t="s">
        <v>391</v>
      </c>
      <c r="J4816" s="151" t="s">
        <v>8843</v>
      </c>
      <c r="K4816" s="151">
        <f t="shared" si="105"/>
        <v>650000000001350</v>
      </c>
      <c r="L4816" s="151" t="s">
        <v>9021</v>
      </c>
    </row>
    <row r="4817" spans="8:12" x14ac:dyDescent="0.25">
      <c r="H4817" s="151" t="s">
        <v>5730</v>
      </c>
      <c r="I4817" s="151" t="s">
        <v>6962</v>
      </c>
      <c r="J4817" s="151" t="s">
        <v>6962</v>
      </c>
      <c r="K4817" s="151">
        <f t="shared" si="105"/>
        <v>0</v>
      </c>
      <c r="L4817" s="151" t="s">
        <v>9021</v>
      </c>
    </row>
    <row r="4818" spans="8:12" x14ac:dyDescent="0.25">
      <c r="H4818" s="151" t="s">
        <v>5730</v>
      </c>
      <c r="I4818" s="151" t="s">
        <v>391</v>
      </c>
      <c r="J4818" s="151" t="s">
        <v>8844</v>
      </c>
      <c r="K4818" s="151">
        <f t="shared" si="105"/>
        <v>650000000001351</v>
      </c>
      <c r="L4818" s="151" t="s">
        <v>9021</v>
      </c>
    </row>
    <row r="4819" spans="8:12" x14ac:dyDescent="0.25">
      <c r="H4819" s="151" t="s">
        <v>5731</v>
      </c>
      <c r="I4819" s="151" t="s">
        <v>6962</v>
      </c>
      <c r="J4819" s="151" t="s">
        <v>6962</v>
      </c>
      <c r="K4819" s="151">
        <f t="shared" si="105"/>
        <v>0</v>
      </c>
      <c r="L4819" s="151" t="s">
        <v>9021</v>
      </c>
    </row>
    <row r="4820" spans="8:12" x14ac:dyDescent="0.25">
      <c r="H4820" s="151" t="s">
        <v>5731</v>
      </c>
      <c r="I4820" s="151" t="s">
        <v>391</v>
      </c>
      <c r="J4820" s="151" t="s">
        <v>8845</v>
      </c>
      <c r="K4820" s="151">
        <f t="shared" si="105"/>
        <v>650000000001352</v>
      </c>
      <c r="L4820" s="151" t="s">
        <v>9021</v>
      </c>
    </row>
    <row r="4821" spans="8:12" x14ac:dyDescent="0.25">
      <c r="H4821" s="151" t="s">
        <v>5732</v>
      </c>
      <c r="I4821" s="151" t="s">
        <v>6962</v>
      </c>
      <c r="J4821" s="151" t="s">
        <v>6962</v>
      </c>
      <c r="K4821" s="151">
        <f t="shared" si="105"/>
        <v>0</v>
      </c>
      <c r="L4821" s="151" t="s">
        <v>9021</v>
      </c>
    </row>
    <row r="4822" spans="8:12" x14ac:dyDescent="0.25">
      <c r="H4822" s="151" t="s">
        <v>5732</v>
      </c>
      <c r="I4822" s="151" t="s">
        <v>391</v>
      </c>
      <c r="J4822" s="151" t="s">
        <v>8846</v>
      </c>
      <c r="K4822" s="151">
        <f t="shared" si="105"/>
        <v>650000000002105</v>
      </c>
      <c r="L4822" s="151" t="s">
        <v>9021</v>
      </c>
    </row>
    <row r="4823" spans="8:12" x14ac:dyDescent="0.25">
      <c r="H4823" s="151" t="s">
        <v>5733</v>
      </c>
      <c r="I4823" s="151" t="s">
        <v>6962</v>
      </c>
      <c r="J4823" s="151" t="s">
        <v>6962</v>
      </c>
      <c r="K4823" s="151">
        <f t="shared" si="105"/>
        <v>0</v>
      </c>
      <c r="L4823" s="151" t="s">
        <v>9021</v>
      </c>
    </row>
    <row r="4824" spans="8:12" x14ac:dyDescent="0.25">
      <c r="H4824" s="151" t="s">
        <v>5733</v>
      </c>
      <c r="I4824" s="151" t="s">
        <v>391</v>
      </c>
      <c r="J4824" s="151" t="s">
        <v>8847</v>
      </c>
      <c r="K4824" s="151">
        <f t="shared" si="105"/>
        <v>650000000002106</v>
      </c>
      <c r="L4824" s="151" t="s">
        <v>9021</v>
      </c>
    </row>
    <row r="4825" spans="8:12" x14ac:dyDescent="0.25">
      <c r="H4825" s="151" t="s">
        <v>5734</v>
      </c>
      <c r="I4825" s="151" t="s">
        <v>6962</v>
      </c>
      <c r="J4825" s="151" t="s">
        <v>6962</v>
      </c>
      <c r="K4825" s="151">
        <f t="shared" si="105"/>
        <v>0</v>
      </c>
      <c r="L4825" s="151" t="s">
        <v>9021</v>
      </c>
    </row>
    <row r="4826" spans="8:12" x14ac:dyDescent="0.25">
      <c r="H4826" s="151" t="s">
        <v>5734</v>
      </c>
      <c r="I4826" s="151" t="s">
        <v>391</v>
      </c>
      <c r="J4826" s="151" t="s">
        <v>8848</v>
      </c>
      <c r="K4826" s="151">
        <f t="shared" si="105"/>
        <v>650000000002107</v>
      </c>
      <c r="L4826" s="151" t="s">
        <v>9021</v>
      </c>
    </row>
    <row r="4827" spans="8:12" x14ac:dyDescent="0.25">
      <c r="H4827" s="151" t="s">
        <v>5735</v>
      </c>
      <c r="I4827" s="151" t="s">
        <v>6962</v>
      </c>
      <c r="J4827" s="151" t="s">
        <v>6962</v>
      </c>
      <c r="K4827" s="151">
        <f t="shared" si="105"/>
        <v>0</v>
      </c>
      <c r="L4827" s="151" t="s">
        <v>9021</v>
      </c>
    </row>
    <row r="4828" spans="8:12" x14ac:dyDescent="0.25">
      <c r="H4828" s="151" t="s">
        <v>5735</v>
      </c>
      <c r="I4828" s="151" t="s">
        <v>391</v>
      </c>
      <c r="J4828" s="151" t="s">
        <v>8849</v>
      </c>
      <c r="K4828" s="151">
        <f t="shared" si="105"/>
        <v>650000000001353</v>
      </c>
      <c r="L4828" s="151" t="s">
        <v>9021</v>
      </c>
    </row>
    <row r="4829" spans="8:12" x14ac:dyDescent="0.25">
      <c r="H4829" s="151" t="s">
        <v>5736</v>
      </c>
      <c r="I4829" s="151" t="s">
        <v>6962</v>
      </c>
      <c r="J4829" s="151" t="s">
        <v>6962</v>
      </c>
      <c r="K4829" s="151">
        <f t="shared" si="105"/>
        <v>0</v>
      </c>
      <c r="L4829" s="151" t="s">
        <v>9021</v>
      </c>
    </row>
    <row r="4830" spans="8:12" x14ac:dyDescent="0.25">
      <c r="H4830" s="151" t="s">
        <v>5736</v>
      </c>
      <c r="I4830" s="151" t="s">
        <v>391</v>
      </c>
      <c r="J4830" s="151" t="s">
        <v>8850</v>
      </c>
      <c r="K4830" s="151">
        <f t="shared" si="105"/>
        <v>650000000001354</v>
      </c>
      <c r="L4830" s="151" t="s">
        <v>9021</v>
      </c>
    </row>
    <row r="4831" spans="8:12" x14ac:dyDescent="0.25">
      <c r="H4831" s="151" t="s">
        <v>5737</v>
      </c>
      <c r="I4831" s="151" t="s">
        <v>6962</v>
      </c>
      <c r="J4831" s="151" t="s">
        <v>6962</v>
      </c>
      <c r="K4831" s="151">
        <f t="shared" si="105"/>
        <v>0</v>
      </c>
      <c r="L4831" s="151" t="s">
        <v>9021</v>
      </c>
    </row>
    <row r="4832" spans="8:12" x14ac:dyDescent="0.25">
      <c r="H4832" s="151" t="s">
        <v>5737</v>
      </c>
      <c r="I4832" s="151" t="s">
        <v>391</v>
      </c>
      <c r="J4832" s="151" t="s">
        <v>8851</v>
      </c>
      <c r="K4832" s="151">
        <f t="shared" si="105"/>
        <v>650000000001355</v>
      </c>
      <c r="L4832" s="151" t="s">
        <v>9021</v>
      </c>
    </row>
    <row r="4833" spans="8:12" x14ac:dyDescent="0.25">
      <c r="H4833" s="151" t="s">
        <v>5738</v>
      </c>
      <c r="I4833" s="151" t="s">
        <v>6962</v>
      </c>
      <c r="J4833" s="151" t="s">
        <v>6962</v>
      </c>
      <c r="K4833" s="151">
        <f t="shared" si="105"/>
        <v>0</v>
      </c>
      <c r="L4833" s="151" t="s">
        <v>9021</v>
      </c>
    </row>
    <row r="4834" spans="8:12" x14ac:dyDescent="0.25">
      <c r="H4834" s="151" t="s">
        <v>5738</v>
      </c>
      <c r="I4834" s="151" t="s">
        <v>391</v>
      </c>
      <c r="J4834" s="151" t="s">
        <v>8852</v>
      </c>
      <c r="K4834" s="151">
        <f t="shared" si="105"/>
        <v>650000000001356</v>
      </c>
      <c r="L4834" s="151" t="s">
        <v>9021</v>
      </c>
    </row>
    <row r="4835" spans="8:12" x14ac:dyDescent="0.25">
      <c r="H4835" s="151" t="s">
        <v>5739</v>
      </c>
      <c r="I4835" s="151" t="s">
        <v>6962</v>
      </c>
      <c r="J4835" s="151" t="s">
        <v>6962</v>
      </c>
      <c r="K4835" s="151">
        <f t="shared" si="105"/>
        <v>0</v>
      </c>
      <c r="L4835" s="151" t="s">
        <v>9021</v>
      </c>
    </row>
    <row r="4836" spans="8:12" x14ac:dyDescent="0.25">
      <c r="H4836" s="151" t="s">
        <v>5739</v>
      </c>
      <c r="I4836" s="151" t="s">
        <v>391</v>
      </c>
      <c r="J4836" s="151" t="s">
        <v>8853</v>
      </c>
      <c r="K4836" s="151">
        <f t="shared" si="105"/>
        <v>650000000001357</v>
      </c>
      <c r="L4836" s="151" t="s">
        <v>9021</v>
      </c>
    </row>
    <row r="4837" spans="8:12" x14ac:dyDescent="0.25">
      <c r="H4837" s="151" t="s">
        <v>5740</v>
      </c>
      <c r="I4837" s="151" t="s">
        <v>6962</v>
      </c>
      <c r="J4837" s="151" t="s">
        <v>6962</v>
      </c>
      <c r="K4837" s="151">
        <f t="shared" si="105"/>
        <v>0</v>
      </c>
      <c r="L4837" s="151" t="s">
        <v>9021</v>
      </c>
    </row>
    <row r="4838" spans="8:12" x14ac:dyDescent="0.25">
      <c r="H4838" s="151" t="s">
        <v>5740</v>
      </c>
      <c r="I4838" s="151" t="s">
        <v>391</v>
      </c>
      <c r="J4838" s="151" t="s">
        <v>8854</v>
      </c>
      <c r="K4838" s="151">
        <f t="shared" si="105"/>
        <v>650000000001358</v>
      </c>
      <c r="L4838" s="151" t="s">
        <v>9021</v>
      </c>
    </row>
    <row r="4839" spans="8:12" x14ac:dyDescent="0.25">
      <c r="H4839" s="151" t="s">
        <v>5741</v>
      </c>
      <c r="I4839" s="151" t="s">
        <v>6962</v>
      </c>
      <c r="J4839" s="151" t="s">
        <v>6962</v>
      </c>
      <c r="K4839" s="151">
        <f t="shared" si="105"/>
        <v>0</v>
      </c>
      <c r="L4839" s="151" t="s">
        <v>9021</v>
      </c>
    </row>
    <row r="4840" spans="8:12" x14ac:dyDescent="0.25">
      <c r="H4840" s="151" t="s">
        <v>5741</v>
      </c>
      <c r="I4840" s="151" t="s">
        <v>391</v>
      </c>
      <c r="J4840" s="151" t="s">
        <v>8855</v>
      </c>
      <c r="K4840" s="151">
        <f t="shared" si="105"/>
        <v>650000000001359</v>
      </c>
      <c r="L4840" s="151" t="s">
        <v>9021</v>
      </c>
    </row>
    <row r="4841" spans="8:12" x14ac:dyDescent="0.25">
      <c r="H4841" s="151" t="s">
        <v>5742</v>
      </c>
      <c r="I4841" s="151" t="s">
        <v>6962</v>
      </c>
      <c r="J4841" s="151" t="s">
        <v>6962</v>
      </c>
      <c r="K4841" s="151">
        <f t="shared" si="105"/>
        <v>0</v>
      </c>
      <c r="L4841" s="151" t="s">
        <v>9021</v>
      </c>
    </row>
    <row r="4842" spans="8:12" x14ac:dyDescent="0.25">
      <c r="H4842" s="151" t="s">
        <v>5742</v>
      </c>
      <c r="I4842" s="151" t="s">
        <v>391</v>
      </c>
      <c r="J4842" s="151" t="s">
        <v>8856</v>
      </c>
      <c r="K4842" s="151">
        <f t="shared" si="105"/>
        <v>650000000001360</v>
      </c>
      <c r="L4842" s="151" t="s">
        <v>9021</v>
      </c>
    </row>
    <row r="4843" spans="8:12" x14ac:dyDescent="0.25">
      <c r="H4843" s="151" t="s">
        <v>5743</v>
      </c>
      <c r="I4843" s="151" t="s">
        <v>6962</v>
      </c>
      <c r="J4843" s="151" t="s">
        <v>6962</v>
      </c>
      <c r="K4843" s="151">
        <f t="shared" si="105"/>
        <v>0</v>
      </c>
      <c r="L4843" s="151" t="s">
        <v>9021</v>
      </c>
    </row>
    <row r="4844" spans="8:12" x14ac:dyDescent="0.25">
      <c r="H4844" s="151" t="s">
        <v>5743</v>
      </c>
      <c r="I4844" s="151" t="s">
        <v>391</v>
      </c>
      <c r="J4844" s="151" t="s">
        <v>8857</v>
      </c>
      <c r="K4844" s="151">
        <f t="shared" si="105"/>
        <v>650000000001361</v>
      </c>
      <c r="L4844" s="151" t="s">
        <v>9021</v>
      </c>
    </row>
    <row r="4845" spans="8:12" x14ac:dyDescent="0.25">
      <c r="H4845" s="151" t="s">
        <v>5744</v>
      </c>
      <c r="I4845" s="151" t="s">
        <v>6962</v>
      </c>
      <c r="J4845" s="151" t="s">
        <v>6962</v>
      </c>
      <c r="K4845" s="151">
        <f t="shared" si="105"/>
        <v>0</v>
      </c>
      <c r="L4845" s="151" t="s">
        <v>9021</v>
      </c>
    </row>
    <row r="4846" spans="8:12" x14ac:dyDescent="0.25">
      <c r="H4846" s="151" t="s">
        <v>5744</v>
      </c>
      <c r="I4846" s="151" t="s">
        <v>391</v>
      </c>
      <c r="J4846" s="151" t="s">
        <v>8858</v>
      </c>
      <c r="K4846" s="151">
        <f t="shared" si="105"/>
        <v>650000000001362</v>
      </c>
      <c r="L4846" s="151" t="s">
        <v>9021</v>
      </c>
    </row>
    <row r="4847" spans="8:12" x14ac:dyDescent="0.25">
      <c r="H4847" s="151" t="s">
        <v>5745</v>
      </c>
      <c r="I4847" s="151" t="s">
        <v>6962</v>
      </c>
      <c r="J4847" s="151" t="s">
        <v>6962</v>
      </c>
      <c r="K4847" s="151">
        <f t="shared" si="105"/>
        <v>0</v>
      </c>
      <c r="L4847" s="151" t="s">
        <v>9021</v>
      </c>
    </row>
    <row r="4848" spans="8:12" x14ac:dyDescent="0.25">
      <c r="H4848" s="151" t="s">
        <v>5745</v>
      </c>
      <c r="I4848" s="151" t="s">
        <v>391</v>
      </c>
      <c r="J4848" s="151" t="s">
        <v>8859</v>
      </c>
      <c r="K4848" s="151">
        <f t="shared" si="105"/>
        <v>650000000001363</v>
      </c>
      <c r="L4848" s="151" t="s">
        <v>9021</v>
      </c>
    </row>
    <row r="4849" spans="8:12" x14ac:dyDescent="0.25">
      <c r="H4849" s="151" t="s">
        <v>5746</v>
      </c>
      <c r="I4849" s="151" t="s">
        <v>6962</v>
      </c>
      <c r="J4849" s="151" t="s">
        <v>6962</v>
      </c>
      <c r="K4849" s="151">
        <f t="shared" si="105"/>
        <v>0</v>
      </c>
      <c r="L4849" s="151" t="s">
        <v>9021</v>
      </c>
    </row>
    <row r="4850" spans="8:12" x14ac:dyDescent="0.25">
      <c r="H4850" s="151" t="s">
        <v>5746</v>
      </c>
      <c r="I4850" s="151" t="s">
        <v>391</v>
      </c>
      <c r="J4850" s="151" t="s">
        <v>8860</v>
      </c>
      <c r="K4850" s="151">
        <f t="shared" si="105"/>
        <v>650000000001364</v>
      </c>
      <c r="L4850" s="151" t="s">
        <v>9021</v>
      </c>
    </row>
    <row r="4851" spans="8:12" x14ac:dyDescent="0.25">
      <c r="H4851" s="151" t="s">
        <v>5747</v>
      </c>
      <c r="I4851" s="151" t="s">
        <v>6962</v>
      </c>
      <c r="J4851" s="151" t="s">
        <v>6962</v>
      </c>
      <c r="K4851" s="151">
        <f t="shared" si="105"/>
        <v>0</v>
      </c>
      <c r="L4851" s="151" t="s">
        <v>9021</v>
      </c>
    </row>
    <row r="4852" spans="8:12" x14ac:dyDescent="0.25">
      <c r="H4852" s="151" t="s">
        <v>5747</v>
      </c>
      <c r="I4852" s="151" t="s">
        <v>391</v>
      </c>
      <c r="J4852" s="151" t="s">
        <v>8861</v>
      </c>
      <c r="K4852" s="151">
        <f t="shared" si="105"/>
        <v>650000000001365</v>
      </c>
      <c r="L4852" s="151" t="s">
        <v>9021</v>
      </c>
    </row>
    <row r="4853" spans="8:12" x14ac:dyDescent="0.25">
      <c r="H4853" s="151" t="s">
        <v>5748</v>
      </c>
      <c r="I4853" s="151" t="s">
        <v>6962</v>
      </c>
      <c r="J4853" s="151" t="s">
        <v>6962</v>
      </c>
      <c r="K4853" s="151">
        <f t="shared" si="105"/>
        <v>0</v>
      </c>
      <c r="L4853" s="151" t="s">
        <v>9021</v>
      </c>
    </row>
    <row r="4854" spans="8:12" x14ac:dyDescent="0.25">
      <c r="H4854" s="151" t="s">
        <v>5748</v>
      </c>
      <c r="I4854" s="151" t="s">
        <v>391</v>
      </c>
      <c r="J4854" s="151" t="s">
        <v>8862</v>
      </c>
      <c r="K4854" s="151">
        <f t="shared" si="105"/>
        <v>650000000001366</v>
      </c>
      <c r="L4854" s="151" t="s">
        <v>9021</v>
      </c>
    </row>
    <row r="4855" spans="8:12" x14ac:dyDescent="0.25">
      <c r="H4855" s="151" t="s">
        <v>5749</v>
      </c>
      <c r="I4855" s="151" t="s">
        <v>6962</v>
      </c>
      <c r="J4855" s="151" t="s">
        <v>6962</v>
      </c>
      <c r="K4855" s="151">
        <f t="shared" si="105"/>
        <v>0</v>
      </c>
      <c r="L4855" s="151" t="s">
        <v>9021</v>
      </c>
    </row>
    <row r="4856" spans="8:12" x14ac:dyDescent="0.25">
      <c r="H4856" s="151" t="s">
        <v>5749</v>
      </c>
      <c r="I4856" s="151" t="s">
        <v>391</v>
      </c>
      <c r="J4856" s="151" t="s">
        <v>8863</v>
      </c>
      <c r="K4856" s="151">
        <f t="shared" si="105"/>
        <v>650000000001367</v>
      </c>
      <c r="L4856" s="151" t="s">
        <v>9021</v>
      </c>
    </row>
    <row r="4857" spans="8:12" x14ac:dyDescent="0.25">
      <c r="H4857" s="151" t="s">
        <v>5750</v>
      </c>
      <c r="I4857" s="151" t="s">
        <v>6962</v>
      </c>
      <c r="J4857" s="151" t="s">
        <v>6962</v>
      </c>
      <c r="K4857" s="151">
        <f t="shared" si="105"/>
        <v>0</v>
      </c>
      <c r="L4857" s="151" t="s">
        <v>9021</v>
      </c>
    </row>
    <row r="4858" spans="8:12" x14ac:dyDescent="0.25">
      <c r="H4858" s="151" t="s">
        <v>5750</v>
      </c>
      <c r="I4858" s="151" t="s">
        <v>391</v>
      </c>
      <c r="J4858" s="151" t="s">
        <v>8864</v>
      </c>
      <c r="K4858" s="151">
        <f t="shared" si="105"/>
        <v>650000000001368</v>
      </c>
      <c r="L4858" s="151" t="s">
        <v>9021</v>
      </c>
    </row>
    <row r="4859" spans="8:12" x14ac:dyDescent="0.25">
      <c r="H4859" s="151" t="s">
        <v>5751</v>
      </c>
      <c r="I4859" s="151" t="s">
        <v>6962</v>
      </c>
      <c r="J4859" s="151" t="s">
        <v>6962</v>
      </c>
      <c r="K4859" s="151">
        <f t="shared" si="105"/>
        <v>0</v>
      </c>
      <c r="L4859" s="151" t="s">
        <v>9021</v>
      </c>
    </row>
    <row r="4860" spans="8:12" x14ac:dyDescent="0.25">
      <c r="H4860" s="151" t="s">
        <v>5751</v>
      </c>
      <c r="I4860" s="151" t="s">
        <v>391</v>
      </c>
      <c r="J4860" s="151" t="s">
        <v>8865</v>
      </c>
      <c r="K4860" s="151">
        <f t="shared" si="105"/>
        <v>650000000002108</v>
      </c>
      <c r="L4860" s="151" t="s">
        <v>9021</v>
      </c>
    </row>
    <row r="4861" spans="8:12" x14ac:dyDescent="0.25">
      <c r="H4861" s="151" t="s">
        <v>5752</v>
      </c>
      <c r="I4861" s="151" t="s">
        <v>6962</v>
      </c>
      <c r="J4861" s="151" t="s">
        <v>6962</v>
      </c>
      <c r="K4861" s="151">
        <f t="shared" si="105"/>
        <v>0</v>
      </c>
      <c r="L4861" s="151" t="s">
        <v>9021</v>
      </c>
    </row>
    <row r="4862" spans="8:12" x14ac:dyDescent="0.25">
      <c r="H4862" s="151" t="s">
        <v>5752</v>
      </c>
      <c r="I4862" s="151" t="s">
        <v>391</v>
      </c>
      <c r="J4862" s="151" t="s">
        <v>8866</v>
      </c>
      <c r="K4862" s="151">
        <f t="shared" si="105"/>
        <v>650000000001369</v>
      </c>
      <c r="L4862" s="151" t="s">
        <v>9021</v>
      </c>
    </row>
    <row r="4863" spans="8:12" x14ac:dyDescent="0.25">
      <c r="H4863" s="151" t="s">
        <v>5753</v>
      </c>
      <c r="I4863" s="151" t="s">
        <v>6962</v>
      </c>
      <c r="J4863" s="151" t="s">
        <v>6962</v>
      </c>
      <c r="K4863" s="151">
        <f t="shared" si="105"/>
        <v>0</v>
      </c>
      <c r="L4863" s="151" t="s">
        <v>9021</v>
      </c>
    </row>
    <row r="4864" spans="8:12" x14ac:dyDescent="0.25">
      <c r="H4864" s="151" t="s">
        <v>5753</v>
      </c>
      <c r="I4864" s="151" t="s">
        <v>391</v>
      </c>
      <c r="J4864" s="151" t="s">
        <v>8867</v>
      </c>
      <c r="K4864" s="151">
        <f t="shared" si="105"/>
        <v>650000000002109</v>
      </c>
      <c r="L4864" s="151" t="s">
        <v>9021</v>
      </c>
    </row>
    <row r="4865" spans="8:12" x14ac:dyDescent="0.25">
      <c r="H4865" s="151" t="s">
        <v>5754</v>
      </c>
      <c r="I4865" s="151" t="s">
        <v>6962</v>
      </c>
      <c r="J4865" s="151" t="s">
        <v>6962</v>
      </c>
      <c r="K4865" s="151">
        <f t="shared" si="105"/>
        <v>0</v>
      </c>
      <c r="L4865" s="151" t="s">
        <v>9021</v>
      </c>
    </row>
    <row r="4866" spans="8:12" x14ac:dyDescent="0.25">
      <c r="H4866" s="151" t="s">
        <v>5754</v>
      </c>
      <c r="I4866" s="151" t="s">
        <v>391</v>
      </c>
      <c r="J4866" s="151" t="s">
        <v>8868</v>
      </c>
      <c r="K4866" s="151">
        <f t="shared" si="105"/>
        <v>650000000002110</v>
      </c>
      <c r="L4866" s="151" t="s">
        <v>9021</v>
      </c>
    </row>
    <row r="4867" spans="8:12" x14ac:dyDescent="0.25">
      <c r="H4867" s="151" t="s">
        <v>5755</v>
      </c>
      <c r="I4867" s="151" t="s">
        <v>6962</v>
      </c>
      <c r="J4867" s="151" t="s">
        <v>6962</v>
      </c>
      <c r="K4867" s="151">
        <f t="shared" ref="K4867:K4930" si="106">+IFERROR(J4867*1,0)</f>
        <v>0</v>
      </c>
      <c r="L4867" s="151" t="s">
        <v>9021</v>
      </c>
    </row>
    <row r="4868" spans="8:12" x14ac:dyDescent="0.25">
      <c r="H4868" s="151" t="s">
        <v>5755</v>
      </c>
      <c r="I4868" s="151" t="s">
        <v>391</v>
      </c>
      <c r="J4868" s="151" t="s">
        <v>8869</v>
      </c>
      <c r="K4868" s="151">
        <f t="shared" si="106"/>
        <v>650000000001370</v>
      </c>
      <c r="L4868" s="151" t="s">
        <v>9021</v>
      </c>
    </row>
    <row r="4869" spans="8:12" x14ac:dyDescent="0.25">
      <c r="H4869" s="151" t="s">
        <v>5756</v>
      </c>
      <c r="I4869" s="151" t="s">
        <v>6962</v>
      </c>
      <c r="J4869" s="151" t="s">
        <v>6962</v>
      </c>
      <c r="K4869" s="151">
        <f t="shared" si="106"/>
        <v>0</v>
      </c>
      <c r="L4869" s="151" t="s">
        <v>9021</v>
      </c>
    </row>
    <row r="4870" spans="8:12" x14ac:dyDescent="0.25">
      <c r="H4870" s="151" t="s">
        <v>5756</v>
      </c>
      <c r="I4870" s="151" t="s">
        <v>391</v>
      </c>
      <c r="J4870" s="151" t="s">
        <v>8870</v>
      </c>
      <c r="K4870" s="151">
        <f t="shared" si="106"/>
        <v>650000000001371</v>
      </c>
      <c r="L4870" s="151" t="s">
        <v>9021</v>
      </c>
    </row>
    <row r="4871" spans="8:12" x14ac:dyDescent="0.25">
      <c r="H4871" s="151" t="s">
        <v>5757</v>
      </c>
      <c r="I4871" s="151" t="s">
        <v>6962</v>
      </c>
      <c r="J4871" s="151" t="s">
        <v>6962</v>
      </c>
      <c r="K4871" s="151">
        <f t="shared" si="106"/>
        <v>0</v>
      </c>
      <c r="L4871" s="151" t="s">
        <v>9021</v>
      </c>
    </row>
    <row r="4872" spans="8:12" x14ac:dyDescent="0.25">
      <c r="H4872" s="151" t="s">
        <v>5757</v>
      </c>
      <c r="I4872" s="151" t="s">
        <v>391</v>
      </c>
      <c r="J4872" s="151" t="s">
        <v>8871</v>
      </c>
      <c r="K4872" s="151">
        <f t="shared" si="106"/>
        <v>650000000001372</v>
      </c>
      <c r="L4872" s="151" t="s">
        <v>9021</v>
      </c>
    </row>
    <row r="4873" spans="8:12" x14ac:dyDescent="0.25">
      <c r="H4873" s="151" t="s">
        <v>5758</v>
      </c>
      <c r="I4873" s="151" t="s">
        <v>6962</v>
      </c>
      <c r="J4873" s="151" t="s">
        <v>6962</v>
      </c>
      <c r="K4873" s="151">
        <f t="shared" si="106"/>
        <v>0</v>
      </c>
      <c r="L4873" s="151" t="s">
        <v>9021</v>
      </c>
    </row>
    <row r="4874" spans="8:12" x14ac:dyDescent="0.25">
      <c r="H4874" s="151" t="s">
        <v>5758</v>
      </c>
      <c r="I4874" s="151" t="s">
        <v>391</v>
      </c>
      <c r="J4874" s="151" t="s">
        <v>8872</v>
      </c>
      <c r="K4874" s="151">
        <f t="shared" si="106"/>
        <v>650000000001373</v>
      </c>
      <c r="L4874" s="151" t="s">
        <v>9021</v>
      </c>
    </row>
    <row r="4875" spans="8:12" x14ac:dyDescent="0.25">
      <c r="H4875" s="151" t="s">
        <v>5759</v>
      </c>
      <c r="I4875" s="151" t="s">
        <v>6962</v>
      </c>
      <c r="J4875" s="151" t="s">
        <v>6962</v>
      </c>
      <c r="K4875" s="151">
        <f t="shared" si="106"/>
        <v>0</v>
      </c>
      <c r="L4875" s="151" t="s">
        <v>9021</v>
      </c>
    </row>
    <row r="4876" spans="8:12" x14ac:dyDescent="0.25">
      <c r="H4876" s="151" t="s">
        <v>5759</v>
      </c>
      <c r="I4876" s="151" t="s">
        <v>391</v>
      </c>
      <c r="J4876" s="151" t="s">
        <v>8873</v>
      </c>
      <c r="K4876" s="151">
        <f t="shared" si="106"/>
        <v>650000000002111</v>
      </c>
      <c r="L4876" s="151" t="s">
        <v>9021</v>
      </c>
    </row>
    <row r="4877" spans="8:12" x14ac:dyDescent="0.25">
      <c r="H4877" s="151" t="s">
        <v>5760</v>
      </c>
      <c r="I4877" s="151" t="s">
        <v>6962</v>
      </c>
      <c r="J4877" s="151" t="s">
        <v>6962</v>
      </c>
      <c r="K4877" s="151">
        <f t="shared" si="106"/>
        <v>0</v>
      </c>
      <c r="L4877" s="151" t="s">
        <v>9021</v>
      </c>
    </row>
    <row r="4878" spans="8:12" x14ac:dyDescent="0.25">
      <c r="H4878" s="151" t="s">
        <v>5760</v>
      </c>
      <c r="I4878" s="151" t="s">
        <v>391</v>
      </c>
      <c r="J4878" s="151" t="s">
        <v>8874</v>
      </c>
      <c r="K4878" s="151">
        <f t="shared" si="106"/>
        <v>650000000001374</v>
      </c>
      <c r="L4878" s="151" t="s">
        <v>9021</v>
      </c>
    </row>
    <row r="4879" spans="8:12" x14ac:dyDescent="0.25">
      <c r="H4879" s="151" t="s">
        <v>5761</v>
      </c>
      <c r="I4879" s="151" t="s">
        <v>6962</v>
      </c>
      <c r="J4879" s="151" t="s">
        <v>6962</v>
      </c>
      <c r="K4879" s="151">
        <f t="shared" si="106"/>
        <v>0</v>
      </c>
      <c r="L4879" s="151" t="s">
        <v>9026</v>
      </c>
    </row>
    <row r="4880" spans="8:12" x14ac:dyDescent="0.25">
      <c r="H4880" s="151" t="s">
        <v>5761</v>
      </c>
      <c r="I4880" s="151" t="s">
        <v>391</v>
      </c>
      <c r="J4880" s="151" t="s">
        <v>8875</v>
      </c>
      <c r="K4880" s="151">
        <f t="shared" si="106"/>
        <v>650000000002112</v>
      </c>
      <c r="L4880" s="151" t="s">
        <v>9026</v>
      </c>
    </row>
    <row r="4881" spans="8:12" x14ac:dyDescent="0.25">
      <c r="H4881" s="151" t="s">
        <v>5762</v>
      </c>
      <c r="I4881" s="151" t="s">
        <v>6962</v>
      </c>
      <c r="J4881" s="151" t="s">
        <v>6962</v>
      </c>
      <c r="K4881" s="151">
        <f t="shared" si="106"/>
        <v>0</v>
      </c>
      <c r="L4881" s="151" t="s">
        <v>9021</v>
      </c>
    </row>
    <row r="4882" spans="8:12" x14ac:dyDescent="0.25">
      <c r="H4882" s="151" t="s">
        <v>5762</v>
      </c>
      <c r="I4882" s="151" t="s">
        <v>391</v>
      </c>
      <c r="J4882" s="151" t="s">
        <v>8876</v>
      </c>
      <c r="K4882" s="151">
        <f t="shared" si="106"/>
        <v>650000000002113</v>
      </c>
      <c r="L4882" s="151" t="s">
        <v>9021</v>
      </c>
    </row>
    <row r="4883" spans="8:12" x14ac:dyDescent="0.25">
      <c r="H4883" s="151" t="s">
        <v>5763</v>
      </c>
      <c r="I4883" s="151" t="s">
        <v>6962</v>
      </c>
      <c r="J4883" s="151" t="s">
        <v>6962</v>
      </c>
      <c r="K4883" s="151">
        <f t="shared" si="106"/>
        <v>0</v>
      </c>
      <c r="L4883" s="151" t="s">
        <v>9021</v>
      </c>
    </row>
    <row r="4884" spans="8:12" x14ac:dyDescent="0.25">
      <c r="H4884" s="151" t="s">
        <v>5763</v>
      </c>
      <c r="I4884" s="151" t="s">
        <v>391</v>
      </c>
      <c r="J4884" s="151" t="s">
        <v>8877</v>
      </c>
      <c r="K4884" s="151">
        <f t="shared" si="106"/>
        <v>650000000001375</v>
      </c>
      <c r="L4884" s="151" t="s">
        <v>9021</v>
      </c>
    </row>
    <row r="4885" spans="8:12" x14ac:dyDescent="0.25">
      <c r="H4885" s="151" t="s">
        <v>5764</v>
      </c>
      <c r="I4885" s="151" t="s">
        <v>6962</v>
      </c>
      <c r="J4885" s="151" t="s">
        <v>6962</v>
      </c>
      <c r="K4885" s="151">
        <f t="shared" si="106"/>
        <v>0</v>
      </c>
      <c r="L4885" s="151" t="s">
        <v>9021</v>
      </c>
    </row>
    <row r="4886" spans="8:12" x14ac:dyDescent="0.25">
      <c r="H4886" s="151" t="s">
        <v>5764</v>
      </c>
      <c r="I4886" s="151" t="s">
        <v>391</v>
      </c>
      <c r="J4886" s="151" t="s">
        <v>8878</v>
      </c>
      <c r="K4886" s="151">
        <f t="shared" si="106"/>
        <v>650000000002114</v>
      </c>
      <c r="L4886" s="151" t="s">
        <v>9021</v>
      </c>
    </row>
    <row r="4887" spans="8:12" x14ac:dyDescent="0.25">
      <c r="H4887" s="151" t="s">
        <v>5765</v>
      </c>
      <c r="I4887" s="151" t="s">
        <v>6962</v>
      </c>
      <c r="J4887" s="151" t="s">
        <v>6962</v>
      </c>
      <c r="K4887" s="151">
        <f t="shared" si="106"/>
        <v>0</v>
      </c>
      <c r="L4887" s="151" t="s">
        <v>9021</v>
      </c>
    </row>
    <row r="4888" spans="8:12" x14ac:dyDescent="0.25">
      <c r="H4888" s="151" t="s">
        <v>5765</v>
      </c>
      <c r="I4888" s="151" t="s">
        <v>391</v>
      </c>
      <c r="J4888" s="151" t="s">
        <v>8879</v>
      </c>
      <c r="K4888" s="151">
        <f t="shared" si="106"/>
        <v>650000000001376</v>
      </c>
      <c r="L4888" s="151" t="s">
        <v>9021</v>
      </c>
    </row>
    <row r="4889" spans="8:12" x14ac:dyDescent="0.25">
      <c r="H4889" s="151" t="s">
        <v>5766</v>
      </c>
      <c r="I4889" s="151" t="s">
        <v>6962</v>
      </c>
      <c r="J4889" s="151" t="s">
        <v>6962</v>
      </c>
      <c r="K4889" s="151">
        <f t="shared" si="106"/>
        <v>0</v>
      </c>
      <c r="L4889" s="151" t="s">
        <v>9021</v>
      </c>
    </row>
    <row r="4890" spans="8:12" x14ac:dyDescent="0.25">
      <c r="H4890" s="151" t="s">
        <v>5766</v>
      </c>
      <c r="I4890" s="151" t="s">
        <v>391</v>
      </c>
      <c r="J4890" s="151" t="s">
        <v>8880</v>
      </c>
      <c r="K4890" s="151">
        <f t="shared" si="106"/>
        <v>650000000002115</v>
      </c>
      <c r="L4890" s="151" t="s">
        <v>9021</v>
      </c>
    </row>
    <row r="4891" spans="8:12" x14ac:dyDescent="0.25">
      <c r="H4891" s="151" t="s">
        <v>5767</v>
      </c>
      <c r="I4891" s="151" t="s">
        <v>6962</v>
      </c>
      <c r="J4891" s="151" t="s">
        <v>6962</v>
      </c>
      <c r="K4891" s="151">
        <f t="shared" si="106"/>
        <v>0</v>
      </c>
      <c r="L4891" s="151" t="s">
        <v>9021</v>
      </c>
    </row>
    <row r="4892" spans="8:12" x14ac:dyDescent="0.25">
      <c r="H4892" s="151" t="s">
        <v>5767</v>
      </c>
      <c r="I4892" s="151" t="s">
        <v>391</v>
      </c>
      <c r="J4892" s="151" t="s">
        <v>8881</v>
      </c>
      <c r="K4892" s="151">
        <f t="shared" si="106"/>
        <v>650000000002116</v>
      </c>
      <c r="L4892" s="151" t="s">
        <v>9021</v>
      </c>
    </row>
    <row r="4893" spans="8:12" x14ac:dyDescent="0.25">
      <c r="H4893" s="151" t="s">
        <v>5768</v>
      </c>
      <c r="I4893" s="151" t="s">
        <v>6962</v>
      </c>
      <c r="J4893" s="151" t="s">
        <v>6962</v>
      </c>
      <c r="K4893" s="151">
        <f t="shared" si="106"/>
        <v>0</v>
      </c>
      <c r="L4893" s="151" t="s">
        <v>9021</v>
      </c>
    </row>
    <row r="4894" spans="8:12" x14ac:dyDescent="0.25">
      <c r="H4894" s="151" t="s">
        <v>5768</v>
      </c>
      <c r="I4894" s="151" t="s">
        <v>391</v>
      </c>
      <c r="J4894" s="151" t="s">
        <v>8882</v>
      </c>
      <c r="K4894" s="151">
        <f t="shared" si="106"/>
        <v>650000000001377</v>
      </c>
      <c r="L4894" s="151" t="s">
        <v>9021</v>
      </c>
    </row>
    <row r="4895" spans="8:12" x14ac:dyDescent="0.25">
      <c r="H4895" s="151" t="s">
        <v>5769</v>
      </c>
      <c r="I4895" s="151" t="s">
        <v>6962</v>
      </c>
      <c r="J4895" s="151" t="s">
        <v>6962</v>
      </c>
      <c r="K4895" s="151">
        <f t="shared" si="106"/>
        <v>0</v>
      </c>
      <c r="L4895" s="151" t="s">
        <v>9021</v>
      </c>
    </row>
    <row r="4896" spans="8:12" x14ac:dyDescent="0.25">
      <c r="H4896" s="151" t="s">
        <v>5769</v>
      </c>
      <c r="I4896" s="151" t="s">
        <v>391</v>
      </c>
      <c r="J4896" s="151" t="s">
        <v>8883</v>
      </c>
      <c r="K4896" s="151">
        <f t="shared" si="106"/>
        <v>650000000001378</v>
      </c>
      <c r="L4896" s="151" t="s">
        <v>9021</v>
      </c>
    </row>
    <row r="4897" spans="8:12" x14ac:dyDescent="0.25">
      <c r="H4897" s="151" t="s">
        <v>6948</v>
      </c>
      <c r="I4897" s="151" t="s">
        <v>6962</v>
      </c>
      <c r="J4897" s="151" t="s">
        <v>6962</v>
      </c>
      <c r="K4897" s="151">
        <f t="shared" si="106"/>
        <v>0</v>
      </c>
      <c r="L4897" s="151" t="s">
        <v>9021</v>
      </c>
    </row>
    <row r="4898" spans="8:12" x14ac:dyDescent="0.25">
      <c r="H4898" s="151" t="s">
        <v>5770</v>
      </c>
      <c r="I4898" s="151" t="s">
        <v>6962</v>
      </c>
      <c r="J4898" s="151" t="s">
        <v>6962</v>
      </c>
      <c r="K4898" s="151">
        <f t="shared" si="106"/>
        <v>0</v>
      </c>
      <c r="L4898" s="151" t="s">
        <v>9021</v>
      </c>
    </row>
    <row r="4899" spans="8:12" x14ac:dyDescent="0.25">
      <c r="H4899" s="151" t="s">
        <v>5770</v>
      </c>
      <c r="I4899" s="151" t="s">
        <v>391</v>
      </c>
      <c r="J4899" s="151" t="s">
        <v>8884</v>
      </c>
      <c r="K4899" s="151">
        <f t="shared" si="106"/>
        <v>650000000001379</v>
      </c>
      <c r="L4899" s="151" t="s">
        <v>9021</v>
      </c>
    </row>
    <row r="4900" spans="8:12" x14ac:dyDescent="0.25">
      <c r="H4900" s="151" t="s">
        <v>5771</v>
      </c>
      <c r="I4900" s="151" t="s">
        <v>6962</v>
      </c>
      <c r="J4900" s="151" t="s">
        <v>6962</v>
      </c>
      <c r="K4900" s="151">
        <f t="shared" si="106"/>
        <v>0</v>
      </c>
      <c r="L4900" s="151" t="s">
        <v>9021</v>
      </c>
    </row>
    <row r="4901" spans="8:12" x14ac:dyDescent="0.25">
      <c r="H4901" s="151" t="s">
        <v>5771</v>
      </c>
      <c r="I4901" s="151" t="s">
        <v>391</v>
      </c>
      <c r="J4901" s="151" t="s">
        <v>8885</v>
      </c>
      <c r="K4901" s="151">
        <f t="shared" si="106"/>
        <v>650000000001380</v>
      </c>
      <c r="L4901" s="151" t="s">
        <v>9021</v>
      </c>
    </row>
    <row r="4902" spans="8:12" x14ac:dyDescent="0.25">
      <c r="H4902" s="151" t="s">
        <v>5772</v>
      </c>
      <c r="I4902" s="151" t="s">
        <v>6962</v>
      </c>
      <c r="J4902" s="151" t="s">
        <v>6962</v>
      </c>
      <c r="K4902" s="151">
        <f t="shared" si="106"/>
        <v>0</v>
      </c>
      <c r="L4902" s="151" t="s">
        <v>9021</v>
      </c>
    </row>
    <row r="4903" spans="8:12" x14ac:dyDescent="0.25">
      <c r="H4903" s="151" t="s">
        <v>5772</v>
      </c>
      <c r="I4903" s="151" t="s">
        <v>391</v>
      </c>
      <c r="J4903" s="151" t="s">
        <v>8886</v>
      </c>
      <c r="K4903" s="151">
        <f t="shared" si="106"/>
        <v>650000000002117</v>
      </c>
      <c r="L4903" s="151" t="s">
        <v>9021</v>
      </c>
    </row>
    <row r="4904" spans="8:12" x14ac:dyDescent="0.25">
      <c r="H4904" s="151" t="s">
        <v>5773</v>
      </c>
      <c r="I4904" s="151" t="s">
        <v>6962</v>
      </c>
      <c r="J4904" s="151" t="s">
        <v>6962</v>
      </c>
      <c r="K4904" s="151">
        <f t="shared" si="106"/>
        <v>0</v>
      </c>
      <c r="L4904" s="151" t="s">
        <v>9021</v>
      </c>
    </row>
    <row r="4905" spans="8:12" x14ac:dyDescent="0.25">
      <c r="H4905" s="151" t="s">
        <v>5773</v>
      </c>
      <c r="I4905" s="151" t="s">
        <v>391</v>
      </c>
      <c r="J4905" s="151" t="s">
        <v>8887</v>
      </c>
      <c r="K4905" s="151">
        <f t="shared" si="106"/>
        <v>650000000001381</v>
      </c>
      <c r="L4905" s="151" t="s">
        <v>9021</v>
      </c>
    </row>
    <row r="4906" spans="8:12" x14ac:dyDescent="0.25">
      <c r="H4906" s="151" t="s">
        <v>5774</v>
      </c>
      <c r="I4906" s="151" t="s">
        <v>6962</v>
      </c>
      <c r="J4906" s="151" t="s">
        <v>6962</v>
      </c>
      <c r="K4906" s="151">
        <f t="shared" si="106"/>
        <v>0</v>
      </c>
      <c r="L4906" s="151" t="s">
        <v>9021</v>
      </c>
    </row>
    <row r="4907" spans="8:12" x14ac:dyDescent="0.25">
      <c r="H4907" s="151" t="s">
        <v>5774</v>
      </c>
      <c r="I4907" s="151" t="s">
        <v>391</v>
      </c>
      <c r="J4907" s="151" t="s">
        <v>8888</v>
      </c>
      <c r="K4907" s="151">
        <f t="shared" si="106"/>
        <v>650000000001382</v>
      </c>
      <c r="L4907" s="151" t="s">
        <v>9021</v>
      </c>
    </row>
    <row r="4908" spans="8:12" x14ac:dyDescent="0.25">
      <c r="H4908" s="151" t="s">
        <v>5775</v>
      </c>
      <c r="I4908" s="151" t="s">
        <v>6962</v>
      </c>
      <c r="J4908" s="151" t="s">
        <v>6962</v>
      </c>
      <c r="K4908" s="151">
        <f t="shared" si="106"/>
        <v>0</v>
      </c>
      <c r="L4908" s="151" t="s">
        <v>9021</v>
      </c>
    </row>
    <row r="4909" spans="8:12" x14ac:dyDescent="0.25">
      <c r="H4909" s="151" t="s">
        <v>5775</v>
      </c>
      <c r="I4909" s="151" t="s">
        <v>391</v>
      </c>
      <c r="J4909" s="151" t="s">
        <v>8889</v>
      </c>
      <c r="K4909" s="151">
        <f t="shared" si="106"/>
        <v>650000000001383</v>
      </c>
      <c r="L4909" s="151" t="s">
        <v>9021</v>
      </c>
    </row>
    <row r="4910" spans="8:12" x14ac:dyDescent="0.25">
      <c r="H4910" s="151" t="s">
        <v>5776</v>
      </c>
      <c r="I4910" s="151" t="s">
        <v>6962</v>
      </c>
      <c r="J4910" s="151" t="s">
        <v>6962</v>
      </c>
      <c r="K4910" s="151">
        <f t="shared" si="106"/>
        <v>0</v>
      </c>
      <c r="L4910" s="151" t="s">
        <v>9021</v>
      </c>
    </row>
    <row r="4911" spans="8:12" x14ac:dyDescent="0.25">
      <c r="H4911" s="151" t="s">
        <v>5776</v>
      </c>
      <c r="I4911" s="151" t="s">
        <v>391</v>
      </c>
      <c r="J4911" s="151" t="s">
        <v>8890</v>
      </c>
      <c r="K4911" s="151">
        <f t="shared" si="106"/>
        <v>650000000001384</v>
      </c>
      <c r="L4911" s="151" t="s">
        <v>9021</v>
      </c>
    </row>
    <row r="4912" spans="8:12" x14ac:dyDescent="0.25">
      <c r="H4912" s="151" t="s">
        <v>5777</v>
      </c>
      <c r="I4912" s="151" t="s">
        <v>6962</v>
      </c>
      <c r="J4912" s="151" t="s">
        <v>6962</v>
      </c>
      <c r="K4912" s="151">
        <f t="shared" si="106"/>
        <v>0</v>
      </c>
      <c r="L4912" s="151" t="s">
        <v>9022</v>
      </c>
    </row>
    <row r="4913" spans="8:12" x14ac:dyDescent="0.25">
      <c r="H4913" s="151" t="s">
        <v>5777</v>
      </c>
      <c r="I4913" s="151" t="s">
        <v>391</v>
      </c>
      <c r="J4913" s="151" t="s">
        <v>8891</v>
      </c>
      <c r="K4913" s="151">
        <f t="shared" si="106"/>
        <v>650000000001385</v>
      </c>
      <c r="L4913" s="151" t="s">
        <v>9022</v>
      </c>
    </row>
    <row r="4914" spans="8:12" x14ac:dyDescent="0.25">
      <c r="H4914" s="151" t="s">
        <v>5778</v>
      </c>
      <c r="I4914" s="151" t="s">
        <v>6962</v>
      </c>
      <c r="J4914" s="151" t="s">
        <v>6962</v>
      </c>
      <c r="K4914" s="151">
        <f t="shared" si="106"/>
        <v>0</v>
      </c>
      <c r="L4914" s="151" t="s">
        <v>9021</v>
      </c>
    </row>
    <row r="4915" spans="8:12" x14ac:dyDescent="0.25">
      <c r="H4915" s="151" t="s">
        <v>5778</v>
      </c>
      <c r="I4915" s="151" t="s">
        <v>391</v>
      </c>
      <c r="J4915" s="151" t="s">
        <v>8892</v>
      </c>
      <c r="K4915" s="151">
        <f t="shared" si="106"/>
        <v>650000000002118</v>
      </c>
      <c r="L4915" s="151" t="s">
        <v>9021</v>
      </c>
    </row>
    <row r="4916" spans="8:12" x14ac:dyDescent="0.25">
      <c r="H4916" s="151" t="s">
        <v>5779</v>
      </c>
      <c r="I4916" s="151" t="s">
        <v>6962</v>
      </c>
      <c r="J4916" s="151" t="s">
        <v>6962</v>
      </c>
      <c r="K4916" s="151">
        <f t="shared" si="106"/>
        <v>0</v>
      </c>
      <c r="L4916" s="151" t="s">
        <v>9021</v>
      </c>
    </row>
    <row r="4917" spans="8:12" x14ac:dyDescent="0.25">
      <c r="H4917" s="151" t="s">
        <v>5779</v>
      </c>
      <c r="I4917" s="151" t="s">
        <v>391</v>
      </c>
      <c r="J4917" s="151" t="s">
        <v>8893</v>
      </c>
      <c r="K4917" s="151">
        <f t="shared" si="106"/>
        <v>650000000002119</v>
      </c>
      <c r="L4917" s="151" t="s">
        <v>9021</v>
      </c>
    </row>
    <row r="4918" spans="8:12" x14ac:dyDescent="0.25">
      <c r="H4918" s="151" t="s">
        <v>5780</v>
      </c>
      <c r="I4918" s="151" t="s">
        <v>6962</v>
      </c>
      <c r="J4918" s="151" t="s">
        <v>6962</v>
      </c>
      <c r="K4918" s="151">
        <f t="shared" si="106"/>
        <v>0</v>
      </c>
      <c r="L4918" s="151" t="s">
        <v>9021</v>
      </c>
    </row>
    <row r="4919" spans="8:12" x14ac:dyDescent="0.25">
      <c r="H4919" s="151" t="s">
        <v>5780</v>
      </c>
      <c r="I4919" s="151" t="s">
        <v>391</v>
      </c>
      <c r="J4919" s="151" t="s">
        <v>8894</v>
      </c>
      <c r="K4919" s="151">
        <f t="shared" si="106"/>
        <v>650000000001386</v>
      </c>
      <c r="L4919" s="151" t="s">
        <v>9021</v>
      </c>
    </row>
    <row r="4920" spans="8:12" x14ac:dyDescent="0.25">
      <c r="H4920" s="151" t="s">
        <v>5781</v>
      </c>
      <c r="I4920" s="151" t="s">
        <v>6962</v>
      </c>
      <c r="J4920" s="151" t="s">
        <v>6962</v>
      </c>
      <c r="K4920" s="151">
        <f t="shared" si="106"/>
        <v>0</v>
      </c>
      <c r="L4920" s="151" t="s">
        <v>9021</v>
      </c>
    </row>
    <row r="4921" spans="8:12" x14ac:dyDescent="0.25">
      <c r="H4921" s="151" t="s">
        <v>5781</v>
      </c>
      <c r="I4921" s="151" t="s">
        <v>391</v>
      </c>
      <c r="J4921" s="151" t="s">
        <v>8895</v>
      </c>
      <c r="K4921" s="151">
        <f t="shared" si="106"/>
        <v>650000000001387</v>
      </c>
      <c r="L4921" s="151" t="s">
        <v>9021</v>
      </c>
    </row>
    <row r="4922" spans="8:12" x14ac:dyDescent="0.25">
      <c r="H4922" s="151" t="s">
        <v>5782</v>
      </c>
      <c r="I4922" s="151" t="s">
        <v>6962</v>
      </c>
      <c r="J4922" s="151" t="s">
        <v>6962</v>
      </c>
      <c r="K4922" s="151">
        <f t="shared" si="106"/>
        <v>0</v>
      </c>
      <c r="L4922" s="151" t="s">
        <v>9021</v>
      </c>
    </row>
    <row r="4923" spans="8:12" x14ac:dyDescent="0.25">
      <c r="H4923" s="151" t="s">
        <v>5782</v>
      </c>
      <c r="I4923" s="151" t="s">
        <v>391</v>
      </c>
      <c r="J4923" s="151" t="s">
        <v>8896</v>
      </c>
      <c r="K4923" s="151">
        <f t="shared" si="106"/>
        <v>650000000002120</v>
      </c>
      <c r="L4923" s="151" t="s">
        <v>9021</v>
      </c>
    </row>
    <row r="4924" spans="8:12" x14ac:dyDescent="0.25">
      <c r="H4924" s="151" t="s">
        <v>5783</v>
      </c>
      <c r="I4924" s="151" t="s">
        <v>6962</v>
      </c>
      <c r="J4924" s="151" t="s">
        <v>6962</v>
      </c>
      <c r="K4924" s="151">
        <f t="shared" si="106"/>
        <v>0</v>
      </c>
      <c r="L4924" s="151" t="s">
        <v>9021</v>
      </c>
    </row>
    <row r="4925" spans="8:12" x14ac:dyDescent="0.25">
      <c r="H4925" s="151" t="s">
        <v>5783</v>
      </c>
      <c r="I4925" s="151" t="s">
        <v>391</v>
      </c>
      <c r="J4925" s="151" t="s">
        <v>8897</v>
      </c>
      <c r="K4925" s="151">
        <f t="shared" si="106"/>
        <v>650000000001388</v>
      </c>
      <c r="L4925" s="151" t="s">
        <v>9021</v>
      </c>
    </row>
    <row r="4926" spans="8:12" x14ac:dyDescent="0.25">
      <c r="H4926" s="151" t="s">
        <v>5784</v>
      </c>
      <c r="I4926" s="151" t="s">
        <v>6962</v>
      </c>
      <c r="J4926" s="151" t="s">
        <v>6962</v>
      </c>
      <c r="K4926" s="151">
        <f t="shared" si="106"/>
        <v>0</v>
      </c>
      <c r="L4926" s="151" t="s">
        <v>9021</v>
      </c>
    </row>
    <row r="4927" spans="8:12" x14ac:dyDescent="0.25">
      <c r="H4927" s="151" t="s">
        <v>5784</v>
      </c>
      <c r="I4927" s="151" t="s">
        <v>391</v>
      </c>
      <c r="J4927" s="151" t="s">
        <v>8898</v>
      </c>
      <c r="K4927" s="151">
        <f t="shared" si="106"/>
        <v>650000000001389</v>
      </c>
      <c r="L4927" s="151" t="s">
        <v>9021</v>
      </c>
    </row>
    <row r="4928" spans="8:12" x14ac:dyDescent="0.25">
      <c r="H4928" s="151" t="s">
        <v>5785</v>
      </c>
      <c r="I4928" s="151" t="s">
        <v>6962</v>
      </c>
      <c r="J4928" s="151" t="s">
        <v>6962</v>
      </c>
      <c r="K4928" s="151">
        <f t="shared" si="106"/>
        <v>0</v>
      </c>
      <c r="L4928" s="151" t="s">
        <v>9021</v>
      </c>
    </row>
    <row r="4929" spans="8:12" x14ac:dyDescent="0.25">
      <c r="H4929" s="151" t="s">
        <v>5785</v>
      </c>
      <c r="I4929" s="151" t="s">
        <v>391</v>
      </c>
      <c r="J4929" s="151" t="s">
        <v>8899</v>
      </c>
      <c r="K4929" s="151">
        <f t="shared" si="106"/>
        <v>650000000002121</v>
      </c>
      <c r="L4929" s="151" t="s">
        <v>9021</v>
      </c>
    </row>
    <row r="4930" spans="8:12" x14ac:dyDescent="0.25">
      <c r="H4930" s="151" t="s">
        <v>5786</v>
      </c>
      <c r="I4930" s="151" t="s">
        <v>6962</v>
      </c>
      <c r="J4930" s="151" t="s">
        <v>6962</v>
      </c>
      <c r="K4930" s="151">
        <f t="shared" si="106"/>
        <v>0</v>
      </c>
      <c r="L4930" s="151" t="s">
        <v>9021</v>
      </c>
    </row>
    <row r="4931" spans="8:12" x14ac:dyDescent="0.25">
      <c r="H4931" s="151" t="s">
        <v>5786</v>
      </c>
      <c r="I4931" s="151" t="s">
        <v>391</v>
      </c>
      <c r="J4931" s="151" t="s">
        <v>8900</v>
      </c>
      <c r="K4931" s="151">
        <f t="shared" ref="K4931:K4994" si="107">+IFERROR(J4931*1,0)</f>
        <v>650000000001390</v>
      </c>
      <c r="L4931" s="151" t="s">
        <v>9021</v>
      </c>
    </row>
    <row r="4932" spans="8:12" x14ac:dyDescent="0.25">
      <c r="H4932" s="151" t="s">
        <v>5787</v>
      </c>
      <c r="I4932" s="151" t="s">
        <v>6962</v>
      </c>
      <c r="J4932" s="151" t="s">
        <v>6962</v>
      </c>
      <c r="K4932" s="151">
        <f t="shared" si="107"/>
        <v>0</v>
      </c>
      <c r="L4932" s="151" t="s">
        <v>9021</v>
      </c>
    </row>
    <row r="4933" spans="8:12" x14ac:dyDescent="0.25">
      <c r="H4933" s="151" t="s">
        <v>5787</v>
      </c>
      <c r="I4933" s="151" t="s">
        <v>391</v>
      </c>
      <c r="J4933" s="151" t="s">
        <v>8901</v>
      </c>
      <c r="K4933" s="151">
        <f t="shared" si="107"/>
        <v>650000000001391</v>
      </c>
      <c r="L4933" s="151" t="s">
        <v>9021</v>
      </c>
    </row>
    <row r="4934" spans="8:12" x14ac:dyDescent="0.25">
      <c r="H4934" s="151" t="s">
        <v>5788</v>
      </c>
      <c r="I4934" s="151" t="s">
        <v>6962</v>
      </c>
      <c r="J4934" s="151" t="s">
        <v>6962</v>
      </c>
      <c r="K4934" s="151">
        <f t="shared" si="107"/>
        <v>0</v>
      </c>
      <c r="L4934" s="151" t="s">
        <v>9021</v>
      </c>
    </row>
    <row r="4935" spans="8:12" x14ac:dyDescent="0.25">
      <c r="H4935" s="151" t="s">
        <v>5788</v>
      </c>
      <c r="I4935" s="151" t="s">
        <v>391</v>
      </c>
      <c r="J4935" s="151" t="s">
        <v>8902</v>
      </c>
      <c r="K4935" s="151">
        <f t="shared" si="107"/>
        <v>650000000001392</v>
      </c>
      <c r="L4935" s="151" t="s">
        <v>9021</v>
      </c>
    </row>
    <row r="4936" spans="8:12" x14ac:dyDescent="0.25">
      <c r="H4936" s="151" t="s">
        <v>5789</v>
      </c>
      <c r="I4936" s="151" t="s">
        <v>6962</v>
      </c>
      <c r="J4936" s="151" t="s">
        <v>6962</v>
      </c>
      <c r="K4936" s="151">
        <f t="shared" si="107"/>
        <v>0</v>
      </c>
      <c r="L4936" s="151" t="s">
        <v>9021</v>
      </c>
    </row>
    <row r="4937" spans="8:12" x14ac:dyDescent="0.25">
      <c r="H4937" s="151" t="s">
        <v>5789</v>
      </c>
      <c r="I4937" s="151" t="s">
        <v>391</v>
      </c>
      <c r="J4937" s="151" t="s">
        <v>8903</v>
      </c>
      <c r="K4937" s="151">
        <f t="shared" si="107"/>
        <v>650000000001393</v>
      </c>
      <c r="L4937" s="151" t="s">
        <v>9021</v>
      </c>
    </row>
    <row r="4938" spans="8:12" x14ac:dyDescent="0.25">
      <c r="H4938" s="151" t="s">
        <v>5790</v>
      </c>
      <c r="I4938" s="151" t="s">
        <v>6962</v>
      </c>
      <c r="J4938" s="151" t="s">
        <v>6962</v>
      </c>
      <c r="K4938" s="151">
        <f t="shared" si="107"/>
        <v>0</v>
      </c>
      <c r="L4938" s="151" t="s">
        <v>9021</v>
      </c>
    </row>
    <row r="4939" spans="8:12" x14ac:dyDescent="0.25">
      <c r="H4939" s="151" t="s">
        <v>5790</v>
      </c>
      <c r="I4939" s="151" t="s">
        <v>391</v>
      </c>
      <c r="J4939" s="151" t="s">
        <v>8904</v>
      </c>
      <c r="K4939" s="151">
        <f t="shared" si="107"/>
        <v>650000000001394</v>
      </c>
      <c r="L4939" s="151" t="s">
        <v>9021</v>
      </c>
    </row>
    <row r="4940" spans="8:12" x14ac:dyDescent="0.25">
      <c r="H4940" s="151" t="s">
        <v>5791</v>
      </c>
      <c r="I4940" s="151" t="s">
        <v>6962</v>
      </c>
      <c r="J4940" s="151" t="s">
        <v>6962</v>
      </c>
      <c r="K4940" s="151">
        <f t="shared" si="107"/>
        <v>0</v>
      </c>
      <c r="L4940" s="151" t="s">
        <v>9021</v>
      </c>
    </row>
    <row r="4941" spans="8:12" x14ac:dyDescent="0.25">
      <c r="H4941" s="151" t="s">
        <v>5791</v>
      </c>
      <c r="I4941" s="151" t="s">
        <v>391</v>
      </c>
      <c r="J4941" s="151" t="s">
        <v>8905</v>
      </c>
      <c r="K4941" s="151">
        <f t="shared" si="107"/>
        <v>650000000002122</v>
      </c>
      <c r="L4941" s="151" t="s">
        <v>9021</v>
      </c>
    </row>
    <row r="4942" spans="8:12" x14ac:dyDescent="0.25">
      <c r="H4942" s="151" t="s">
        <v>6949</v>
      </c>
      <c r="I4942" s="151" t="s">
        <v>6962</v>
      </c>
      <c r="J4942" s="151" t="s">
        <v>6962</v>
      </c>
      <c r="K4942" s="151">
        <f t="shared" si="107"/>
        <v>0</v>
      </c>
      <c r="L4942" s="151" t="s">
        <v>9021</v>
      </c>
    </row>
    <row r="4943" spans="8:12" x14ac:dyDescent="0.25">
      <c r="H4943" s="151" t="s">
        <v>5792</v>
      </c>
      <c r="I4943" s="151" t="s">
        <v>6962</v>
      </c>
      <c r="J4943" s="151" t="s">
        <v>6962</v>
      </c>
      <c r="K4943" s="151">
        <f t="shared" si="107"/>
        <v>0</v>
      </c>
      <c r="L4943" s="151" t="s">
        <v>9021</v>
      </c>
    </row>
    <row r="4944" spans="8:12" x14ac:dyDescent="0.25">
      <c r="H4944" s="151" t="s">
        <v>5792</v>
      </c>
      <c r="I4944" s="151" t="s">
        <v>391</v>
      </c>
      <c r="J4944" s="151" t="s">
        <v>8906</v>
      </c>
      <c r="K4944" s="151">
        <f t="shared" si="107"/>
        <v>650000000002123</v>
      </c>
      <c r="L4944" s="151" t="s">
        <v>9021</v>
      </c>
    </row>
    <row r="4945" spans="8:12" x14ac:dyDescent="0.25">
      <c r="H4945" s="151" t="s">
        <v>5793</v>
      </c>
      <c r="I4945" s="151" t="s">
        <v>6962</v>
      </c>
      <c r="J4945" s="151" t="s">
        <v>6962</v>
      </c>
      <c r="K4945" s="151">
        <f t="shared" si="107"/>
        <v>0</v>
      </c>
      <c r="L4945" s="151" t="s">
        <v>9021</v>
      </c>
    </row>
    <row r="4946" spans="8:12" x14ac:dyDescent="0.25">
      <c r="H4946" s="151" t="s">
        <v>5793</v>
      </c>
      <c r="I4946" s="151" t="s">
        <v>391</v>
      </c>
      <c r="J4946" s="151" t="s">
        <v>8907</v>
      </c>
      <c r="K4946" s="151">
        <f t="shared" si="107"/>
        <v>650000000001395</v>
      </c>
      <c r="L4946" s="151" t="s">
        <v>9021</v>
      </c>
    </row>
    <row r="4947" spans="8:12" x14ac:dyDescent="0.25">
      <c r="H4947" s="151" t="s">
        <v>5794</v>
      </c>
      <c r="I4947" s="151" t="s">
        <v>6962</v>
      </c>
      <c r="J4947" s="151" t="s">
        <v>6962</v>
      </c>
      <c r="K4947" s="151">
        <f t="shared" si="107"/>
        <v>0</v>
      </c>
      <c r="L4947" s="151" t="s">
        <v>9021</v>
      </c>
    </row>
    <row r="4948" spans="8:12" x14ac:dyDescent="0.25">
      <c r="H4948" s="151" t="s">
        <v>5794</v>
      </c>
      <c r="I4948" s="151" t="s">
        <v>391</v>
      </c>
      <c r="J4948" s="151" t="s">
        <v>8908</v>
      </c>
      <c r="K4948" s="151">
        <f t="shared" si="107"/>
        <v>650000000001396</v>
      </c>
      <c r="L4948" s="151" t="s">
        <v>9021</v>
      </c>
    </row>
    <row r="4949" spans="8:12" x14ac:dyDescent="0.25">
      <c r="H4949" s="151" t="s">
        <v>6950</v>
      </c>
      <c r="I4949" s="151" t="s">
        <v>6962</v>
      </c>
      <c r="J4949" s="151" t="s">
        <v>6962</v>
      </c>
      <c r="K4949" s="151">
        <f t="shared" si="107"/>
        <v>0</v>
      </c>
      <c r="L4949" s="151" t="s">
        <v>9021</v>
      </c>
    </row>
    <row r="4950" spans="8:12" x14ac:dyDescent="0.25">
      <c r="H4950" s="151" t="s">
        <v>5795</v>
      </c>
      <c r="I4950" s="151" t="s">
        <v>6962</v>
      </c>
      <c r="J4950" s="151" t="s">
        <v>6962</v>
      </c>
      <c r="K4950" s="151">
        <f t="shared" si="107"/>
        <v>0</v>
      </c>
      <c r="L4950" s="151" t="s">
        <v>9021</v>
      </c>
    </row>
    <row r="4951" spans="8:12" x14ac:dyDescent="0.25">
      <c r="H4951" s="151" t="s">
        <v>5795</v>
      </c>
      <c r="I4951" s="151" t="s">
        <v>391</v>
      </c>
      <c r="J4951" s="151" t="s">
        <v>8909</v>
      </c>
      <c r="K4951" s="151">
        <f t="shared" si="107"/>
        <v>650000000001397</v>
      </c>
      <c r="L4951" s="151" t="s">
        <v>9021</v>
      </c>
    </row>
    <row r="4952" spans="8:12" x14ac:dyDescent="0.25">
      <c r="H4952" s="151" t="s">
        <v>5796</v>
      </c>
      <c r="I4952" s="151" t="s">
        <v>6962</v>
      </c>
      <c r="J4952" s="151" t="s">
        <v>6962</v>
      </c>
      <c r="K4952" s="151">
        <f t="shared" si="107"/>
        <v>0</v>
      </c>
      <c r="L4952" s="151" t="s">
        <v>9021</v>
      </c>
    </row>
    <row r="4953" spans="8:12" x14ac:dyDescent="0.25">
      <c r="H4953" s="151" t="s">
        <v>5796</v>
      </c>
      <c r="I4953" s="151" t="s">
        <v>391</v>
      </c>
      <c r="J4953" s="151" t="s">
        <v>8910</v>
      </c>
      <c r="K4953" s="151">
        <f t="shared" si="107"/>
        <v>650000000001398</v>
      </c>
      <c r="L4953" s="151" t="s">
        <v>9021</v>
      </c>
    </row>
    <row r="4954" spans="8:12" x14ac:dyDescent="0.25">
      <c r="H4954" s="151" t="s">
        <v>5797</v>
      </c>
      <c r="I4954" s="151" t="s">
        <v>6962</v>
      </c>
      <c r="J4954" s="151" t="s">
        <v>6962</v>
      </c>
      <c r="K4954" s="151">
        <f t="shared" si="107"/>
        <v>0</v>
      </c>
      <c r="L4954" s="151" t="s">
        <v>9021</v>
      </c>
    </row>
    <row r="4955" spans="8:12" x14ac:dyDescent="0.25">
      <c r="H4955" s="151" t="s">
        <v>5797</v>
      </c>
      <c r="I4955" s="151" t="s">
        <v>391</v>
      </c>
      <c r="J4955" s="151" t="s">
        <v>8911</v>
      </c>
      <c r="K4955" s="151">
        <f t="shared" si="107"/>
        <v>650000000001399</v>
      </c>
      <c r="L4955" s="151" t="s">
        <v>9021</v>
      </c>
    </row>
    <row r="4956" spans="8:12" x14ac:dyDescent="0.25">
      <c r="H4956" s="151" t="s">
        <v>5798</v>
      </c>
      <c r="I4956" s="151" t="s">
        <v>6962</v>
      </c>
      <c r="J4956" s="151" t="s">
        <v>6962</v>
      </c>
      <c r="K4956" s="151">
        <f t="shared" si="107"/>
        <v>0</v>
      </c>
      <c r="L4956" s="151" t="s">
        <v>9021</v>
      </c>
    </row>
    <row r="4957" spans="8:12" x14ac:dyDescent="0.25">
      <c r="H4957" s="151" t="s">
        <v>5798</v>
      </c>
      <c r="I4957" s="151" t="s">
        <v>391</v>
      </c>
      <c r="J4957" s="151" t="s">
        <v>8912</v>
      </c>
      <c r="K4957" s="151">
        <f t="shared" si="107"/>
        <v>650000000002124</v>
      </c>
      <c r="L4957" s="151" t="s">
        <v>9021</v>
      </c>
    </row>
    <row r="4958" spans="8:12" x14ac:dyDescent="0.25">
      <c r="H4958" s="151" t="s">
        <v>5799</v>
      </c>
      <c r="I4958" s="151" t="s">
        <v>6962</v>
      </c>
      <c r="J4958" s="151" t="s">
        <v>6962</v>
      </c>
      <c r="K4958" s="151">
        <f t="shared" si="107"/>
        <v>0</v>
      </c>
      <c r="L4958" s="151" t="s">
        <v>9021</v>
      </c>
    </row>
    <row r="4959" spans="8:12" x14ac:dyDescent="0.25">
      <c r="H4959" s="151" t="s">
        <v>5799</v>
      </c>
      <c r="I4959" s="151" t="s">
        <v>391</v>
      </c>
      <c r="J4959" s="151" t="s">
        <v>8913</v>
      </c>
      <c r="K4959" s="151">
        <f t="shared" si="107"/>
        <v>650000000002125</v>
      </c>
      <c r="L4959" s="151" t="s">
        <v>9021</v>
      </c>
    </row>
    <row r="4960" spans="8:12" x14ac:dyDescent="0.25">
      <c r="H4960" s="151" t="s">
        <v>5800</v>
      </c>
      <c r="I4960" s="151" t="s">
        <v>6962</v>
      </c>
      <c r="J4960" s="151" t="s">
        <v>6962</v>
      </c>
      <c r="K4960" s="151">
        <f t="shared" si="107"/>
        <v>0</v>
      </c>
      <c r="L4960" s="151" t="s">
        <v>9021</v>
      </c>
    </row>
    <row r="4961" spans="8:12" x14ac:dyDescent="0.25">
      <c r="H4961" s="151" t="s">
        <v>5800</v>
      </c>
      <c r="I4961" s="151" t="s">
        <v>391</v>
      </c>
      <c r="J4961" s="151" t="s">
        <v>8914</v>
      </c>
      <c r="K4961" s="151">
        <f t="shared" si="107"/>
        <v>650000000001400</v>
      </c>
      <c r="L4961" s="151" t="s">
        <v>9021</v>
      </c>
    </row>
    <row r="4962" spans="8:12" x14ac:dyDescent="0.25">
      <c r="H4962" s="151" t="s">
        <v>5801</v>
      </c>
      <c r="I4962" s="151" t="s">
        <v>6962</v>
      </c>
      <c r="J4962" s="151" t="s">
        <v>6962</v>
      </c>
      <c r="K4962" s="151">
        <f t="shared" si="107"/>
        <v>0</v>
      </c>
      <c r="L4962" s="151" t="s">
        <v>9021</v>
      </c>
    </row>
    <row r="4963" spans="8:12" x14ac:dyDescent="0.25">
      <c r="H4963" s="151" t="s">
        <v>5801</v>
      </c>
      <c r="I4963" s="151" t="s">
        <v>391</v>
      </c>
      <c r="J4963" s="151" t="s">
        <v>8915</v>
      </c>
      <c r="K4963" s="151">
        <f t="shared" si="107"/>
        <v>650000000001401</v>
      </c>
      <c r="L4963" s="151" t="s">
        <v>9021</v>
      </c>
    </row>
    <row r="4964" spans="8:12" x14ac:dyDescent="0.25">
      <c r="H4964" s="151" t="s">
        <v>5802</v>
      </c>
      <c r="I4964" s="151" t="s">
        <v>6962</v>
      </c>
      <c r="J4964" s="151" t="s">
        <v>6962</v>
      </c>
      <c r="K4964" s="151">
        <f t="shared" si="107"/>
        <v>0</v>
      </c>
      <c r="L4964" s="151" t="s">
        <v>9021</v>
      </c>
    </row>
    <row r="4965" spans="8:12" x14ac:dyDescent="0.25">
      <c r="H4965" s="151" t="s">
        <v>5802</v>
      </c>
      <c r="I4965" s="151" t="s">
        <v>391</v>
      </c>
      <c r="J4965" s="151" t="s">
        <v>8916</v>
      </c>
      <c r="K4965" s="151">
        <f t="shared" si="107"/>
        <v>650000000001402</v>
      </c>
      <c r="L4965" s="151" t="s">
        <v>9021</v>
      </c>
    </row>
    <row r="4966" spans="8:12" x14ac:dyDescent="0.25">
      <c r="H4966" s="151" t="s">
        <v>6951</v>
      </c>
      <c r="I4966" s="151" t="s">
        <v>6962</v>
      </c>
      <c r="J4966" s="151" t="s">
        <v>6962</v>
      </c>
      <c r="K4966" s="151">
        <f t="shared" si="107"/>
        <v>0</v>
      </c>
      <c r="L4966" s="151" t="s">
        <v>9021</v>
      </c>
    </row>
    <row r="4967" spans="8:12" x14ac:dyDescent="0.25">
      <c r="H4967" s="151" t="s">
        <v>6952</v>
      </c>
      <c r="I4967" s="151" t="s">
        <v>6962</v>
      </c>
      <c r="J4967" s="151" t="s">
        <v>6962</v>
      </c>
      <c r="K4967" s="151">
        <f t="shared" si="107"/>
        <v>0</v>
      </c>
      <c r="L4967" s="151" t="s">
        <v>9021</v>
      </c>
    </row>
    <row r="4968" spans="8:12" x14ac:dyDescent="0.25">
      <c r="H4968" s="151" t="s">
        <v>5803</v>
      </c>
      <c r="I4968" s="151" t="s">
        <v>6962</v>
      </c>
      <c r="J4968" s="151" t="s">
        <v>6962</v>
      </c>
      <c r="K4968" s="151">
        <f t="shared" si="107"/>
        <v>0</v>
      </c>
      <c r="L4968" s="151" t="s">
        <v>9021</v>
      </c>
    </row>
    <row r="4969" spans="8:12" x14ac:dyDescent="0.25">
      <c r="H4969" s="151" t="s">
        <v>5803</v>
      </c>
      <c r="I4969" s="151" t="s">
        <v>391</v>
      </c>
      <c r="J4969" s="151" t="s">
        <v>8917</v>
      </c>
      <c r="K4969" s="151">
        <f t="shared" si="107"/>
        <v>650000000001403</v>
      </c>
      <c r="L4969" s="151" t="s">
        <v>9021</v>
      </c>
    </row>
    <row r="4970" spans="8:12" x14ac:dyDescent="0.25">
      <c r="H4970" s="151" t="s">
        <v>5804</v>
      </c>
      <c r="I4970" s="151" t="s">
        <v>6962</v>
      </c>
      <c r="J4970" s="151" t="s">
        <v>6962</v>
      </c>
      <c r="K4970" s="151">
        <f t="shared" si="107"/>
        <v>0</v>
      </c>
      <c r="L4970" s="151" t="s">
        <v>9021</v>
      </c>
    </row>
    <row r="4971" spans="8:12" x14ac:dyDescent="0.25">
      <c r="H4971" s="151" t="s">
        <v>5804</v>
      </c>
      <c r="I4971" s="151" t="s">
        <v>391</v>
      </c>
      <c r="J4971" s="151" t="s">
        <v>8918</v>
      </c>
      <c r="K4971" s="151">
        <f t="shared" si="107"/>
        <v>650000000002126</v>
      </c>
      <c r="L4971" s="151" t="s">
        <v>9021</v>
      </c>
    </row>
    <row r="4972" spans="8:12" x14ac:dyDescent="0.25">
      <c r="H4972" s="151" t="s">
        <v>5805</v>
      </c>
      <c r="I4972" s="151" t="s">
        <v>6962</v>
      </c>
      <c r="J4972" s="151" t="s">
        <v>6962</v>
      </c>
      <c r="K4972" s="151">
        <f t="shared" si="107"/>
        <v>0</v>
      </c>
      <c r="L4972" s="151" t="s">
        <v>9021</v>
      </c>
    </row>
    <row r="4973" spans="8:12" x14ac:dyDescent="0.25">
      <c r="H4973" s="151" t="s">
        <v>5805</v>
      </c>
      <c r="I4973" s="151" t="s">
        <v>391</v>
      </c>
      <c r="J4973" s="151" t="s">
        <v>8919</v>
      </c>
      <c r="K4973" s="151">
        <f t="shared" si="107"/>
        <v>650000000002127</v>
      </c>
      <c r="L4973" s="151" t="s">
        <v>9021</v>
      </c>
    </row>
    <row r="4974" spans="8:12" x14ac:dyDescent="0.25">
      <c r="H4974" s="151" t="s">
        <v>5806</v>
      </c>
      <c r="I4974" s="151" t="s">
        <v>6962</v>
      </c>
      <c r="J4974" s="151" t="s">
        <v>6962</v>
      </c>
      <c r="K4974" s="151">
        <f t="shared" si="107"/>
        <v>0</v>
      </c>
      <c r="L4974" s="151" t="s">
        <v>9021</v>
      </c>
    </row>
    <row r="4975" spans="8:12" x14ac:dyDescent="0.25">
      <c r="H4975" s="151" t="s">
        <v>5806</v>
      </c>
      <c r="I4975" s="151" t="s">
        <v>391</v>
      </c>
      <c r="J4975" s="151" t="s">
        <v>8920</v>
      </c>
      <c r="K4975" s="151">
        <f t="shared" si="107"/>
        <v>650000000001404</v>
      </c>
      <c r="L4975" s="151" t="s">
        <v>9021</v>
      </c>
    </row>
    <row r="4976" spans="8:12" x14ac:dyDescent="0.25">
      <c r="H4976" s="151" t="s">
        <v>5807</v>
      </c>
      <c r="I4976" s="151" t="s">
        <v>6962</v>
      </c>
      <c r="J4976" s="151" t="s">
        <v>6962</v>
      </c>
      <c r="K4976" s="151">
        <f t="shared" si="107"/>
        <v>0</v>
      </c>
      <c r="L4976" s="151" t="s">
        <v>9021</v>
      </c>
    </row>
    <row r="4977" spans="8:12" x14ac:dyDescent="0.25">
      <c r="H4977" s="151" t="s">
        <v>5807</v>
      </c>
      <c r="I4977" s="151" t="s">
        <v>391</v>
      </c>
      <c r="J4977" s="151" t="s">
        <v>8921</v>
      </c>
      <c r="K4977" s="151">
        <f t="shared" si="107"/>
        <v>650000000002128</v>
      </c>
      <c r="L4977" s="151" t="s">
        <v>9021</v>
      </c>
    </row>
    <row r="4978" spans="8:12" x14ac:dyDescent="0.25">
      <c r="H4978" s="151" t="s">
        <v>5808</v>
      </c>
      <c r="I4978" s="151" t="s">
        <v>6962</v>
      </c>
      <c r="J4978" s="151" t="s">
        <v>6962</v>
      </c>
      <c r="K4978" s="151">
        <f t="shared" si="107"/>
        <v>0</v>
      </c>
      <c r="L4978" s="151" t="s">
        <v>9021</v>
      </c>
    </row>
    <row r="4979" spans="8:12" x14ac:dyDescent="0.25">
      <c r="H4979" s="151" t="s">
        <v>5808</v>
      </c>
      <c r="I4979" s="151" t="s">
        <v>391</v>
      </c>
      <c r="J4979" s="151" t="s">
        <v>8922</v>
      </c>
      <c r="K4979" s="151">
        <f t="shared" si="107"/>
        <v>650000000001405</v>
      </c>
      <c r="L4979" s="151" t="s">
        <v>9021</v>
      </c>
    </row>
    <row r="4980" spans="8:12" x14ac:dyDescent="0.25">
      <c r="H4980" s="151" t="s">
        <v>5809</v>
      </c>
      <c r="I4980" s="151" t="s">
        <v>6962</v>
      </c>
      <c r="J4980" s="151" t="s">
        <v>6962</v>
      </c>
      <c r="K4980" s="151">
        <f t="shared" si="107"/>
        <v>0</v>
      </c>
      <c r="L4980" s="151" t="s">
        <v>9021</v>
      </c>
    </row>
    <row r="4981" spans="8:12" x14ac:dyDescent="0.25">
      <c r="H4981" s="151" t="s">
        <v>5809</v>
      </c>
      <c r="I4981" s="151" t="s">
        <v>391</v>
      </c>
      <c r="J4981" s="151" t="s">
        <v>8923</v>
      </c>
      <c r="K4981" s="151">
        <f t="shared" si="107"/>
        <v>650000000001406</v>
      </c>
      <c r="L4981" s="151" t="s">
        <v>9021</v>
      </c>
    </row>
    <row r="4982" spans="8:12" x14ac:dyDescent="0.25">
      <c r="H4982" s="151" t="s">
        <v>5810</v>
      </c>
      <c r="I4982" s="151" t="s">
        <v>6962</v>
      </c>
      <c r="J4982" s="151" t="s">
        <v>6962</v>
      </c>
      <c r="K4982" s="151">
        <f t="shared" si="107"/>
        <v>0</v>
      </c>
      <c r="L4982" s="151" t="s">
        <v>9021</v>
      </c>
    </row>
    <row r="4983" spans="8:12" x14ac:dyDescent="0.25">
      <c r="H4983" s="151" t="s">
        <v>5810</v>
      </c>
      <c r="I4983" s="151" t="s">
        <v>391</v>
      </c>
      <c r="J4983" s="151" t="s">
        <v>8924</v>
      </c>
      <c r="K4983" s="151">
        <f t="shared" si="107"/>
        <v>650000000001407</v>
      </c>
      <c r="L4983" s="151" t="s">
        <v>9021</v>
      </c>
    </row>
    <row r="4984" spans="8:12" x14ac:dyDescent="0.25">
      <c r="H4984" s="151" t="s">
        <v>5811</v>
      </c>
      <c r="I4984" s="151" t="s">
        <v>6962</v>
      </c>
      <c r="J4984" s="151" t="s">
        <v>6962</v>
      </c>
      <c r="K4984" s="151">
        <f t="shared" si="107"/>
        <v>0</v>
      </c>
      <c r="L4984" s="151" t="s">
        <v>9021</v>
      </c>
    </row>
    <row r="4985" spans="8:12" x14ac:dyDescent="0.25">
      <c r="H4985" s="151" t="s">
        <v>5811</v>
      </c>
      <c r="I4985" s="151" t="s">
        <v>391</v>
      </c>
      <c r="J4985" s="151" t="s">
        <v>8925</v>
      </c>
      <c r="K4985" s="151">
        <f t="shared" si="107"/>
        <v>650000000002129</v>
      </c>
      <c r="L4985" s="151" t="s">
        <v>9021</v>
      </c>
    </row>
    <row r="4986" spans="8:12" x14ac:dyDescent="0.25">
      <c r="H4986" s="151" t="s">
        <v>6953</v>
      </c>
      <c r="I4986" s="151" t="s">
        <v>6962</v>
      </c>
      <c r="J4986" s="151" t="s">
        <v>6962</v>
      </c>
      <c r="K4986" s="151">
        <f t="shared" si="107"/>
        <v>0</v>
      </c>
      <c r="L4986" s="151" t="s">
        <v>9021</v>
      </c>
    </row>
    <row r="4987" spans="8:12" x14ac:dyDescent="0.25">
      <c r="H4987" s="151" t="s">
        <v>5812</v>
      </c>
      <c r="I4987" s="151" t="s">
        <v>6962</v>
      </c>
      <c r="J4987" s="151" t="s">
        <v>6962</v>
      </c>
      <c r="K4987" s="151">
        <f t="shared" si="107"/>
        <v>0</v>
      </c>
      <c r="L4987" s="151" t="s">
        <v>9021</v>
      </c>
    </row>
    <row r="4988" spans="8:12" x14ac:dyDescent="0.25">
      <c r="H4988" s="151" t="s">
        <v>5812</v>
      </c>
      <c r="I4988" s="151" t="s">
        <v>391</v>
      </c>
      <c r="J4988" s="151" t="s">
        <v>8926</v>
      </c>
      <c r="K4988" s="151">
        <f t="shared" si="107"/>
        <v>650000000001408</v>
      </c>
      <c r="L4988" s="151" t="s">
        <v>9021</v>
      </c>
    </row>
    <row r="4989" spans="8:12" x14ac:dyDescent="0.25">
      <c r="H4989" s="151" t="s">
        <v>5813</v>
      </c>
      <c r="I4989" s="151" t="s">
        <v>6962</v>
      </c>
      <c r="J4989" s="151" t="s">
        <v>6962</v>
      </c>
      <c r="K4989" s="151">
        <f t="shared" si="107"/>
        <v>0</v>
      </c>
      <c r="L4989" s="151" t="s">
        <v>9021</v>
      </c>
    </row>
    <row r="4990" spans="8:12" x14ac:dyDescent="0.25">
      <c r="H4990" s="151" t="s">
        <v>5813</v>
      </c>
      <c r="I4990" s="151" t="s">
        <v>391</v>
      </c>
      <c r="J4990" s="151" t="s">
        <v>8927</v>
      </c>
      <c r="K4990" s="151">
        <f t="shared" si="107"/>
        <v>650000000001409</v>
      </c>
      <c r="L4990" s="151" t="s">
        <v>9021</v>
      </c>
    </row>
    <row r="4991" spans="8:12" x14ac:dyDescent="0.25">
      <c r="H4991" s="151" t="s">
        <v>5814</v>
      </c>
      <c r="I4991" s="151" t="s">
        <v>6962</v>
      </c>
      <c r="J4991" s="151" t="s">
        <v>6962</v>
      </c>
      <c r="K4991" s="151">
        <f t="shared" si="107"/>
        <v>0</v>
      </c>
      <c r="L4991" s="151" t="s">
        <v>9021</v>
      </c>
    </row>
    <row r="4992" spans="8:12" x14ac:dyDescent="0.25">
      <c r="H4992" s="151" t="s">
        <v>5814</v>
      </c>
      <c r="I4992" s="151" t="s">
        <v>391</v>
      </c>
      <c r="J4992" s="151" t="s">
        <v>8928</v>
      </c>
      <c r="K4992" s="151">
        <f t="shared" si="107"/>
        <v>650000000001410</v>
      </c>
      <c r="L4992" s="151" t="s">
        <v>9021</v>
      </c>
    </row>
    <row r="4993" spans="8:12" x14ac:dyDescent="0.25">
      <c r="H4993" s="151" t="s">
        <v>5815</v>
      </c>
      <c r="I4993" s="151" t="s">
        <v>6962</v>
      </c>
      <c r="J4993" s="151" t="s">
        <v>6962</v>
      </c>
      <c r="K4993" s="151">
        <f t="shared" si="107"/>
        <v>0</v>
      </c>
      <c r="L4993" s="151" t="s">
        <v>9021</v>
      </c>
    </row>
    <row r="4994" spans="8:12" x14ac:dyDescent="0.25">
      <c r="H4994" s="151" t="s">
        <v>5815</v>
      </c>
      <c r="I4994" s="151" t="s">
        <v>391</v>
      </c>
      <c r="J4994" s="151" t="s">
        <v>8929</v>
      </c>
      <c r="K4994" s="151">
        <f t="shared" si="107"/>
        <v>650000000001411</v>
      </c>
      <c r="L4994" s="151" t="s">
        <v>9021</v>
      </c>
    </row>
    <row r="4995" spans="8:12" x14ac:dyDescent="0.25">
      <c r="H4995" s="151" t="s">
        <v>5816</v>
      </c>
      <c r="I4995" s="151" t="s">
        <v>6962</v>
      </c>
      <c r="J4995" s="151" t="s">
        <v>6962</v>
      </c>
      <c r="K4995" s="151">
        <f t="shared" ref="K4995:K5058" si="108">+IFERROR(J4995*1,0)</f>
        <v>0</v>
      </c>
      <c r="L4995" s="151" t="s">
        <v>9021</v>
      </c>
    </row>
    <row r="4996" spans="8:12" x14ac:dyDescent="0.25">
      <c r="H4996" s="151" t="s">
        <v>5816</v>
      </c>
      <c r="I4996" s="151" t="s">
        <v>391</v>
      </c>
      <c r="J4996" s="151" t="s">
        <v>8930</v>
      </c>
      <c r="K4996" s="151">
        <f t="shared" si="108"/>
        <v>650000000002130</v>
      </c>
      <c r="L4996" s="151" t="s">
        <v>9021</v>
      </c>
    </row>
    <row r="4997" spans="8:12" x14ac:dyDescent="0.25">
      <c r="H4997" s="151" t="s">
        <v>5817</v>
      </c>
      <c r="I4997" s="151" t="s">
        <v>6962</v>
      </c>
      <c r="J4997" s="151" t="s">
        <v>6962</v>
      </c>
      <c r="K4997" s="151">
        <f t="shared" si="108"/>
        <v>0</v>
      </c>
      <c r="L4997" s="151" t="s">
        <v>9021</v>
      </c>
    </row>
    <row r="4998" spans="8:12" x14ac:dyDescent="0.25">
      <c r="H4998" s="151" t="s">
        <v>5817</v>
      </c>
      <c r="I4998" s="151" t="s">
        <v>391</v>
      </c>
      <c r="J4998" s="151" t="s">
        <v>8931</v>
      </c>
      <c r="K4998" s="151">
        <f t="shared" si="108"/>
        <v>650000000001412</v>
      </c>
      <c r="L4998" s="151" t="s">
        <v>9021</v>
      </c>
    </row>
    <row r="4999" spans="8:12" x14ac:dyDescent="0.25">
      <c r="H4999" s="151" t="s">
        <v>5818</v>
      </c>
      <c r="I4999" s="151" t="s">
        <v>6962</v>
      </c>
      <c r="J4999" s="151" t="s">
        <v>6962</v>
      </c>
      <c r="K4999" s="151">
        <f t="shared" si="108"/>
        <v>0</v>
      </c>
      <c r="L4999" s="151" t="s">
        <v>9021</v>
      </c>
    </row>
    <row r="5000" spans="8:12" x14ac:dyDescent="0.25">
      <c r="H5000" s="151" t="s">
        <v>5818</v>
      </c>
      <c r="I5000" s="151" t="s">
        <v>391</v>
      </c>
      <c r="J5000" s="151" t="s">
        <v>8932</v>
      </c>
      <c r="K5000" s="151">
        <f t="shared" si="108"/>
        <v>650000000002131</v>
      </c>
      <c r="L5000" s="151" t="s">
        <v>9021</v>
      </c>
    </row>
    <row r="5001" spans="8:12" x14ac:dyDescent="0.25">
      <c r="H5001" s="151" t="s">
        <v>5819</v>
      </c>
      <c r="I5001" s="151" t="s">
        <v>6962</v>
      </c>
      <c r="J5001" s="151" t="s">
        <v>6962</v>
      </c>
      <c r="K5001" s="151">
        <f t="shared" si="108"/>
        <v>0</v>
      </c>
      <c r="L5001" s="151" t="s">
        <v>9021</v>
      </c>
    </row>
    <row r="5002" spans="8:12" x14ac:dyDescent="0.25">
      <c r="H5002" s="151" t="s">
        <v>5819</v>
      </c>
      <c r="I5002" s="151" t="s">
        <v>391</v>
      </c>
      <c r="J5002" s="151" t="s">
        <v>8933</v>
      </c>
      <c r="K5002" s="151">
        <f t="shared" si="108"/>
        <v>650000000001413</v>
      </c>
      <c r="L5002" s="151" t="s">
        <v>9021</v>
      </c>
    </row>
    <row r="5003" spans="8:12" x14ac:dyDescent="0.25">
      <c r="H5003" s="151" t="s">
        <v>5820</v>
      </c>
      <c r="I5003" s="151" t="s">
        <v>6962</v>
      </c>
      <c r="J5003" s="151" t="s">
        <v>6962</v>
      </c>
      <c r="K5003" s="151">
        <f t="shared" si="108"/>
        <v>0</v>
      </c>
      <c r="L5003" s="151" t="s">
        <v>9021</v>
      </c>
    </row>
    <row r="5004" spans="8:12" x14ac:dyDescent="0.25">
      <c r="H5004" s="151" t="s">
        <v>5820</v>
      </c>
      <c r="I5004" s="151" t="s">
        <v>391</v>
      </c>
      <c r="J5004" s="151" t="s">
        <v>8934</v>
      </c>
      <c r="K5004" s="151">
        <f t="shared" si="108"/>
        <v>650000000001414</v>
      </c>
      <c r="L5004" s="151" t="s">
        <v>9021</v>
      </c>
    </row>
    <row r="5005" spans="8:12" x14ac:dyDescent="0.25">
      <c r="H5005" s="151" t="s">
        <v>5821</v>
      </c>
      <c r="I5005" s="151" t="s">
        <v>6962</v>
      </c>
      <c r="J5005" s="151" t="s">
        <v>6962</v>
      </c>
      <c r="K5005" s="151">
        <f t="shared" si="108"/>
        <v>0</v>
      </c>
      <c r="L5005" s="151" t="s">
        <v>9021</v>
      </c>
    </row>
    <row r="5006" spans="8:12" x14ac:dyDescent="0.25">
      <c r="H5006" s="151" t="s">
        <v>5821</v>
      </c>
      <c r="I5006" s="151" t="s">
        <v>391</v>
      </c>
      <c r="J5006" s="151" t="s">
        <v>8935</v>
      </c>
      <c r="K5006" s="151">
        <f t="shared" si="108"/>
        <v>650000000001415</v>
      </c>
      <c r="L5006" s="151" t="s">
        <v>9021</v>
      </c>
    </row>
    <row r="5007" spans="8:12" x14ac:dyDescent="0.25">
      <c r="H5007" s="151" t="s">
        <v>5822</v>
      </c>
      <c r="I5007" s="151" t="s">
        <v>6962</v>
      </c>
      <c r="J5007" s="151" t="s">
        <v>6962</v>
      </c>
      <c r="K5007" s="151">
        <f t="shared" si="108"/>
        <v>0</v>
      </c>
      <c r="L5007" s="151" t="s">
        <v>9021</v>
      </c>
    </row>
    <row r="5008" spans="8:12" x14ac:dyDescent="0.25">
      <c r="H5008" s="151" t="s">
        <v>5822</v>
      </c>
      <c r="I5008" s="151" t="s">
        <v>391</v>
      </c>
      <c r="J5008" s="151" t="s">
        <v>8936</v>
      </c>
      <c r="K5008" s="151">
        <f t="shared" si="108"/>
        <v>650000000001416</v>
      </c>
      <c r="L5008" s="151" t="s">
        <v>9021</v>
      </c>
    </row>
    <row r="5009" spans="8:12" x14ac:dyDescent="0.25">
      <c r="H5009" s="151" t="s">
        <v>5823</v>
      </c>
      <c r="I5009" s="151" t="s">
        <v>6962</v>
      </c>
      <c r="J5009" s="151" t="s">
        <v>6962</v>
      </c>
      <c r="K5009" s="151">
        <f t="shared" si="108"/>
        <v>0</v>
      </c>
      <c r="L5009" s="151" t="s">
        <v>9021</v>
      </c>
    </row>
    <row r="5010" spans="8:12" x14ac:dyDescent="0.25">
      <c r="H5010" s="151" t="s">
        <v>5823</v>
      </c>
      <c r="I5010" s="151" t="s">
        <v>391</v>
      </c>
      <c r="J5010" s="151" t="s">
        <v>8937</v>
      </c>
      <c r="K5010" s="151">
        <f t="shared" si="108"/>
        <v>650000000001417</v>
      </c>
      <c r="L5010" s="151" t="s">
        <v>9021</v>
      </c>
    </row>
    <row r="5011" spans="8:12" x14ac:dyDescent="0.25">
      <c r="H5011" s="151" t="s">
        <v>5824</v>
      </c>
      <c r="I5011" s="151" t="s">
        <v>6962</v>
      </c>
      <c r="J5011" s="151" t="s">
        <v>6962</v>
      </c>
      <c r="K5011" s="151">
        <f t="shared" si="108"/>
        <v>0</v>
      </c>
      <c r="L5011" s="151" t="s">
        <v>9021</v>
      </c>
    </row>
    <row r="5012" spans="8:12" x14ac:dyDescent="0.25">
      <c r="H5012" s="151" t="s">
        <v>5824</v>
      </c>
      <c r="I5012" s="151" t="s">
        <v>391</v>
      </c>
      <c r="J5012" s="151" t="s">
        <v>8938</v>
      </c>
      <c r="K5012" s="151">
        <f t="shared" si="108"/>
        <v>650000000002132</v>
      </c>
      <c r="L5012" s="151" t="s">
        <v>9021</v>
      </c>
    </row>
    <row r="5013" spans="8:12" x14ac:dyDescent="0.25">
      <c r="H5013" s="151" t="s">
        <v>5825</v>
      </c>
      <c r="I5013" s="151" t="s">
        <v>6962</v>
      </c>
      <c r="J5013" s="151" t="s">
        <v>6962</v>
      </c>
      <c r="K5013" s="151">
        <f t="shared" si="108"/>
        <v>0</v>
      </c>
      <c r="L5013" s="151" t="s">
        <v>9021</v>
      </c>
    </row>
    <row r="5014" spans="8:12" x14ac:dyDescent="0.25">
      <c r="H5014" s="151" t="s">
        <v>5825</v>
      </c>
      <c r="I5014" s="151" t="s">
        <v>391</v>
      </c>
      <c r="J5014" s="151" t="s">
        <v>8939</v>
      </c>
      <c r="K5014" s="151">
        <f t="shared" si="108"/>
        <v>650000000001418</v>
      </c>
      <c r="L5014" s="151" t="s">
        <v>9021</v>
      </c>
    </row>
    <row r="5015" spans="8:12" x14ac:dyDescent="0.25">
      <c r="H5015" s="151" t="s">
        <v>5826</v>
      </c>
      <c r="I5015" s="151" t="s">
        <v>6962</v>
      </c>
      <c r="J5015" s="151" t="s">
        <v>6962</v>
      </c>
      <c r="K5015" s="151">
        <f t="shared" si="108"/>
        <v>0</v>
      </c>
      <c r="L5015" s="151" t="s">
        <v>9021</v>
      </c>
    </row>
    <row r="5016" spans="8:12" x14ac:dyDescent="0.25">
      <c r="H5016" s="151" t="s">
        <v>5826</v>
      </c>
      <c r="I5016" s="151" t="s">
        <v>391</v>
      </c>
      <c r="J5016" s="151" t="s">
        <v>8940</v>
      </c>
      <c r="K5016" s="151">
        <f t="shared" si="108"/>
        <v>650000000001419</v>
      </c>
      <c r="L5016" s="151" t="s">
        <v>9021</v>
      </c>
    </row>
    <row r="5017" spans="8:12" x14ac:dyDescent="0.25">
      <c r="H5017" s="151" t="s">
        <v>5827</v>
      </c>
      <c r="I5017" s="151" t="s">
        <v>6962</v>
      </c>
      <c r="J5017" s="151" t="s">
        <v>6962</v>
      </c>
      <c r="K5017" s="151">
        <f t="shared" si="108"/>
        <v>0</v>
      </c>
      <c r="L5017" s="151" t="s">
        <v>9021</v>
      </c>
    </row>
    <row r="5018" spans="8:12" x14ac:dyDescent="0.25">
      <c r="H5018" s="151" t="s">
        <v>5827</v>
      </c>
      <c r="I5018" s="151" t="s">
        <v>391</v>
      </c>
      <c r="J5018" s="151" t="s">
        <v>8941</v>
      </c>
      <c r="K5018" s="151">
        <f t="shared" si="108"/>
        <v>650000000001420</v>
      </c>
      <c r="L5018" s="151" t="s">
        <v>9021</v>
      </c>
    </row>
    <row r="5019" spans="8:12" x14ac:dyDescent="0.25">
      <c r="H5019" s="151" t="s">
        <v>5828</v>
      </c>
      <c r="I5019" s="151" t="s">
        <v>6962</v>
      </c>
      <c r="J5019" s="151" t="s">
        <v>6962</v>
      </c>
      <c r="K5019" s="151">
        <f t="shared" si="108"/>
        <v>0</v>
      </c>
      <c r="L5019" s="151" t="s">
        <v>9021</v>
      </c>
    </row>
    <row r="5020" spans="8:12" x14ac:dyDescent="0.25">
      <c r="H5020" s="151" t="s">
        <v>5828</v>
      </c>
      <c r="I5020" s="151" t="s">
        <v>391</v>
      </c>
      <c r="J5020" s="151" t="s">
        <v>8942</v>
      </c>
      <c r="K5020" s="151">
        <f t="shared" si="108"/>
        <v>650000000001421</v>
      </c>
      <c r="L5020" s="151" t="s">
        <v>9021</v>
      </c>
    </row>
    <row r="5021" spans="8:12" x14ac:dyDescent="0.25">
      <c r="H5021" s="151" t="s">
        <v>5829</v>
      </c>
      <c r="I5021" s="151" t="s">
        <v>6962</v>
      </c>
      <c r="J5021" s="151" t="s">
        <v>6962</v>
      </c>
      <c r="K5021" s="151">
        <f t="shared" si="108"/>
        <v>0</v>
      </c>
      <c r="L5021" s="151" t="s">
        <v>9021</v>
      </c>
    </row>
    <row r="5022" spans="8:12" x14ac:dyDescent="0.25">
      <c r="H5022" s="151" t="s">
        <v>5829</v>
      </c>
      <c r="I5022" s="151" t="s">
        <v>391</v>
      </c>
      <c r="J5022" s="151" t="s">
        <v>8943</v>
      </c>
      <c r="K5022" s="151">
        <f t="shared" si="108"/>
        <v>650000000001422</v>
      </c>
      <c r="L5022" s="151" t="s">
        <v>9021</v>
      </c>
    </row>
    <row r="5023" spans="8:12" x14ac:dyDescent="0.25">
      <c r="H5023" s="151" t="s">
        <v>5830</v>
      </c>
      <c r="I5023" s="151" t="s">
        <v>6962</v>
      </c>
      <c r="J5023" s="151" t="s">
        <v>6962</v>
      </c>
      <c r="K5023" s="151">
        <f t="shared" si="108"/>
        <v>0</v>
      </c>
      <c r="L5023" s="151" t="s">
        <v>9021</v>
      </c>
    </row>
    <row r="5024" spans="8:12" x14ac:dyDescent="0.25">
      <c r="H5024" s="151" t="s">
        <v>5830</v>
      </c>
      <c r="I5024" s="151" t="s">
        <v>391</v>
      </c>
      <c r="J5024" s="151" t="s">
        <v>8944</v>
      </c>
      <c r="K5024" s="151">
        <f t="shared" si="108"/>
        <v>650000000002133</v>
      </c>
      <c r="L5024" s="151" t="s">
        <v>9021</v>
      </c>
    </row>
    <row r="5025" spans="8:12" x14ac:dyDescent="0.25">
      <c r="H5025" s="151" t="s">
        <v>6954</v>
      </c>
      <c r="I5025" s="151" t="s">
        <v>6962</v>
      </c>
      <c r="J5025" s="151" t="s">
        <v>6962</v>
      </c>
      <c r="K5025" s="151">
        <f t="shared" si="108"/>
        <v>0</v>
      </c>
      <c r="L5025" s="151" t="s">
        <v>9021</v>
      </c>
    </row>
    <row r="5026" spans="8:12" x14ac:dyDescent="0.25">
      <c r="H5026" s="151" t="s">
        <v>5831</v>
      </c>
      <c r="I5026" s="151" t="s">
        <v>6962</v>
      </c>
      <c r="J5026" s="151" t="s">
        <v>6962</v>
      </c>
      <c r="K5026" s="151">
        <f t="shared" si="108"/>
        <v>0</v>
      </c>
      <c r="L5026" s="151" t="s">
        <v>9021</v>
      </c>
    </row>
    <row r="5027" spans="8:12" x14ac:dyDescent="0.25">
      <c r="H5027" s="151" t="s">
        <v>5831</v>
      </c>
      <c r="I5027" s="151" t="s">
        <v>391</v>
      </c>
      <c r="J5027" s="151" t="s">
        <v>8945</v>
      </c>
      <c r="K5027" s="151">
        <f t="shared" si="108"/>
        <v>650000000002134</v>
      </c>
      <c r="L5027" s="151" t="s">
        <v>9021</v>
      </c>
    </row>
    <row r="5028" spans="8:12" x14ac:dyDescent="0.25">
      <c r="H5028" s="151" t="s">
        <v>5832</v>
      </c>
      <c r="I5028" s="151" t="s">
        <v>6962</v>
      </c>
      <c r="J5028" s="151" t="s">
        <v>6962</v>
      </c>
      <c r="K5028" s="151">
        <f t="shared" si="108"/>
        <v>0</v>
      </c>
      <c r="L5028" s="151" t="s">
        <v>9026</v>
      </c>
    </row>
    <row r="5029" spans="8:12" x14ac:dyDescent="0.25">
      <c r="H5029" s="151" t="s">
        <v>5832</v>
      </c>
      <c r="I5029" s="151" t="s">
        <v>391</v>
      </c>
      <c r="J5029" s="151" t="s">
        <v>8946</v>
      </c>
      <c r="K5029" s="151">
        <f t="shared" si="108"/>
        <v>650000000001423</v>
      </c>
      <c r="L5029" s="151" t="s">
        <v>9026</v>
      </c>
    </row>
    <row r="5030" spans="8:12" x14ac:dyDescent="0.25">
      <c r="H5030" s="151" t="s">
        <v>5833</v>
      </c>
      <c r="I5030" s="151" t="s">
        <v>6962</v>
      </c>
      <c r="J5030" s="151" t="s">
        <v>6962</v>
      </c>
      <c r="K5030" s="151">
        <f t="shared" si="108"/>
        <v>0</v>
      </c>
      <c r="L5030" s="151" t="s">
        <v>9025</v>
      </c>
    </row>
    <row r="5031" spans="8:12" x14ac:dyDescent="0.25">
      <c r="H5031" s="151" t="s">
        <v>5833</v>
      </c>
      <c r="I5031" s="151" t="s">
        <v>391</v>
      </c>
      <c r="J5031" s="151" t="s">
        <v>8947</v>
      </c>
      <c r="K5031" s="151">
        <f t="shared" si="108"/>
        <v>650000000001424</v>
      </c>
      <c r="L5031" s="151" t="s">
        <v>9025</v>
      </c>
    </row>
    <row r="5032" spans="8:12" x14ac:dyDescent="0.25">
      <c r="H5032" s="151" t="s">
        <v>5834</v>
      </c>
      <c r="I5032" s="151" t="s">
        <v>6962</v>
      </c>
      <c r="J5032" s="151" t="s">
        <v>6962</v>
      </c>
      <c r="K5032" s="151">
        <f t="shared" si="108"/>
        <v>0</v>
      </c>
      <c r="L5032" s="151" t="s">
        <v>9021</v>
      </c>
    </row>
    <row r="5033" spans="8:12" x14ac:dyDescent="0.25">
      <c r="H5033" s="151" t="s">
        <v>5834</v>
      </c>
      <c r="I5033" s="151" t="s">
        <v>391</v>
      </c>
      <c r="J5033" s="151" t="s">
        <v>8948</v>
      </c>
      <c r="K5033" s="151">
        <f t="shared" si="108"/>
        <v>650000000002135</v>
      </c>
      <c r="L5033" s="151" t="s">
        <v>9021</v>
      </c>
    </row>
    <row r="5034" spans="8:12" x14ac:dyDescent="0.25">
      <c r="H5034" s="151" t="s">
        <v>5835</v>
      </c>
      <c r="I5034" s="151" t="s">
        <v>6962</v>
      </c>
      <c r="J5034" s="151" t="s">
        <v>6962</v>
      </c>
      <c r="K5034" s="151">
        <f t="shared" si="108"/>
        <v>0</v>
      </c>
      <c r="L5034" s="151" t="s">
        <v>9021</v>
      </c>
    </row>
    <row r="5035" spans="8:12" x14ac:dyDescent="0.25">
      <c r="H5035" s="151" t="s">
        <v>5835</v>
      </c>
      <c r="I5035" s="151" t="s">
        <v>391</v>
      </c>
      <c r="J5035" s="151" t="s">
        <v>8949</v>
      </c>
      <c r="K5035" s="151">
        <f t="shared" si="108"/>
        <v>650000000001425</v>
      </c>
      <c r="L5035" s="151" t="s">
        <v>9021</v>
      </c>
    </row>
    <row r="5036" spans="8:12" x14ac:dyDescent="0.25">
      <c r="H5036" s="151" t="s">
        <v>5836</v>
      </c>
      <c r="I5036" s="151" t="s">
        <v>6962</v>
      </c>
      <c r="J5036" s="151" t="s">
        <v>6962</v>
      </c>
      <c r="K5036" s="151">
        <f t="shared" si="108"/>
        <v>0</v>
      </c>
      <c r="L5036" s="151" t="s">
        <v>9021</v>
      </c>
    </row>
    <row r="5037" spans="8:12" x14ac:dyDescent="0.25">
      <c r="H5037" s="151" t="s">
        <v>5836</v>
      </c>
      <c r="I5037" s="151" t="s">
        <v>391</v>
      </c>
      <c r="J5037" s="151" t="s">
        <v>8950</v>
      </c>
      <c r="K5037" s="151">
        <f t="shared" si="108"/>
        <v>650000000002136</v>
      </c>
      <c r="L5037" s="151" t="s">
        <v>9021</v>
      </c>
    </row>
    <row r="5038" spans="8:12" x14ac:dyDescent="0.25">
      <c r="H5038" s="151" t="s">
        <v>5837</v>
      </c>
      <c r="I5038" s="151" t="s">
        <v>6962</v>
      </c>
      <c r="J5038" s="151" t="s">
        <v>6962</v>
      </c>
      <c r="K5038" s="151">
        <f t="shared" si="108"/>
        <v>0</v>
      </c>
      <c r="L5038" s="151" t="s">
        <v>9021</v>
      </c>
    </row>
    <row r="5039" spans="8:12" x14ac:dyDescent="0.25">
      <c r="H5039" s="151" t="s">
        <v>5837</v>
      </c>
      <c r="I5039" s="151" t="s">
        <v>391</v>
      </c>
      <c r="J5039" s="151" t="s">
        <v>8951</v>
      </c>
      <c r="K5039" s="151">
        <f t="shared" si="108"/>
        <v>650000000001426</v>
      </c>
      <c r="L5039" s="151" t="s">
        <v>9021</v>
      </c>
    </row>
    <row r="5040" spans="8:12" x14ac:dyDescent="0.25">
      <c r="H5040" s="151" t="s">
        <v>5838</v>
      </c>
      <c r="I5040" s="151" t="s">
        <v>6962</v>
      </c>
      <c r="J5040" s="151" t="s">
        <v>6962</v>
      </c>
      <c r="K5040" s="151">
        <f t="shared" si="108"/>
        <v>0</v>
      </c>
      <c r="L5040" s="151" t="s">
        <v>9021</v>
      </c>
    </row>
    <row r="5041" spans="8:12" x14ac:dyDescent="0.25">
      <c r="H5041" s="151" t="s">
        <v>5838</v>
      </c>
      <c r="I5041" s="151" t="s">
        <v>391</v>
      </c>
      <c r="J5041" s="151" t="s">
        <v>8952</v>
      </c>
      <c r="K5041" s="151">
        <f t="shared" si="108"/>
        <v>650000000002137</v>
      </c>
      <c r="L5041" s="151" t="s">
        <v>9021</v>
      </c>
    </row>
    <row r="5042" spans="8:12" x14ac:dyDescent="0.25">
      <c r="H5042" s="151" t="s">
        <v>5839</v>
      </c>
      <c r="I5042" s="151" t="s">
        <v>6962</v>
      </c>
      <c r="J5042" s="151" t="s">
        <v>6962</v>
      </c>
      <c r="K5042" s="151">
        <f t="shared" si="108"/>
        <v>0</v>
      </c>
      <c r="L5042" s="151" t="s">
        <v>9021</v>
      </c>
    </row>
    <row r="5043" spans="8:12" x14ac:dyDescent="0.25">
      <c r="H5043" s="151" t="s">
        <v>5839</v>
      </c>
      <c r="I5043" s="151" t="s">
        <v>391</v>
      </c>
      <c r="J5043" s="151" t="s">
        <v>8953</v>
      </c>
      <c r="K5043" s="151">
        <f t="shared" si="108"/>
        <v>650000000002138</v>
      </c>
      <c r="L5043" s="151" t="s">
        <v>9021</v>
      </c>
    </row>
    <row r="5044" spans="8:12" x14ac:dyDescent="0.25">
      <c r="H5044" s="151" t="s">
        <v>5840</v>
      </c>
      <c r="I5044" s="151" t="s">
        <v>6962</v>
      </c>
      <c r="J5044" s="151" t="s">
        <v>6962</v>
      </c>
      <c r="K5044" s="151">
        <f t="shared" si="108"/>
        <v>0</v>
      </c>
      <c r="L5044" s="151" t="s">
        <v>9021</v>
      </c>
    </row>
    <row r="5045" spans="8:12" x14ac:dyDescent="0.25">
      <c r="H5045" s="151" t="s">
        <v>5840</v>
      </c>
      <c r="I5045" s="151" t="s">
        <v>391</v>
      </c>
      <c r="J5045" s="151" t="s">
        <v>8954</v>
      </c>
      <c r="K5045" s="151">
        <f t="shared" si="108"/>
        <v>650000000001427</v>
      </c>
      <c r="L5045" s="151" t="s">
        <v>9021</v>
      </c>
    </row>
    <row r="5046" spans="8:12" x14ac:dyDescent="0.25">
      <c r="H5046" s="151" t="s">
        <v>5841</v>
      </c>
      <c r="I5046" s="151" t="s">
        <v>6962</v>
      </c>
      <c r="J5046" s="151" t="s">
        <v>6962</v>
      </c>
      <c r="K5046" s="151">
        <f t="shared" si="108"/>
        <v>0</v>
      </c>
      <c r="L5046" s="151" t="s">
        <v>9021</v>
      </c>
    </row>
    <row r="5047" spans="8:12" x14ac:dyDescent="0.25">
      <c r="H5047" s="151" t="s">
        <v>5841</v>
      </c>
      <c r="I5047" s="151" t="s">
        <v>391</v>
      </c>
      <c r="J5047" s="151" t="s">
        <v>8955</v>
      </c>
      <c r="K5047" s="151">
        <f t="shared" si="108"/>
        <v>650000000001428</v>
      </c>
      <c r="L5047" s="151" t="s">
        <v>9021</v>
      </c>
    </row>
    <row r="5048" spans="8:12" x14ac:dyDescent="0.25">
      <c r="H5048" s="151" t="s">
        <v>5842</v>
      </c>
      <c r="I5048" s="151" t="s">
        <v>6962</v>
      </c>
      <c r="J5048" s="151" t="s">
        <v>6962</v>
      </c>
      <c r="K5048" s="151">
        <f t="shared" si="108"/>
        <v>0</v>
      </c>
      <c r="L5048" s="151" t="s">
        <v>9021</v>
      </c>
    </row>
    <row r="5049" spans="8:12" x14ac:dyDescent="0.25">
      <c r="H5049" s="151" t="s">
        <v>5842</v>
      </c>
      <c r="I5049" s="151" t="s">
        <v>391</v>
      </c>
      <c r="J5049" s="151" t="s">
        <v>8956</v>
      </c>
      <c r="K5049" s="151">
        <f t="shared" si="108"/>
        <v>650000000001429</v>
      </c>
      <c r="L5049" s="151" t="s">
        <v>9021</v>
      </c>
    </row>
    <row r="5050" spans="8:12" x14ac:dyDescent="0.25">
      <c r="H5050" s="151" t="s">
        <v>5843</v>
      </c>
      <c r="I5050" s="151" t="s">
        <v>6962</v>
      </c>
      <c r="J5050" s="151" t="s">
        <v>6962</v>
      </c>
      <c r="K5050" s="151">
        <f t="shared" si="108"/>
        <v>0</v>
      </c>
      <c r="L5050" s="151" t="s">
        <v>9021</v>
      </c>
    </row>
    <row r="5051" spans="8:12" x14ac:dyDescent="0.25">
      <c r="H5051" s="151" t="s">
        <v>5843</v>
      </c>
      <c r="I5051" s="151" t="s">
        <v>391</v>
      </c>
      <c r="J5051" s="151" t="s">
        <v>8957</v>
      </c>
      <c r="K5051" s="151">
        <f t="shared" si="108"/>
        <v>650000000001430</v>
      </c>
      <c r="L5051" s="151" t="s">
        <v>9021</v>
      </c>
    </row>
    <row r="5052" spans="8:12" x14ac:dyDescent="0.25">
      <c r="H5052" s="151" t="s">
        <v>5844</v>
      </c>
      <c r="I5052" s="151" t="s">
        <v>6962</v>
      </c>
      <c r="J5052" s="151" t="s">
        <v>6962</v>
      </c>
      <c r="K5052" s="151">
        <f t="shared" si="108"/>
        <v>0</v>
      </c>
      <c r="L5052" s="151" t="s">
        <v>9021</v>
      </c>
    </row>
    <row r="5053" spans="8:12" x14ac:dyDescent="0.25">
      <c r="H5053" s="151" t="s">
        <v>5844</v>
      </c>
      <c r="I5053" s="151" t="s">
        <v>391</v>
      </c>
      <c r="J5053" s="151" t="s">
        <v>8958</v>
      </c>
      <c r="K5053" s="151">
        <f t="shared" si="108"/>
        <v>650000000001431</v>
      </c>
      <c r="L5053" s="151" t="s">
        <v>9021</v>
      </c>
    </row>
    <row r="5054" spans="8:12" x14ac:dyDescent="0.25">
      <c r="H5054" s="151" t="s">
        <v>5845</v>
      </c>
      <c r="I5054" s="151" t="s">
        <v>6962</v>
      </c>
      <c r="J5054" s="151" t="s">
        <v>6962</v>
      </c>
      <c r="K5054" s="151">
        <f t="shared" si="108"/>
        <v>0</v>
      </c>
      <c r="L5054" s="151" t="s">
        <v>9021</v>
      </c>
    </row>
    <row r="5055" spans="8:12" x14ac:dyDescent="0.25">
      <c r="H5055" s="151" t="s">
        <v>5845</v>
      </c>
      <c r="I5055" s="151" t="s">
        <v>391</v>
      </c>
      <c r="J5055" s="151" t="s">
        <v>8959</v>
      </c>
      <c r="K5055" s="151">
        <f t="shared" si="108"/>
        <v>650000000001432</v>
      </c>
      <c r="L5055" s="151" t="s">
        <v>9021</v>
      </c>
    </row>
    <row r="5056" spans="8:12" x14ac:dyDescent="0.25">
      <c r="H5056" s="151" t="s">
        <v>5846</v>
      </c>
      <c r="I5056" s="151" t="s">
        <v>6962</v>
      </c>
      <c r="J5056" s="151" t="s">
        <v>6962</v>
      </c>
      <c r="K5056" s="151">
        <f t="shared" si="108"/>
        <v>0</v>
      </c>
      <c r="L5056" s="151" t="s">
        <v>9021</v>
      </c>
    </row>
    <row r="5057" spans="8:12" x14ac:dyDescent="0.25">
      <c r="H5057" s="151" t="s">
        <v>5846</v>
      </c>
      <c r="I5057" s="151" t="s">
        <v>391</v>
      </c>
      <c r="J5057" s="151" t="s">
        <v>8960</v>
      </c>
      <c r="K5057" s="151">
        <f t="shared" si="108"/>
        <v>650000000001433</v>
      </c>
      <c r="L5057" s="151" t="s">
        <v>9021</v>
      </c>
    </row>
    <row r="5058" spans="8:12" x14ac:dyDescent="0.25">
      <c r="H5058" s="151" t="s">
        <v>5847</v>
      </c>
      <c r="I5058" s="151" t="s">
        <v>6962</v>
      </c>
      <c r="J5058" s="151" t="s">
        <v>6962</v>
      </c>
      <c r="K5058" s="151">
        <f t="shared" si="108"/>
        <v>0</v>
      </c>
      <c r="L5058" s="151" t="s">
        <v>9021</v>
      </c>
    </row>
    <row r="5059" spans="8:12" x14ac:dyDescent="0.25">
      <c r="H5059" s="151" t="s">
        <v>5847</v>
      </c>
      <c r="I5059" s="151" t="s">
        <v>391</v>
      </c>
      <c r="J5059" s="151" t="s">
        <v>8961</v>
      </c>
      <c r="K5059" s="151">
        <f t="shared" ref="K5059:K5122" si="109">+IFERROR(J5059*1,0)</f>
        <v>650000000001434</v>
      </c>
      <c r="L5059" s="151" t="s">
        <v>9021</v>
      </c>
    </row>
    <row r="5060" spans="8:12" x14ac:dyDescent="0.25">
      <c r="H5060" s="151" t="s">
        <v>5848</v>
      </c>
      <c r="I5060" s="151" t="s">
        <v>6962</v>
      </c>
      <c r="J5060" s="151" t="s">
        <v>6962</v>
      </c>
      <c r="K5060" s="151">
        <f t="shared" si="109"/>
        <v>0</v>
      </c>
      <c r="L5060" s="151" t="s">
        <v>9021</v>
      </c>
    </row>
    <row r="5061" spans="8:12" x14ac:dyDescent="0.25">
      <c r="H5061" s="151" t="s">
        <v>5848</v>
      </c>
      <c r="I5061" s="151" t="s">
        <v>391</v>
      </c>
      <c r="J5061" s="151" t="s">
        <v>8962</v>
      </c>
      <c r="K5061" s="151">
        <f t="shared" si="109"/>
        <v>650000000002139</v>
      </c>
      <c r="L5061" s="151" t="s">
        <v>9021</v>
      </c>
    </row>
    <row r="5062" spans="8:12" x14ac:dyDescent="0.25">
      <c r="H5062" s="151" t="s">
        <v>5849</v>
      </c>
      <c r="I5062" s="151" t="s">
        <v>6962</v>
      </c>
      <c r="J5062" s="151" t="s">
        <v>6962</v>
      </c>
      <c r="K5062" s="151">
        <f t="shared" si="109"/>
        <v>0</v>
      </c>
      <c r="L5062" s="151" t="s">
        <v>9021</v>
      </c>
    </row>
    <row r="5063" spans="8:12" x14ac:dyDescent="0.25">
      <c r="H5063" s="151" t="s">
        <v>5849</v>
      </c>
      <c r="I5063" s="151" t="s">
        <v>391</v>
      </c>
      <c r="J5063" s="151" t="s">
        <v>8963</v>
      </c>
      <c r="K5063" s="151">
        <f t="shared" si="109"/>
        <v>650000000001435</v>
      </c>
      <c r="L5063" s="151" t="s">
        <v>9021</v>
      </c>
    </row>
    <row r="5064" spans="8:12" x14ac:dyDescent="0.25">
      <c r="H5064" s="151" t="s">
        <v>5850</v>
      </c>
      <c r="I5064" s="151" t="s">
        <v>6962</v>
      </c>
      <c r="J5064" s="151" t="s">
        <v>6962</v>
      </c>
      <c r="K5064" s="151">
        <f t="shared" si="109"/>
        <v>0</v>
      </c>
      <c r="L5064" s="151" t="s">
        <v>9021</v>
      </c>
    </row>
    <row r="5065" spans="8:12" x14ac:dyDescent="0.25">
      <c r="H5065" s="151" t="s">
        <v>5850</v>
      </c>
      <c r="I5065" s="151" t="s">
        <v>391</v>
      </c>
      <c r="J5065" s="151" t="s">
        <v>8964</v>
      </c>
      <c r="K5065" s="151">
        <f t="shared" si="109"/>
        <v>650000000001436</v>
      </c>
      <c r="L5065" s="151" t="s">
        <v>9021</v>
      </c>
    </row>
    <row r="5066" spans="8:12" x14ac:dyDescent="0.25">
      <c r="H5066" s="151" t="s">
        <v>5851</v>
      </c>
      <c r="I5066" s="151" t="s">
        <v>6962</v>
      </c>
      <c r="J5066" s="151" t="s">
        <v>6962</v>
      </c>
      <c r="K5066" s="151">
        <f t="shared" si="109"/>
        <v>0</v>
      </c>
      <c r="L5066" s="151" t="s">
        <v>9021</v>
      </c>
    </row>
    <row r="5067" spans="8:12" x14ac:dyDescent="0.25">
      <c r="H5067" s="151" t="s">
        <v>5851</v>
      </c>
      <c r="I5067" s="151" t="s">
        <v>391</v>
      </c>
      <c r="J5067" s="151" t="s">
        <v>8965</v>
      </c>
      <c r="K5067" s="151">
        <f t="shared" si="109"/>
        <v>650000000002140</v>
      </c>
      <c r="L5067" s="151" t="s">
        <v>9021</v>
      </c>
    </row>
    <row r="5068" spans="8:12" x14ac:dyDescent="0.25">
      <c r="H5068" s="151" t="s">
        <v>5852</v>
      </c>
      <c r="I5068" s="151" t="s">
        <v>6962</v>
      </c>
      <c r="J5068" s="151" t="s">
        <v>6962</v>
      </c>
      <c r="K5068" s="151">
        <f t="shared" si="109"/>
        <v>0</v>
      </c>
      <c r="L5068" s="151" t="s">
        <v>9021</v>
      </c>
    </row>
    <row r="5069" spans="8:12" x14ac:dyDescent="0.25">
      <c r="H5069" s="151" t="s">
        <v>5852</v>
      </c>
      <c r="I5069" s="151" t="s">
        <v>391</v>
      </c>
      <c r="J5069" s="151" t="s">
        <v>8966</v>
      </c>
      <c r="K5069" s="151">
        <f t="shared" si="109"/>
        <v>650000000002141</v>
      </c>
      <c r="L5069" s="151" t="s">
        <v>9021</v>
      </c>
    </row>
    <row r="5070" spans="8:12" x14ac:dyDescent="0.25">
      <c r="H5070" s="151" t="s">
        <v>6955</v>
      </c>
      <c r="I5070" s="151" t="s">
        <v>6962</v>
      </c>
      <c r="J5070" s="151" t="s">
        <v>6962</v>
      </c>
      <c r="K5070" s="151">
        <f t="shared" si="109"/>
        <v>0</v>
      </c>
      <c r="L5070" s="151" t="s">
        <v>9021</v>
      </c>
    </row>
    <row r="5071" spans="8:12" x14ac:dyDescent="0.25">
      <c r="H5071" s="151" t="s">
        <v>5853</v>
      </c>
      <c r="I5071" s="151" t="s">
        <v>6962</v>
      </c>
      <c r="J5071" s="151" t="s">
        <v>6962</v>
      </c>
      <c r="K5071" s="151">
        <f t="shared" si="109"/>
        <v>0</v>
      </c>
      <c r="L5071" s="151" t="s">
        <v>9021</v>
      </c>
    </row>
    <row r="5072" spans="8:12" x14ac:dyDescent="0.25">
      <c r="H5072" s="151" t="s">
        <v>5853</v>
      </c>
      <c r="I5072" s="151" t="s">
        <v>391</v>
      </c>
      <c r="J5072" s="151" t="s">
        <v>8967</v>
      </c>
      <c r="K5072" s="151">
        <f t="shared" si="109"/>
        <v>650000000002142</v>
      </c>
      <c r="L5072" s="151" t="s">
        <v>9021</v>
      </c>
    </row>
    <row r="5073" spans="8:12" x14ac:dyDescent="0.25">
      <c r="H5073" s="151" t="s">
        <v>5854</v>
      </c>
      <c r="I5073" s="151" t="s">
        <v>6962</v>
      </c>
      <c r="J5073" s="151" t="s">
        <v>6962</v>
      </c>
      <c r="K5073" s="151">
        <f t="shared" si="109"/>
        <v>0</v>
      </c>
      <c r="L5073" s="151" t="s">
        <v>9021</v>
      </c>
    </row>
    <row r="5074" spans="8:12" x14ac:dyDescent="0.25">
      <c r="H5074" s="151" t="s">
        <v>5854</v>
      </c>
      <c r="I5074" s="151" t="s">
        <v>391</v>
      </c>
      <c r="J5074" s="151" t="s">
        <v>8968</v>
      </c>
      <c r="K5074" s="151">
        <f t="shared" si="109"/>
        <v>650000000001437</v>
      </c>
      <c r="L5074" s="151" t="s">
        <v>9021</v>
      </c>
    </row>
    <row r="5075" spans="8:12" x14ac:dyDescent="0.25">
      <c r="H5075" s="151" t="s">
        <v>5855</v>
      </c>
      <c r="I5075" s="151" t="s">
        <v>6962</v>
      </c>
      <c r="J5075" s="151" t="s">
        <v>6962</v>
      </c>
      <c r="K5075" s="151">
        <f t="shared" si="109"/>
        <v>0</v>
      </c>
      <c r="L5075" s="151" t="s">
        <v>9021</v>
      </c>
    </row>
    <row r="5076" spans="8:12" x14ac:dyDescent="0.25">
      <c r="H5076" s="151" t="s">
        <v>5855</v>
      </c>
      <c r="I5076" s="151" t="s">
        <v>391</v>
      </c>
      <c r="J5076" s="151" t="s">
        <v>8969</v>
      </c>
      <c r="K5076" s="151">
        <f t="shared" si="109"/>
        <v>650000000002143</v>
      </c>
      <c r="L5076" s="151" t="s">
        <v>9021</v>
      </c>
    </row>
    <row r="5077" spans="8:12" x14ac:dyDescent="0.25">
      <c r="H5077" s="151" t="s">
        <v>5856</v>
      </c>
      <c r="I5077" s="151" t="s">
        <v>6962</v>
      </c>
      <c r="J5077" s="151" t="s">
        <v>6962</v>
      </c>
      <c r="K5077" s="151">
        <f t="shared" si="109"/>
        <v>0</v>
      </c>
      <c r="L5077" s="151" t="s">
        <v>9021</v>
      </c>
    </row>
    <row r="5078" spans="8:12" x14ac:dyDescent="0.25">
      <c r="H5078" s="151" t="s">
        <v>5856</v>
      </c>
      <c r="I5078" s="151" t="s">
        <v>391</v>
      </c>
      <c r="J5078" s="151" t="s">
        <v>8970</v>
      </c>
      <c r="K5078" s="151">
        <f t="shared" si="109"/>
        <v>650000000001438</v>
      </c>
      <c r="L5078" s="151" t="s">
        <v>9021</v>
      </c>
    </row>
    <row r="5079" spans="8:12" x14ac:dyDescent="0.25">
      <c r="H5079" s="151" t="s">
        <v>6956</v>
      </c>
      <c r="I5079" s="151" t="s">
        <v>6962</v>
      </c>
      <c r="J5079" s="151" t="s">
        <v>6962</v>
      </c>
      <c r="K5079" s="151">
        <f t="shared" si="109"/>
        <v>0</v>
      </c>
      <c r="L5079" s="151" t="s">
        <v>9021</v>
      </c>
    </row>
    <row r="5080" spans="8:12" x14ac:dyDescent="0.25">
      <c r="H5080" s="151" t="s">
        <v>5857</v>
      </c>
      <c r="I5080" s="151" t="s">
        <v>6962</v>
      </c>
      <c r="J5080" s="151" t="s">
        <v>6962</v>
      </c>
      <c r="K5080" s="151">
        <f t="shared" si="109"/>
        <v>0</v>
      </c>
      <c r="L5080" s="151" t="s">
        <v>9021</v>
      </c>
    </row>
    <row r="5081" spans="8:12" x14ac:dyDescent="0.25">
      <c r="H5081" s="151" t="s">
        <v>5857</v>
      </c>
      <c r="I5081" s="151" t="s">
        <v>391</v>
      </c>
      <c r="J5081" s="151" t="s">
        <v>8971</v>
      </c>
      <c r="K5081" s="151">
        <f t="shared" si="109"/>
        <v>650000000001439</v>
      </c>
      <c r="L5081" s="151" t="s">
        <v>9021</v>
      </c>
    </row>
    <row r="5082" spans="8:12" x14ac:dyDescent="0.25">
      <c r="H5082" s="151" t="s">
        <v>5858</v>
      </c>
      <c r="I5082" s="151" t="s">
        <v>6962</v>
      </c>
      <c r="J5082" s="151" t="s">
        <v>6962</v>
      </c>
      <c r="K5082" s="151">
        <f t="shared" si="109"/>
        <v>0</v>
      </c>
      <c r="L5082" s="151" t="s">
        <v>9021</v>
      </c>
    </row>
    <row r="5083" spans="8:12" x14ac:dyDescent="0.25">
      <c r="H5083" s="151" t="s">
        <v>5858</v>
      </c>
      <c r="I5083" s="151" t="s">
        <v>391</v>
      </c>
      <c r="J5083" s="151" t="s">
        <v>8972</v>
      </c>
      <c r="K5083" s="151">
        <f t="shared" si="109"/>
        <v>650000000001440</v>
      </c>
      <c r="L5083" s="151" t="s">
        <v>9021</v>
      </c>
    </row>
    <row r="5084" spans="8:12" x14ac:dyDescent="0.25">
      <c r="H5084" s="151" t="s">
        <v>5859</v>
      </c>
      <c r="I5084" s="151" t="s">
        <v>6962</v>
      </c>
      <c r="J5084" s="151" t="s">
        <v>6962</v>
      </c>
      <c r="K5084" s="151">
        <f t="shared" si="109"/>
        <v>0</v>
      </c>
      <c r="L5084" s="151" t="s">
        <v>9021</v>
      </c>
    </row>
    <row r="5085" spans="8:12" x14ac:dyDescent="0.25">
      <c r="H5085" s="151" t="s">
        <v>5859</v>
      </c>
      <c r="I5085" s="151" t="s">
        <v>391</v>
      </c>
      <c r="J5085" s="151" t="s">
        <v>8973</v>
      </c>
      <c r="K5085" s="151">
        <f t="shared" si="109"/>
        <v>650000000001441</v>
      </c>
      <c r="L5085" s="151" t="s">
        <v>9021</v>
      </c>
    </row>
    <row r="5086" spans="8:12" x14ac:dyDescent="0.25">
      <c r="H5086" s="151" t="s">
        <v>5860</v>
      </c>
      <c r="I5086" s="151" t="s">
        <v>6962</v>
      </c>
      <c r="J5086" s="151" t="s">
        <v>6962</v>
      </c>
      <c r="K5086" s="151">
        <f t="shared" si="109"/>
        <v>0</v>
      </c>
      <c r="L5086" s="151" t="s">
        <v>9021</v>
      </c>
    </row>
    <row r="5087" spans="8:12" x14ac:dyDescent="0.25">
      <c r="H5087" s="151" t="s">
        <v>5860</v>
      </c>
      <c r="I5087" s="151" t="s">
        <v>391</v>
      </c>
      <c r="J5087" s="151" t="s">
        <v>8974</v>
      </c>
      <c r="K5087" s="151">
        <f t="shared" si="109"/>
        <v>650000000002144</v>
      </c>
      <c r="L5087" s="151" t="s">
        <v>9021</v>
      </c>
    </row>
    <row r="5088" spans="8:12" x14ac:dyDescent="0.25">
      <c r="H5088" s="151" t="s">
        <v>5861</v>
      </c>
      <c r="I5088" s="151" t="s">
        <v>6962</v>
      </c>
      <c r="J5088" s="151" t="s">
        <v>6962</v>
      </c>
      <c r="K5088" s="151">
        <f t="shared" si="109"/>
        <v>0</v>
      </c>
      <c r="L5088" s="151" t="s">
        <v>9021</v>
      </c>
    </row>
    <row r="5089" spans="8:12" x14ac:dyDescent="0.25">
      <c r="H5089" s="151" t="s">
        <v>5861</v>
      </c>
      <c r="I5089" s="151" t="s">
        <v>391</v>
      </c>
      <c r="J5089" s="151" t="s">
        <v>8975</v>
      </c>
      <c r="K5089" s="151">
        <f t="shared" si="109"/>
        <v>650000000001442</v>
      </c>
      <c r="L5089" s="151" t="s">
        <v>9021</v>
      </c>
    </row>
    <row r="5090" spans="8:12" x14ac:dyDescent="0.25">
      <c r="H5090" s="151" t="s">
        <v>5862</v>
      </c>
      <c r="I5090" s="151" t="s">
        <v>6962</v>
      </c>
      <c r="J5090" s="151" t="s">
        <v>6962</v>
      </c>
      <c r="K5090" s="151">
        <f t="shared" si="109"/>
        <v>0</v>
      </c>
      <c r="L5090" s="151" t="s">
        <v>9021</v>
      </c>
    </row>
    <row r="5091" spans="8:12" x14ac:dyDescent="0.25">
      <c r="H5091" s="151" t="s">
        <v>5862</v>
      </c>
      <c r="I5091" s="151" t="s">
        <v>391</v>
      </c>
      <c r="J5091" s="151" t="s">
        <v>8976</v>
      </c>
      <c r="K5091" s="151">
        <f t="shared" si="109"/>
        <v>650000000001443</v>
      </c>
      <c r="L5091" s="151" t="s">
        <v>9021</v>
      </c>
    </row>
    <row r="5092" spans="8:12" x14ac:dyDescent="0.25">
      <c r="H5092" s="151" t="s">
        <v>5863</v>
      </c>
      <c r="I5092" s="151" t="s">
        <v>6962</v>
      </c>
      <c r="J5092" s="151" t="s">
        <v>6962</v>
      </c>
      <c r="K5092" s="151">
        <f t="shared" si="109"/>
        <v>0</v>
      </c>
      <c r="L5092" s="151" t="s">
        <v>9021</v>
      </c>
    </row>
    <row r="5093" spans="8:12" x14ac:dyDescent="0.25">
      <c r="H5093" s="151" t="s">
        <v>5863</v>
      </c>
      <c r="I5093" s="151" t="s">
        <v>391</v>
      </c>
      <c r="J5093" s="151" t="s">
        <v>8977</v>
      </c>
      <c r="K5093" s="151">
        <f t="shared" si="109"/>
        <v>650000000001444</v>
      </c>
      <c r="L5093" s="151" t="s">
        <v>9021</v>
      </c>
    </row>
    <row r="5094" spans="8:12" x14ac:dyDescent="0.25">
      <c r="H5094" s="151" t="s">
        <v>5864</v>
      </c>
      <c r="I5094" s="151" t="s">
        <v>6962</v>
      </c>
      <c r="J5094" s="151" t="s">
        <v>6962</v>
      </c>
      <c r="K5094" s="151">
        <f t="shared" si="109"/>
        <v>0</v>
      </c>
      <c r="L5094" s="151" t="s">
        <v>9021</v>
      </c>
    </row>
    <row r="5095" spans="8:12" x14ac:dyDescent="0.25">
      <c r="H5095" s="151" t="s">
        <v>5864</v>
      </c>
      <c r="I5095" s="151" t="s">
        <v>391</v>
      </c>
      <c r="J5095" s="151" t="s">
        <v>8978</v>
      </c>
      <c r="K5095" s="151">
        <f t="shared" si="109"/>
        <v>650000000001445</v>
      </c>
      <c r="L5095" s="151" t="s">
        <v>9021</v>
      </c>
    </row>
    <row r="5096" spans="8:12" x14ac:dyDescent="0.25">
      <c r="H5096" s="151" t="s">
        <v>5865</v>
      </c>
      <c r="I5096" s="151" t="s">
        <v>6962</v>
      </c>
      <c r="J5096" s="151" t="s">
        <v>6962</v>
      </c>
      <c r="K5096" s="151">
        <f t="shared" si="109"/>
        <v>0</v>
      </c>
      <c r="L5096" s="151" t="s">
        <v>9021</v>
      </c>
    </row>
    <row r="5097" spans="8:12" x14ac:dyDescent="0.25">
      <c r="H5097" s="151" t="s">
        <v>5865</v>
      </c>
      <c r="I5097" s="151" t="s">
        <v>391</v>
      </c>
      <c r="J5097" s="151" t="s">
        <v>8979</v>
      </c>
      <c r="K5097" s="151">
        <f t="shared" si="109"/>
        <v>650000000001446</v>
      </c>
      <c r="L5097" s="151" t="s">
        <v>9021</v>
      </c>
    </row>
    <row r="5098" spans="8:12" x14ac:dyDescent="0.25">
      <c r="H5098" s="151" t="s">
        <v>5866</v>
      </c>
      <c r="I5098" s="151" t="s">
        <v>6962</v>
      </c>
      <c r="J5098" s="151" t="s">
        <v>6962</v>
      </c>
      <c r="K5098" s="151">
        <f t="shared" si="109"/>
        <v>0</v>
      </c>
      <c r="L5098" s="151" t="s">
        <v>9021</v>
      </c>
    </row>
    <row r="5099" spans="8:12" x14ac:dyDescent="0.25">
      <c r="H5099" s="151" t="s">
        <v>5866</v>
      </c>
      <c r="I5099" s="151" t="s">
        <v>391</v>
      </c>
      <c r="J5099" s="151" t="s">
        <v>8980</v>
      </c>
      <c r="K5099" s="151">
        <f t="shared" si="109"/>
        <v>650000000001447</v>
      </c>
      <c r="L5099" s="151" t="s">
        <v>9021</v>
      </c>
    </row>
    <row r="5100" spans="8:12" x14ac:dyDescent="0.25">
      <c r="H5100" s="151" t="s">
        <v>5867</v>
      </c>
      <c r="I5100" s="151" t="s">
        <v>6962</v>
      </c>
      <c r="J5100" s="151" t="s">
        <v>6962</v>
      </c>
      <c r="K5100" s="151">
        <f t="shared" si="109"/>
        <v>0</v>
      </c>
      <c r="L5100" s="151" t="s">
        <v>9021</v>
      </c>
    </row>
    <row r="5101" spans="8:12" x14ac:dyDescent="0.25">
      <c r="H5101" s="151" t="s">
        <v>5867</v>
      </c>
      <c r="I5101" s="151" t="s">
        <v>391</v>
      </c>
      <c r="J5101" s="151" t="s">
        <v>8981</v>
      </c>
      <c r="K5101" s="151">
        <f t="shared" si="109"/>
        <v>650000000002145</v>
      </c>
      <c r="L5101" s="151" t="s">
        <v>9021</v>
      </c>
    </row>
    <row r="5102" spans="8:12" x14ac:dyDescent="0.25">
      <c r="H5102" s="151" t="s">
        <v>5868</v>
      </c>
      <c r="I5102" s="151" t="s">
        <v>6962</v>
      </c>
      <c r="J5102" s="151" t="s">
        <v>6962</v>
      </c>
      <c r="K5102" s="151">
        <f t="shared" si="109"/>
        <v>0</v>
      </c>
      <c r="L5102" s="151" t="s">
        <v>9021</v>
      </c>
    </row>
    <row r="5103" spans="8:12" x14ac:dyDescent="0.25">
      <c r="H5103" s="151" t="s">
        <v>5868</v>
      </c>
      <c r="I5103" s="151" t="s">
        <v>391</v>
      </c>
      <c r="J5103" s="151" t="s">
        <v>8982</v>
      </c>
      <c r="K5103" s="151">
        <f t="shared" si="109"/>
        <v>650000000001448</v>
      </c>
      <c r="L5103" s="151" t="s">
        <v>9021</v>
      </c>
    </row>
    <row r="5104" spans="8:12" x14ac:dyDescent="0.25">
      <c r="H5104" s="151" t="s">
        <v>6957</v>
      </c>
      <c r="I5104" s="151" t="s">
        <v>6962</v>
      </c>
      <c r="J5104" s="151" t="s">
        <v>6962</v>
      </c>
      <c r="K5104" s="151">
        <f t="shared" si="109"/>
        <v>0</v>
      </c>
      <c r="L5104" s="151" t="s">
        <v>9021</v>
      </c>
    </row>
    <row r="5105" spans="8:12" x14ac:dyDescent="0.25">
      <c r="H5105" s="151" t="s">
        <v>5869</v>
      </c>
      <c r="I5105" s="151" t="s">
        <v>6962</v>
      </c>
      <c r="J5105" s="151" t="s">
        <v>6962</v>
      </c>
      <c r="K5105" s="151">
        <f t="shared" si="109"/>
        <v>0</v>
      </c>
      <c r="L5105" s="151" t="s">
        <v>9021</v>
      </c>
    </row>
    <row r="5106" spans="8:12" x14ac:dyDescent="0.25">
      <c r="H5106" s="151" t="s">
        <v>5869</v>
      </c>
      <c r="I5106" s="151" t="s">
        <v>391</v>
      </c>
      <c r="J5106" s="151" t="s">
        <v>8983</v>
      </c>
      <c r="K5106" s="151">
        <f t="shared" si="109"/>
        <v>650000000001449</v>
      </c>
      <c r="L5106" s="151" t="s">
        <v>9021</v>
      </c>
    </row>
    <row r="5107" spans="8:12" x14ac:dyDescent="0.25">
      <c r="H5107" s="151" t="s">
        <v>5870</v>
      </c>
      <c r="I5107" s="151" t="s">
        <v>6962</v>
      </c>
      <c r="J5107" s="151" t="s">
        <v>6962</v>
      </c>
      <c r="K5107" s="151">
        <f t="shared" si="109"/>
        <v>0</v>
      </c>
      <c r="L5107" s="151" t="s">
        <v>9021</v>
      </c>
    </row>
    <row r="5108" spans="8:12" x14ac:dyDescent="0.25">
      <c r="H5108" s="151" t="s">
        <v>5870</v>
      </c>
      <c r="I5108" s="151" t="s">
        <v>391</v>
      </c>
      <c r="J5108" s="151" t="s">
        <v>8984</v>
      </c>
      <c r="K5108" s="151">
        <f t="shared" si="109"/>
        <v>650000000002146</v>
      </c>
      <c r="L5108" s="151" t="s">
        <v>9021</v>
      </c>
    </row>
    <row r="5109" spans="8:12" x14ac:dyDescent="0.25">
      <c r="H5109" s="151" t="s">
        <v>5871</v>
      </c>
      <c r="I5109" s="151" t="s">
        <v>6962</v>
      </c>
      <c r="J5109" s="151" t="s">
        <v>6962</v>
      </c>
      <c r="K5109" s="151">
        <f t="shared" si="109"/>
        <v>0</v>
      </c>
      <c r="L5109" s="151" t="s">
        <v>9021</v>
      </c>
    </row>
    <row r="5110" spans="8:12" x14ac:dyDescent="0.25">
      <c r="H5110" s="151" t="s">
        <v>5871</v>
      </c>
      <c r="I5110" s="151" t="s">
        <v>391</v>
      </c>
      <c r="J5110" s="151" t="s">
        <v>8985</v>
      </c>
      <c r="K5110" s="151">
        <f t="shared" si="109"/>
        <v>650000000002147</v>
      </c>
      <c r="L5110" s="151" t="s">
        <v>9021</v>
      </c>
    </row>
    <row r="5111" spans="8:12" x14ac:dyDescent="0.25">
      <c r="H5111" s="151" t="s">
        <v>5872</v>
      </c>
      <c r="I5111" s="151" t="s">
        <v>6962</v>
      </c>
      <c r="J5111" s="151" t="s">
        <v>6962</v>
      </c>
      <c r="K5111" s="151">
        <f t="shared" si="109"/>
        <v>0</v>
      </c>
      <c r="L5111" s="151" t="s">
        <v>9021</v>
      </c>
    </row>
    <row r="5112" spans="8:12" x14ac:dyDescent="0.25">
      <c r="H5112" s="151" t="s">
        <v>5872</v>
      </c>
      <c r="I5112" s="151" t="s">
        <v>391</v>
      </c>
      <c r="J5112" s="151" t="s">
        <v>8986</v>
      </c>
      <c r="K5112" s="151">
        <f t="shared" si="109"/>
        <v>650000000001450</v>
      </c>
      <c r="L5112" s="151" t="s">
        <v>9021</v>
      </c>
    </row>
    <row r="5113" spans="8:12" x14ac:dyDescent="0.25">
      <c r="H5113" s="151" t="s">
        <v>5873</v>
      </c>
      <c r="I5113" s="151" t="s">
        <v>6962</v>
      </c>
      <c r="J5113" s="151" t="s">
        <v>6962</v>
      </c>
      <c r="K5113" s="151">
        <f t="shared" si="109"/>
        <v>0</v>
      </c>
      <c r="L5113" s="151" t="s">
        <v>9021</v>
      </c>
    </row>
    <row r="5114" spans="8:12" x14ac:dyDescent="0.25">
      <c r="H5114" s="151" t="s">
        <v>5873</v>
      </c>
      <c r="I5114" s="151" t="s">
        <v>391</v>
      </c>
      <c r="J5114" s="151" t="s">
        <v>8987</v>
      </c>
      <c r="K5114" s="151">
        <f t="shared" si="109"/>
        <v>650000000002148</v>
      </c>
      <c r="L5114" s="151" t="s">
        <v>9021</v>
      </c>
    </row>
    <row r="5115" spans="8:12" x14ac:dyDescent="0.25">
      <c r="H5115" s="151" t="s">
        <v>5874</v>
      </c>
      <c r="I5115" s="151" t="s">
        <v>6962</v>
      </c>
      <c r="J5115" s="151" t="s">
        <v>6962</v>
      </c>
      <c r="K5115" s="151">
        <f t="shared" si="109"/>
        <v>0</v>
      </c>
      <c r="L5115" s="151" t="s">
        <v>9021</v>
      </c>
    </row>
    <row r="5116" spans="8:12" x14ac:dyDescent="0.25">
      <c r="H5116" s="151" t="s">
        <v>5874</v>
      </c>
      <c r="I5116" s="151" t="s">
        <v>391</v>
      </c>
      <c r="J5116" s="151" t="s">
        <v>8988</v>
      </c>
      <c r="K5116" s="151">
        <f t="shared" si="109"/>
        <v>650000000001451</v>
      </c>
      <c r="L5116" s="151" t="s">
        <v>9021</v>
      </c>
    </row>
    <row r="5117" spans="8:12" x14ac:dyDescent="0.25">
      <c r="H5117" s="151" t="s">
        <v>6958</v>
      </c>
      <c r="I5117" s="151" t="s">
        <v>6962</v>
      </c>
      <c r="J5117" s="151" t="s">
        <v>6962</v>
      </c>
      <c r="K5117" s="151">
        <f t="shared" si="109"/>
        <v>0</v>
      </c>
      <c r="L5117" s="151" t="s">
        <v>9021</v>
      </c>
    </row>
    <row r="5118" spans="8:12" x14ac:dyDescent="0.25">
      <c r="H5118" s="151" t="s">
        <v>5875</v>
      </c>
      <c r="I5118" s="151" t="s">
        <v>6962</v>
      </c>
      <c r="J5118" s="151" t="s">
        <v>6962</v>
      </c>
      <c r="K5118" s="151">
        <f t="shared" si="109"/>
        <v>0</v>
      </c>
      <c r="L5118" s="151" t="s">
        <v>9021</v>
      </c>
    </row>
    <row r="5119" spans="8:12" x14ac:dyDescent="0.25">
      <c r="H5119" s="151" t="s">
        <v>5875</v>
      </c>
      <c r="I5119" s="151" t="s">
        <v>391</v>
      </c>
      <c r="J5119" s="151" t="s">
        <v>8989</v>
      </c>
      <c r="K5119" s="151">
        <f t="shared" si="109"/>
        <v>650000000002149</v>
      </c>
      <c r="L5119" s="151" t="s">
        <v>9021</v>
      </c>
    </row>
    <row r="5120" spans="8:12" x14ac:dyDescent="0.25">
      <c r="H5120" s="151" t="s">
        <v>5876</v>
      </c>
      <c r="I5120" s="151" t="s">
        <v>6962</v>
      </c>
      <c r="J5120" s="151" t="s">
        <v>6962</v>
      </c>
      <c r="K5120" s="151">
        <f t="shared" si="109"/>
        <v>0</v>
      </c>
      <c r="L5120" s="151" t="s">
        <v>9021</v>
      </c>
    </row>
    <row r="5121" spans="8:12" x14ac:dyDescent="0.25">
      <c r="H5121" s="151" t="s">
        <v>5876</v>
      </c>
      <c r="I5121" s="151" t="s">
        <v>391</v>
      </c>
      <c r="J5121" s="151" t="s">
        <v>8990</v>
      </c>
      <c r="K5121" s="151">
        <f t="shared" si="109"/>
        <v>650000000001452</v>
      </c>
      <c r="L5121" s="151" t="s">
        <v>9021</v>
      </c>
    </row>
    <row r="5122" spans="8:12" x14ac:dyDescent="0.25">
      <c r="H5122" s="151" t="s">
        <v>5877</v>
      </c>
      <c r="I5122" s="151" t="s">
        <v>6962</v>
      </c>
      <c r="J5122" s="151" t="s">
        <v>6962</v>
      </c>
      <c r="K5122" s="151">
        <f t="shared" si="109"/>
        <v>0</v>
      </c>
      <c r="L5122" s="151" t="s">
        <v>9021</v>
      </c>
    </row>
    <row r="5123" spans="8:12" x14ac:dyDescent="0.25">
      <c r="H5123" s="151" t="s">
        <v>5877</v>
      </c>
      <c r="I5123" s="151" t="s">
        <v>391</v>
      </c>
      <c r="J5123" s="151" t="s">
        <v>8991</v>
      </c>
      <c r="K5123" s="151">
        <f t="shared" ref="K5123:K5186" si="110">+IFERROR(J5123*1,0)</f>
        <v>650000000001453</v>
      </c>
      <c r="L5123" s="151" t="s">
        <v>9021</v>
      </c>
    </row>
    <row r="5124" spans="8:12" x14ac:dyDescent="0.25">
      <c r="H5124" s="151" t="s">
        <v>5878</v>
      </c>
      <c r="I5124" s="151" t="s">
        <v>6962</v>
      </c>
      <c r="J5124" s="151" t="s">
        <v>6962</v>
      </c>
      <c r="K5124" s="151">
        <f t="shared" si="110"/>
        <v>0</v>
      </c>
      <c r="L5124" s="151" t="s">
        <v>9021</v>
      </c>
    </row>
    <row r="5125" spans="8:12" x14ac:dyDescent="0.25">
      <c r="H5125" s="151" t="s">
        <v>5878</v>
      </c>
      <c r="I5125" s="151" t="s">
        <v>391</v>
      </c>
      <c r="J5125" s="151" t="s">
        <v>8992</v>
      </c>
      <c r="K5125" s="151">
        <f t="shared" si="110"/>
        <v>650000000001454</v>
      </c>
      <c r="L5125" s="151" t="s">
        <v>9021</v>
      </c>
    </row>
    <row r="5126" spans="8:12" x14ac:dyDescent="0.25">
      <c r="H5126" s="151" t="s">
        <v>5879</v>
      </c>
      <c r="I5126" s="151" t="s">
        <v>6962</v>
      </c>
      <c r="J5126" s="151" t="s">
        <v>6962</v>
      </c>
      <c r="K5126" s="151">
        <f t="shared" si="110"/>
        <v>0</v>
      </c>
      <c r="L5126" s="151" t="s">
        <v>9021</v>
      </c>
    </row>
    <row r="5127" spans="8:12" x14ac:dyDescent="0.25">
      <c r="H5127" s="151" t="s">
        <v>5879</v>
      </c>
      <c r="I5127" s="151" t="s">
        <v>391</v>
      </c>
      <c r="J5127" s="151" t="s">
        <v>8993</v>
      </c>
      <c r="K5127" s="151">
        <f t="shared" si="110"/>
        <v>650000000001455</v>
      </c>
      <c r="L5127" s="151" t="s">
        <v>9021</v>
      </c>
    </row>
    <row r="5128" spans="8:12" x14ac:dyDescent="0.25">
      <c r="H5128" s="151" t="s">
        <v>5880</v>
      </c>
      <c r="I5128" s="151" t="s">
        <v>6962</v>
      </c>
      <c r="J5128" s="151" t="s">
        <v>6962</v>
      </c>
      <c r="K5128" s="151">
        <f t="shared" si="110"/>
        <v>0</v>
      </c>
      <c r="L5128" s="151" t="s">
        <v>9021</v>
      </c>
    </row>
    <row r="5129" spans="8:12" x14ac:dyDescent="0.25">
      <c r="H5129" s="151" t="s">
        <v>5880</v>
      </c>
      <c r="I5129" s="151" t="s">
        <v>391</v>
      </c>
      <c r="J5129" s="151" t="s">
        <v>8994</v>
      </c>
      <c r="K5129" s="151">
        <f t="shared" si="110"/>
        <v>650000000001456</v>
      </c>
      <c r="L5129" s="151" t="s">
        <v>9021</v>
      </c>
    </row>
    <row r="5130" spans="8:12" x14ac:dyDescent="0.25">
      <c r="H5130" s="151" t="s">
        <v>5881</v>
      </c>
      <c r="I5130" s="151" t="s">
        <v>6962</v>
      </c>
      <c r="J5130" s="151" t="s">
        <v>6962</v>
      </c>
      <c r="K5130" s="151">
        <f t="shared" si="110"/>
        <v>0</v>
      </c>
      <c r="L5130" s="151" t="s">
        <v>9021</v>
      </c>
    </row>
    <row r="5131" spans="8:12" x14ac:dyDescent="0.25">
      <c r="H5131" s="151" t="s">
        <v>5881</v>
      </c>
      <c r="I5131" s="151" t="s">
        <v>391</v>
      </c>
      <c r="J5131" s="151" t="s">
        <v>8995</v>
      </c>
      <c r="K5131" s="151">
        <f t="shared" si="110"/>
        <v>650000000001457</v>
      </c>
      <c r="L5131" s="151" t="s">
        <v>9021</v>
      </c>
    </row>
    <row r="5132" spans="8:12" x14ac:dyDescent="0.25">
      <c r="H5132" s="151" t="s">
        <v>5882</v>
      </c>
      <c r="I5132" s="151" t="s">
        <v>6962</v>
      </c>
      <c r="J5132" s="151" t="s">
        <v>6962</v>
      </c>
      <c r="K5132" s="151">
        <f t="shared" si="110"/>
        <v>0</v>
      </c>
      <c r="L5132" s="151" t="s">
        <v>9021</v>
      </c>
    </row>
    <row r="5133" spans="8:12" x14ac:dyDescent="0.25">
      <c r="H5133" s="151" t="s">
        <v>5882</v>
      </c>
      <c r="I5133" s="151" t="s">
        <v>391</v>
      </c>
      <c r="J5133" s="151" t="s">
        <v>8996</v>
      </c>
      <c r="K5133" s="151">
        <f t="shared" si="110"/>
        <v>650000000002150</v>
      </c>
      <c r="L5133" s="151" t="s">
        <v>9021</v>
      </c>
    </row>
    <row r="5134" spans="8:12" x14ac:dyDescent="0.25">
      <c r="H5134" s="151" t="s">
        <v>5883</v>
      </c>
      <c r="I5134" s="151" t="s">
        <v>6962</v>
      </c>
      <c r="J5134" s="151" t="s">
        <v>6962</v>
      </c>
      <c r="K5134" s="151">
        <f t="shared" si="110"/>
        <v>0</v>
      </c>
      <c r="L5134" s="151" t="s">
        <v>9021</v>
      </c>
    </row>
    <row r="5135" spans="8:12" x14ac:dyDescent="0.25">
      <c r="H5135" s="151" t="s">
        <v>5883</v>
      </c>
      <c r="I5135" s="151" t="s">
        <v>391</v>
      </c>
      <c r="J5135" s="151" t="s">
        <v>8997</v>
      </c>
      <c r="K5135" s="151">
        <f t="shared" si="110"/>
        <v>650000000002151</v>
      </c>
      <c r="L5135" s="151" t="s">
        <v>9021</v>
      </c>
    </row>
    <row r="5136" spans="8:12" x14ac:dyDescent="0.25">
      <c r="H5136" s="151" t="s">
        <v>5884</v>
      </c>
      <c r="I5136" s="151" t="s">
        <v>6962</v>
      </c>
      <c r="J5136" s="151" t="s">
        <v>6962</v>
      </c>
      <c r="K5136" s="151">
        <f t="shared" si="110"/>
        <v>0</v>
      </c>
      <c r="L5136" s="151" t="s">
        <v>9021</v>
      </c>
    </row>
    <row r="5137" spans="8:12" x14ac:dyDescent="0.25">
      <c r="H5137" s="151" t="s">
        <v>5884</v>
      </c>
      <c r="I5137" s="151" t="s">
        <v>391</v>
      </c>
      <c r="J5137" s="151" t="s">
        <v>8998</v>
      </c>
      <c r="K5137" s="151">
        <f t="shared" si="110"/>
        <v>650000000002152</v>
      </c>
      <c r="L5137" s="151" t="s">
        <v>9021</v>
      </c>
    </row>
    <row r="5138" spans="8:12" x14ac:dyDescent="0.25">
      <c r="H5138" s="151" t="s">
        <v>5885</v>
      </c>
      <c r="I5138" s="151" t="s">
        <v>6962</v>
      </c>
      <c r="J5138" s="151" t="s">
        <v>6962</v>
      </c>
      <c r="K5138" s="151">
        <f t="shared" si="110"/>
        <v>0</v>
      </c>
      <c r="L5138" s="151" t="s">
        <v>9021</v>
      </c>
    </row>
    <row r="5139" spans="8:12" x14ac:dyDescent="0.25">
      <c r="H5139" s="151" t="s">
        <v>5885</v>
      </c>
      <c r="I5139" s="151" t="s">
        <v>391</v>
      </c>
      <c r="J5139" s="151" t="s">
        <v>8999</v>
      </c>
      <c r="K5139" s="151">
        <f t="shared" si="110"/>
        <v>650000000001458</v>
      </c>
      <c r="L5139" s="151" t="s">
        <v>9021</v>
      </c>
    </row>
    <row r="5140" spans="8:12" x14ac:dyDescent="0.25">
      <c r="H5140" s="151" t="s">
        <v>5886</v>
      </c>
      <c r="I5140" s="151" t="s">
        <v>6962</v>
      </c>
      <c r="J5140" s="151" t="s">
        <v>6962</v>
      </c>
      <c r="K5140" s="151">
        <f t="shared" si="110"/>
        <v>0</v>
      </c>
      <c r="L5140" s="151" t="s">
        <v>9021</v>
      </c>
    </row>
    <row r="5141" spans="8:12" x14ac:dyDescent="0.25">
      <c r="H5141" s="151" t="s">
        <v>5886</v>
      </c>
      <c r="I5141" s="151" t="s">
        <v>391</v>
      </c>
      <c r="J5141" s="151" t="s">
        <v>9000</v>
      </c>
      <c r="K5141" s="151">
        <f t="shared" si="110"/>
        <v>650000000001459</v>
      </c>
      <c r="L5141" s="151" t="s">
        <v>9021</v>
      </c>
    </row>
    <row r="5142" spans="8:12" x14ac:dyDescent="0.25">
      <c r="H5142" s="151" t="s">
        <v>5887</v>
      </c>
      <c r="I5142" s="151" t="s">
        <v>6962</v>
      </c>
      <c r="J5142" s="151" t="s">
        <v>6962</v>
      </c>
      <c r="K5142" s="151">
        <f t="shared" si="110"/>
        <v>0</v>
      </c>
      <c r="L5142" s="151" t="s">
        <v>9021</v>
      </c>
    </row>
    <row r="5143" spans="8:12" x14ac:dyDescent="0.25">
      <c r="H5143" s="151" t="s">
        <v>5887</v>
      </c>
      <c r="I5143" s="151" t="s">
        <v>391</v>
      </c>
      <c r="J5143" s="151" t="s">
        <v>9001</v>
      </c>
      <c r="K5143" s="151">
        <f t="shared" si="110"/>
        <v>650000000001460</v>
      </c>
      <c r="L5143" s="151" t="s">
        <v>9021</v>
      </c>
    </row>
    <row r="5144" spans="8:12" x14ac:dyDescent="0.25">
      <c r="H5144" s="151" t="s">
        <v>5888</v>
      </c>
      <c r="I5144" s="151" t="s">
        <v>6962</v>
      </c>
      <c r="J5144" s="151" t="s">
        <v>6962</v>
      </c>
      <c r="K5144" s="151">
        <f t="shared" si="110"/>
        <v>0</v>
      </c>
      <c r="L5144" s="151" t="s">
        <v>9021</v>
      </c>
    </row>
    <row r="5145" spans="8:12" x14ac:dyDescent="0.25">
      <c r="H5145" s="151" t="s">
        <v>5888</v>
      </c>
      <c r="I5145" s="151" t="s">
        <v>391</v>
      </c>
      <c r="J5145" s="151" t="s">
        <v>9002</v>
      </c>
      <c r="K5145" s="151">
        <f t="shared" si="110"/>
        <v>650000000002153</v>
      </c>
      <c r="L5145" s="151" t="s">
        <v>9021</v>
      </c>
    </row>
    <row r="5146" spans="8:12" x14ac:dyDescent="0.25">
      <c r="H5146" s="151" t="s">
        <v>5889</v>
      </c>
      <c r="I5146" s="151" t="s">
        <v>6962</v>
      </c>
      <c r="J5146" s="151" t="s">
        <v>6962</v>
      </c>
      <c r="K5146" s="151">
        <f t="shared" si="110"/>
        <v>0</v>
      </c>
      <c r="L5146" s="151" t="s">
        <v>9021</v>
      </c>
    </row>
    <row r="5147" spans="8:12" x14ac:dyDescent="0.25">
      <c r="H5147" s="151" t="s">
        <v>5889</v>
      </c>
      <c r="I5147" s="151" t="s">
        <v>391</v>
      </c>
      <c r="J5147" s="151" t="s">
        <v>9003</v>
      </c>
      <c r="K5147" s="151">
        <f t="shared" si="110"/>
        <v>650000000002154</v>
      </c>
      <c r="L5147" s="151" t="s">
        <v>9021</v>
      </c>
    </row>
    <row r="5148" spans="8:12" x14ac:dyDescent="0.25">
      <c r="H5148" s="151" t="s">
        <v>5890</v>
      </c>
      <c r="I5148" s="151" t="s">
        <v>6962</v>
      </c>
      <c r="J5148" s="151" t="s">
        <v>6962</v>
      </c>
      <c r="K5148" s="151">
        <f t="shared" si="110"/>
        <v>0</v>
      </c>
      <c r="L5148" s="151" t="s">
        <v>9021</v>
      </c>
    </row>
    <row r="5149" spans="8:12" x14ac:dyDescent="0.25">
      <c r="H5149" s="151" t="s">
        <v>5890</v>
      </c>
      <c r="I5149" s="151" t="s">
        <v>391</v>
      </c>
      <c r="J5149" s="151" t="s">
        <v>9004</v>
      </c>
      <c r="K5149" s="151">
        <f t="shared" si="110"/>
        <v>650000000002155</v>
      </c>
      <c r="L5149" s="151" t="s">
        <v>9021</v>
      </c>
    </row>
    <row r="5150" spans="8:12" x14ac:dyDescent="0.25">
      <c r="H5150" s="151" t="s">
        <v>5891</v>
      </c>
      <c r="I5150" s="151" t="s">
        <v>6962</v>
      </c>
      <c r="J5150" s="151" t="s">
        <v>6962</v>
      </c>
      <c r="K5150" s="151">
        <f t="shared" si="110"/>
        <v>0</v>
      </c>
      <c r="L5150" s="151" t="s">
        <v>9021</v>
      </c>
    </row>
    <row r="5151" spans="8:12" x14ac:dyDescent="0.25">
      <c r="H5151" s="151" t="s">
        <v>5891</v>
      </c>
      <c r="I5151" s="151" t="s">
        <v>391</v>
      </c>
      <c r="J5151" s="151" t="s">
        <v>9005</v>
      </c>
      <c r="K5151" s="151">
        <f t="shared" si="110"/>
        <v>650000000001461</v>
      </c>
      <c r="L5151" s="151" t="s">
        <v>9021</v>
      </c>
    </row>
    <row r="5152" spans="8:12" x14ac:dyDescent="0.25">
      <c r="H5152" s="151" t="s">
        <v>5892</v>
      </c>
      <c r="I5152" s="151" t="s">
        <v>6962</v>
      </c>
      <c r="J5152" s="151" t="s">
        <v>6962</v>
      </c>
      <c r="K5152" s="151">
        <f t="shared" si="110"/>
        <v>0</v>
      </c>
      <c r="L5152" s="151" t="s">
        <v>9021</v>
      </c>
    </row>
    <row r="5153" spans="8:12" x14ac:dyDescent="0.25">
      <c r="H5153" s="151" t="s">
        <v>5892</v>
      </c>
      <c r="I5153" s="151" t="s">
        <v>391</v>
      </c>
      <c r="J5153" s="151" t="s">
        <v>9006</v>
      </c>
      <c r="K5153" s="151">
        <f t="shared" si="110"/>
        <v>650000000001462</v>
      </c>
      <c r="L5153" s="151" t="s">
        <v>9021</v>
      </c>
    </row>
    <row r="5154" spans="8:12" x14ac:dyDescent="0.25">
      <c r="H5154" s="151" t="s">
        <v>5893</v>
      </c>
      <c r="I5154" s="151" t="s">
        <v>6962</v>
      </c>
      <c r="J5154" s="151" t="s">
        <v>6962</v>
      </c>
      <c r="K5154" s="151">
        <f t="shared" si="110"/>
        <v>0</v>
      </c>
      <c r="L5154" s="151" t="s">
        <v>9021</v>
      </c>
    </row>
    <row r="5155" spans="8:12" x14ac:dyDescent="0.25">
      <c r="H5155" s="151" t="s">
        <v>5893</v>
      </c>
      <c r="I5155" s="151" t="s">
        <v>391</v>
      </c>
      <c r="J5155" s="151" t="s">
        <v>9007</v>
      </c>
      <c r="K5155" s="151">
        <f t="shared" si="110"/>
        <v>650000000001463</v>
      </c>
      <c r="L5155" s="151" t="s">
        <v>9021</v>
      </c>
    </row>
    <row r="5156" spans="8:12" x14ac:dyDescent="0.25">
      <c r="H5156" s="151" t="s">
        <v>5894</v>
      </c>
      <c r="I5156" s="151" t="s">
        <v>6962</v>
      </c>
      <c r="J5156" s="151" t="s">
        <v>6962</v>
      </c>
      <c r="K5156" s="151">
        <f t="shared" si="110"/>
        <v>0</v>
      </c>
      <c r="L5156" s="151" t="s">
        <v>9021</v>
      </c>
    </row>
    <row r="5157" spans="8:12" x14ac:dyDescent="0.25">
      <c r="H5157" s="151" t="s">
        <v>5894</v>
      </c>
      <c r="I5157" s="151" t="s">
        <v>391</v>
      </c>
      <c r="J5157" s="151" t="s">
        <v>9008</v>
      </c>
      <c r="K5157" s="151">
        <f t="shared" si="110"/>
        <v>650000000002156</v>
      </c>
      <c r="L5157" s="151" t="s">
        <v>9021</v>
      </c>
    </row>
    <row r="5158" spans="8:12" x14ac:dyDescent="0.25">
      <c r="H5158" s="151" t="s">
        <v>5895</v>
      </c>
      <c r="I5158" s="151" t="s">
        <v>6962</v>
      </c>
      <c r="J5158" s="151" t="s">
        <v>6962</v>
      </c>
      <c r="K5158" s="151">
        <f t="shared" si="110"/>
        <v>0</v>
      </c>
      <c r="L5158" s="151" t="s">
        <v>9021</v>
      </c>
    </row>
    <row r="5159" spans="8:12" x14ac:dyDescent="0.25">
      <c r="H5159" s="151" t="s">
        <v>5895</v>
      </c>
      <c r="I5159" s="151" t="s">
        <v>391</v>
      </c>
      <c r="J5159" s="151" t="s">
        <v>9009</v>
      </c>
      <c r="K5159" s="151">
        <f t="shared" si="110"/>
        <v>650000000001464</v>
      </c>
      <c r="L5159" s="151" t="s">
        <v>9021</v>
      </c>
    </row>
    <row r="5160" spans="8:12" x14ac:dyDescent="0.25">
      <c r="H5160" s="151" t="s">
        <v>5896</v>
      </c>
      <c r="I5160" s="151" t="s">
        <v>6962</v>
      </c>
      <c r="J5160" s="151" t="s">
        <v>6962</v>
      </c>
      <c r="K5160" s="151">
        <f t="shared" si="110"/>
        <v>0</v>
      </c>
      <c r="L5160" s="151" t="s">
        <v>9021</v>
      </c>
    </row>
    <row r="5161" spans="8:12" x14ac:dyDescent="0.25">
      <c r="H5161" s="151" t="s">
        <v>5896</v>
      </c>
      <c r="I5161" s="151" t="s">
        <v>391</v>
      </c>
      <c r="J5161" s="151" t="s">
        <v>9010</v>
      </c>
      <c r="K5161" s="151">
        <f t="shared" si="110"/>
        <v>650000000002157</v>
      </c>
      <c r="L5161" s="151" t="s">
        <v>9021</v>
      </c>
    </row>
    <row r="5162" spans="8:12" x14ac:dyDescent="0.25">
      <c r="H5162" s="151" t="s">
        <v>5897</v>
      </c>
      <c r="I5162" s="151" t="s">
        <v>6962</v>
      </c>
      <c r="J5162" s="151" t="s">
        <v>6962</v>
      </c>
      <c r="K5162" s="151">
        <f t="shared" si="110"/>
        <v>0</v>
      </c>
      <c r="L5162" s="151" t="s">
        <v>9021</v>
      </c>
    </row>
    <row r="5163" spans="8:12" x14ac:dyDescent="0.25">
      <c r="H5163" s="151" t="s">
        <v>5897</v>
      </c>
      <c r="I5163" s="151" t="s">
        <v>391</v>
      </c>
      <c r="J5163" s="151" t="s">
        <v>9011</v>
      </c>
      <c r="K5163" s="151">
        <f t="shared" si="110"/>
        <v>650000000001465</v>
      </c>
      <c r="L5163" s="151" t="s">
        <v>9021</v>
      </c>
    </row>
    <row r="5164" spans="8:12" x14ac:dyDescent="0.25">
      <c r="H5164" s="151" t="s">
        <v>5898</v>
      </c>
      <c r="I5164" s="151" t="s">
        <v>6962</v>
      </c>
      <c r="J5164" s="151" t="s">
        <v>6962</v>
      </c>
      <c r="K5164" s="151">
        <f t="shared" si="110"/>
        <v>0</v>
      </c>
      <c r="L5164" s="151" t="s">
        <v>9021</v>
      </c>
    </row>
    <row r="5165" spans="8:12" x14ac:dyDescent="0.25">
      <c r="H5165" s="151" t="s">
        <v>5898</v>
      </c>
      <c r="I5165" s="151" t="s">
        <v>391</v>
      </c>
      <c r="J5165" s="151" t="s">
        <v>9012</v>
      </c>
      <c r="K5165" s="151">
        <f t="shared" si="110"/>
        <v>650000000002158</v>
      </c>
      <c r="L5165" s="151" t="s">
        <v>9021</v>
      </c>
    </row>
    <row r="5166" spans="8:12" x14ac:dyDescent="0.25">
      <c r="H5166" s="151" t="s">
        <v>5899</v>
      </c>
      <c r="I5166" s="151" t="s">
        <v>6962</v>
      </c>
      <c r="J5166" s="151" t="s">
        <v>6962</v>
      </c>
      <c r="K5166" s="151">
        <f t="shared" si="110"/>
        <v>0</v>
      </c>
      <c r="L5166" s="151" t="s">
        <v>9021</v>
      </c>
    </row>
    <row r="5167" spans="8:12" x14ac:dyDescent="0.25">
      <c r="H5167" s="151" t="s">
        <v>5899</v>
      </c>
      <c r="I5167" s="151" t="s">
        <v>391</v>
      </c>
      <c r="J5167" s="151" t="s">
        <v>9013</v>
      </c>
      <c r="K5167" s="151">
        <f t="shared" si="110"/>
        <v>650000000001466</v>
      </c>
      <c r="L5167" s="151" t="s">
        <v>9021</v>
      </c>
    </row>
    <row r="5168" spans="8:12" x14ac:dyDescent="0.25">
      <c r="H5168" s="151" t="s">
        <v>6959</v>
      </c>
      <c r="I5168" s="151" t="s">
        <v>6962</v>
      </c>
      <c r="J5168" s="151" t="s">
        <v>6962</v>
      </c>
      <c r="K5168" s="151">
        <f t="shared" si="110"/>
        <v>0</v>
      </c>
      <c r="L5168" s="151" t="s">
        <v>9021</v>
      </c>
    </row>
    <row r="5169" spans="8:12" x14ac:dyDescent="0.25">
      <c r="H5169" s="151" t="s">
        <v>5900</v>
      </c>
      <c r="I5169" s="151" t="s">
        <v>6962</v>
      </c>
      <c r="J5169" s="151" t="s">
        <v>6962</v>
      </c>
      <c r="K5169" s="151">
        <f t="shared" si="110"/>
        <v>0</v>
      </c>
      <c r="L5169" s="151" t="s">
        <v>9021</v>
      </c>
    </row>
    <row r="5170" spans="8:12" x14ac:dyDescent="0.25">
      <c r="H5170" s="151" t="s">
        <v>5900</v>
      </c>
      <c r="I5170" s="151" t="s">
        <v>391</v>
      </c>
      <c r="J5170" s="151" t="s">
        <v>9014</v>
      </c>
      <c r="K5170" s="151">
        <f t="shared" si="110"/>
        <v>650000000002159</v>
      </c>
      <c r="L5170" s="151" t="s">
        <v>9021</v>
      </c>
    </row>
    <row r="5171" spans="8:12" x14ac:dyDescent="0.25">
      <c r="H5171" s="151" t="s">
        <v>5901</v>
      </c>
      <c r="I5171" s="151" t="s">
        <v>6962</v>
      </c>
      <c r="J5171" s="151" t="s">
        <v>6962</v>
      </c>
      <c r="K5171" s="151">
        <f t="shared" si="110"/>
        <v>0</v>
      </c>
      <c r="L5171" s="151" t="s">
        <v>9021</v>
      </c>
    </row>
    <row r="5172" spans="8:12" x14ac:dyDescent="0.25">
      <c r="H5172" s="151" t="s">
        <v>5901</v>
      </c>
      <c r="I5172" s="151" t="s">
        <v>391</v>
      </c>
      <c r="J5172" s="151" t="s">
        <v>9015</v>
      </c>
      <c r="K5172" s="151">
        <f t="shared" si="110"/>
        <v>650000000001467</v>
      </c>
      <c r="L5172" s="151" t="s">
        <v>9021</v>
      </c>
    </row>
    <row r="5173" spans="8:12" x14ac:dyDescent="0.25">
      <c r="H5173" s="151" t="s">
        <v>5902</v>
      </c>
      <c r="I5173" s="151" t="s">
        <v>6962</v>
      </c>
      <c r="J5173" s="151" t="s">
        <v>6962</v>
      </c>
      <c r="K5173" s="151">
        <f t="shared" si="110"/>
        <v>0</v>
      </c>
      <c r="L5173" s="151" t="s">
        <v>9021</v>
      </c>
    </row>
    <row r="5174" spans="8:12" x14ac:dyDescent="0.25">
      <c r="H5174" s="151" t="s">
        <v>5902</v>
      </c>
      <c r="I5174" s="151" t="s">
        <v>391</v>
      </c>
      <c r="J5174" s="151" t="s">
        <v>9016</v>
      </c>
      <c r="K5174" s="151">
        <f t="shared" si="110"/>
        <v>650000000001468</v>
      </c>
      <c r="L5174" s="151" t="s">
        <v>9021</v>
      </c>
    </row>
    <row r="5175" spans="8:12" x14ac:dyDescent="0.25">
      <c r="H5175" s="151" t="s">
        <v>5903</v>
      </c>
      <c r="I5175" s="151" t="s">
        <v>6962</v>
      </c>
      <c r="J5175" s="151" t="s">
        <v>6962</v>
      </c>
      <c r="K5175" s="151">
        <f t="shared" si="110"/>
        <v>0</v>
      </c>
      <c r="L5175" s="151" t="s">
        <v>9021</v>
      </c>
    </row>
    <row r="5176" spans="8:12" x14ac:dyDescent="0.25">
      <c r="H5176" s="151" t="s">
        <v>5903</v>
      </c>
      <c r="I5176" s="151" t="s">
        <v>391</v>
      </c>
      <c r="J5176" s="151" t="s">
        <v>9017</v>
      </c>
      <c r="K5176" s="151">
        <f t="shared" si="110"/>
        <v>650000000001469</v>
      </c>
      <c r="L5176" s="151" t="s">
        <v>9021</v>
      </c>
    </row>
    <row r="5177" spans="8:12" x14ac:dyDescent="0.25">
      <c r="H5177" s="151" t="s">
        <v>5904</v>
      </c>
      <c r="I5177" s="151" t="s">
        <v>6962</v>
      </c>
      <c r="J5177" s="151" t="s">
        <v>6962</v>
      </c>
      <c r="K5177" s="151">
        <f t="shared" si="110"/>
        <v>0</v>
      </c>
      <c r="L5177" s="151" t="s">
        <v>9021</v>
      </c>
    </row>
    <row r="5178" spans="8:12" x14ac:dyDescent="0.25">
      <c r="H5178" s="151" t="s">
        <v>5904</v>
      </c>
      <c r="I5178" s="151" t="s">
        <v>391</v>
      </c>
      <c r="J5178" s="151" t="s">
        <v>9018</v>
      </c>
      <c r="K5178" s="151">
        <f t="shared" si="110"/>
        <v>650000000002160</v>
      </c>
      <c r="L5178" s="151" t="s">
        <v>9021</v>
      </c>
    </row>
    <row r="5179" spans="8:12" x14ac:dyDescent="0.25">
      <c r="H5179" s="151" t="s">
        <v>2194</v>
      </c>
      <c r="I5179" s="151" t="s">
        <v>6962</v>
      </c>
      <c r="J5179" s="151" t="s">
        <v>6962</v>
      </c>
      <c r="K5179" s="151">
        <f t="shared" si="110"/>
        <v>0</v>
      </c>
      <c r="L5179" s="151" t="s">
        <v>9022</v>
      </c>
    </row>
    <row r="5180" spans="8:12" x14ac:dyDescent="0.25">
      <c r="H5180" s="151" t="s">
        <v>2194</v>
      </c>
      <c r="I5180" s="151" t="s">
        <v>391</v>
      </c>
      <c r="J5180" s="151" t="s">
        <v>9027</v>
      </c>
      <c r="K5180" s="151">
        <f t="shared" si="110"/>
        <v>650000000002164</v>
      </c>
      <c r="L5180" s="151" t="s">
        <v>9022</v>
      </c>
    </row>
    <row r="5181" spans="8:12" x14ac:dyDescent="0.25">
      <c r="H5181" s="151" t="s">
        <v>2195</v>
      </c>
      <c r="I5181" s="151" t="s">
        <v>6962</v>
      </c>
      <c r="J5181" s="151" t="s">
        <v>6962</v>
      </c>
      <c r="K5181" s="151">
        <f t="shared" si="110"/>
        <v>0</v>
      </c>
      <c r="L5181" s="151" t="s">
        <v>9022</v>
      </c>
    </row>
    <row r="5182" spans="8:12" x14ac:dyDescent="0.25">
      <c r="H5182" s="151" t="s">
        <v>2195</v>
      </c>
      <c r="I5182" s="151" t="s">
        <v>391</v>
      </c>
      <c r="J5182" s="151" t="s">
        <v>9028</v>
      </c>
      <c r="K5182" s="151">
        <f t="shared" si="110"/>
        <v>650000000002167</v>
      </c>
      <c r="L5182" s="151" t="s">
        <v>9022</v>
      </c>
    </row>
    <row r="5183" spans="8:12" x14ac:dyDescent="0.25">
      <c r="H5183" s="151" t="s">
        <v>2196</v>
      </c>
      <c r="I5183" s="151" t="s">
        <v>6962</v>
      </c>
      <c r="J5183" s="151" t="s">
        <v>6962</v>
      </c>
      <c r="K5183" s="151">
        <f t="shared" si="110"/>
        <v>0</v>
      </c>
      <c r="L5183" s="151" t="s">
        <v>9022</v>
      </c>
    </row>
    <row r="5184" spans="8:12" x14ac:dyDescent="0.25">
      <c r="H5184" s="151" t="s">
        <v>2197</v>
      </c>
      <c r="I5184" s="151" t="s">
        <v>6962</v>
      </c>
      <c r="J5184" s="151" t="s">
        <v>6962</v>
      </c>
      <c r="K5184" s="151">
        <f t="shared" si="110"/>
        <v>0</v>
      </c>
      <c r="L5184" s="151" t="s">
        <v>9022</v>
      </c>
    </row>
    <row r="5185" spans="8:12" x14ac:dyDescent="0.25">
      <c r="H5185" s="151" t="s">
        <v>2197</v>
      </c>
      <c r="I5185" s="151" t="s">
        <v>391</v>
      </c>
      <c r="J5185" s="151" t="s">
        <v>9029</v>
      </c>
      <c r="K5185" s="151">
        <f t="shared" si="110"/>
        <v>650000000002166</v>
      </c>
      <c r="L5185" s="151" t="s">
        <v>9022</v>
      </c>
    </row>
    <row r="5186" spans="8:12" x14ac:dyDescent="0.25">
      <c r="H5186" s="151" t="s">
        <v>2198</v>
      </c>
      <c r="I5186" s="151" t="s">
        <v>6962</v>
      </c>
      <c r="J5186" s="151" t="s">
        <v>6962</v>
      </c>
      <c r="K5186" s="151">
        <f t="shared" si="110"/>
        <v>0</v>
      </c>
      <c r="L5186" s="151" t="s">
        <v>9022</v>
      </c>
    </row>
    <row r="5187" spans="8:12" x14ac:dyDescent="0.25">
      <c r="H5187" s="151" t="s">
        <v>2198</v>
      </c>
      <c r="I5187" s="151" t="s">
        <v>391</v>
      </c>
      <c r="J5187" s="151" t="s">
        <v>9030</v>
      </c>
      <c r="K5187" s="151">
        <f t="shared" ref="K5187:K5250" si="111">+IFERROR(J5187*1,0)</f>
        <v>650000000002172</v>
      </c>
      <c r="L5187" s="151" t="s">
        <v>9022</v>
      </c>
    </row>
    <row r="5188" spans="8:12" x14ac:dyDescent="0.25">
      <c r="H5188" s="151" t="s">
        <v>2199</v>
      </c>
      <c r="I5188" s="151" t="s">
        <v>6962</v>
      </c>
      <c r="J5188" s="151" t="s">
        <v>6962</v>
      </c>
      <c r="K5188" s="151">
        <f t="shared" si="111"/>
        <v>0</v>
      </c>
      <c r="L5188" s="151" t="s">
        <v>9024</v>
      </c>
    </row>
    <row r="5189" spans="8:12" x14ac:dyDescent="0.25">
      <c r="H5189" s="151" t="s">
        <v>2199</v>
      </c>
      <c r="I5189" s="151" t="s">
        <v>6962</v>
      </c>
      <c r="J5189" s="151" t="s">
        <v>9031</v>
      </c>
      <c r="K5189" s="151">
        <f t="shared" si="111"/>
        <v>650000000002177</v>
      </c>
      <c r="L5189" s="151" t="s">
        <v>9024</v>
      </c>
    </row>
    <row r="5190" spans="8:12" x14ac:dyDescent="0.25">
      <c r="H5190" s="151" t="s">
        <v>2200</v>
      </c>
      <c r="I5190" s="151" t="s">
        <v>6962</v>
      </c>
      <c r="J5190" s="151" t="s">
        <v>6962</v>
      </c>
      <c r="K5190" s="151">
        <f t="shared" si="111"/>
        <v>0</v>
      </c>
      <c r="L5190" s="151" t="s">
        <v>9025</v>
      </c>
    </row>
    <row r="5191" spans="8:12" x14ac:dyDescent="0.25">
      <c r="H5191" s="151" t="s">
        <v>2200</v>
      </c>
      <c r="I5191" s="151" t="s">
        <v>391</v>
      </c>
      <c r="J5191" s="151" t="s">
        <v>9031</v>
      </c>
      <c r="K5191" s="151">
        <f t="shared" si="111"/>
        <v>650000000002177</v>
      </c>
      <c r="L5191" s="151" t="s">
        <v>9025</v>
      </c>
    </row>
    <row r="5192" spans="8:12" x14ac:dyDescent="0.25">
      <c r="H5192" s="151" t="s">
        <v>2201</v>
      </c>
      <c r="I5192" s="151" t="s">
        <v>6962</v>
      </c>
      <c r="J5192" s="151" t="s">
        <v>6962</v>
      </c>
      <c r="K5192" s="151">
        <f t="shared" si="111"/>
        <v>0</v>
      </c>
      <c r="L5192" s="151" t="s">
        <v>9022</v>
      </c>
    </row>
    <row r="5193" spans="8:12" x14ac:dyDescent="0.25">
      <c r="H5193" s="151" t="s">
        <v>2201</v>
      </c>
      <c r="I5193" s="151" t="s">
        <v>391</v>
      </c>
      <c r="J5193" s="151" t="s">
        <v>9032</v>
      </c>
      <c r="K5193" s="151">
        <f t="shared" si="111"/>
        <v>650000000002179</v>
      </c>
      <c r="L5193" s="151" t="s">
        <v>9022</v>
      </c>
    </row>
    <row r="5194" spans="8:12" x14ac:dyDescent="0.25">
      <c r="H5194" s="151" t="s">
        <v>2202</v>
      </c>
      <c r="I5194" s="151" t="s">
        <v>6962</v>
      </c>
      <c r="J5194" s="151" t="s">
        <v>6962</v>
      </c>
      <c r="K5194" s="151">
        <f t="shared" si="111"/>
        <v>0</v>
      </c>
      <c r="L5194" s="151" t="s">
        <v>9022</v>
      </c>
    </row>
    <row r="5195" spans="8:12" x14ac:dyDescent="0.25">
      <c r="H5195" s="151" t="s">
        <v>2202</v>
      </c>
      <c r="I5195" s="151" t="s">
        <v>391</v>
      </c>
      <c r="J5195" s="151" t="s">
        <v>9033</v>
      </c>
      <c r="K5195" s="151">
        <f t="shared" si="111"/>
        <v>650000000002169</v>
      </c>
      <c r="L5195" s="151" t="s">
        <v>9022</v>
      </c>
    </row>
    <row r="5196" spans="8:12" x14ac:dyDescent="0.25">
      <c r="H5196" s="151" t="s">
        <v>2203</v>
      </c>
      <c r="I5196" s="151" t="s">
        <v>6962</v>
      </c>
      <c r="J5196" s="151" t="s">
        <v>6962</v>
      </c>
      <c r="K5196" s="151">
        <f t="shared" si="111"/>
        <v>0</v>
      </c>
      <c r="L5196" s="151" t="s">
        <v>9022</v>
      </c>
    </row>
    <row r="5197" spans="8:12" x14ac:dyDescent="0.25">
      <c r="H5197" s="151" t="s">
        <v>2203</v>
      </c>
      <c r="I5197" s="151" t="s">
        <v>391</v>
      </c>
      <c r="J5197" s="151" t="s">
        <v>9034</v>
      </c>
      <c r="K5197" s="151">
        <f t="shared" si="111"/>
        <v>650000000002180</v>
      </c>
      <c r="L5197" s="151" t="s">
        <v>9022</v>
      </c>
    </row>
    <row r="5198" spans="8:12" x14ac:dyDescent="0.25">
      <c r="H5198" s="151" t="s">
        <v>2204</v>
      </c>
      <c r="I5198" s="151" t="s">
        <v>6962</v>
      </c>
      <c r="J5198" s="151" t="s">
        <v>6962</v>
      </c>
      <c r="K5198" s="151">
        <f t="shared" si="111"/>
        <v>0</v>
      </c>
      <c r="L5198" s="151" t="s">
        <v>9022</v>
      </c>
    </row>
    <row r="5199" spans="8:12" x14ac:dyDescent="0.25">
      <c r="H5199" s="151" t="s">
        <v>2204</v>
      </c>
      <c r="I5199" s="151" t="s">
        <v>391</v>
      </c>
      <c r="J5199" s="151" t="s">
        <v>9035</v>
      </c>
      <c r="K5199" s="151">
        <f t="shared" si="111"/>
        <v>650000000002170</v>
      </c>
      <c r="L5199" s="151" t="s">
        <v>9022</v>
      </c>
    </row>
    <row r="5200" spans="8:12" x14ac:dyDescent="0.25">
      <c r="H5200" s="151" t="s">
        <v>2205</v>
      </c>
      <c r="I5200" s="151" t="s">
        <v>6962</v>
      </c>
      <c r="J5200" s="151" t="s">
        <v>6962</v>
      </c>
      <c r="K5200" s="151">
        <f t="shared" si="111"/>
        <v>0</v>
      </c>
      <c r="L5200" s="151" t="s">
        <v>9022</v>
      </c>
    </row>
    <row r="5201" spans="8:12" x14ac:dyDescent="0.25">
      <c r="H5201" s="151" t="s">
        <v>2206</v>
      </c>
      <c r="I5201" s="151" t="s">
        <v>6962</v>
      </c>
      <c r="J5201" s="151" t="s">
        <v>6962</v>
      </c>
      <c r="K5201" s="151">
        <f t="shared" si="111"/>
        <v>0</v>
      </c>
      <c r="L5201" s="151" t="s">
        <v>9024</v>
      </c>
    </row>
    <row r="5202" spans="8:12" x14ac:dyDescent="0.25">
      <c r="H5202" s="151" t="s">
        <v>2206</v>
      </c>
      <c r="I5202" s="151" t="s">
        <v>6962</v>
      </c>
      <c r="J5202" s="151" t="s">
        <v>9036</v>
      </c>
      <c r="K5202" s="151">
        <f t="shared" si="111"/>
        <v>650000000002183</v>
      </c>
      <c r="L5202" s="151" t="s">
        <v>9024</v>
      </c>
    </row>
    <row r="5203" spans="8:12" x14ac:dyDescent="0.25">
      <c r="H5203" s="151" t="s">
        <v>2207</v>
      </c>
      <c r="I5203" s="151" t="s">
        <v>6962</v>
      </c>
      <c r="J5203" s="151" t="s">
        <v>6962</v>
      </c>
      <c r="K5203" s="151">
        <f t="shared" si="111"/>
        <v>0</v>
      </c>
      <c r="L5203" s="151" t="s">
        <v>9025</v>
      </c>
    </row>
    <row r="5204" spans="8:12" x14ac:dyDescent="0.25">
      <c r="H5204" s="151" t="s">
        <v>2207</v>
      </c>
      <c r="I5204" s="151" t="s">
        <v>391</v>
      </c>
      <c r="J5204" s="151" t="s">
        <v>9036</v>
      </c>
      <c r="K5204" s="151">
        <f t="shared" si="111"/>
        <v>650000000002183</v>
      </c>
      <c r="L5204" s="151" t="s">
        <v>9025</v>
      </c>
    </row>
    <row r="5205" spans="8:12" x14ac:dyDescent="0.25">
      <c r="H5205" s="151" t="s">
        <v>2208</v>
      </c>
      <c r="I5205" s="151" t="s">
        <v>6962</v>
      </c>
      <c r="J5205" s="151" t="s">
        <v>6962</v>
      </c>
      <c r="K5205" s="151">
        <f t="shared" si="111"/>
        <v>0</v>
      </c>
      <c r="L5205" s="151" t="s">
        <v>9024</v>
      </c>
    </row>
    <row r="5206" spans="8:12" x14ac:dyDescent="0.25">
      <c r="H5206" s="151" t="s">
        <v>2208</v>
      </c>
      <c r="I5206" s="151" t="s">
        <v>6962</v>
      </c>
      <c r="J5206" s="151" t="s">
        <v>9037</v>
      </c>
      <c r="K5206" s="151">
        <f t="shared" si="111"/>
        <v>650000000002185</v>
      </c>
      <c r="L5206" s="151" t="s">
        <v>9024</v>
      </c>
    </row>
    <row r="5207" spans="8:12" x14ac:dyDescent="0.25">
      <c r="H5207" s="151" t="s">
        <v>2209</v>
      </c>
      <c r="I5207" s="151" t="s">
        <v>6962</v>
      </c>
      <c r="J5207" s="151" t="s">
        <v>6962</v>
      </c>
      <c r="K5207" s="151">
        <f t="shared" si="111"/>
        <v>0</v>
      </c>
      <c r="L5207" s="151" t="s">
        <v>9025</v>
      </c>
    </row>
    <row r="5208" spans="8:12" x14ac:dyDescent="0.25">
      <c r="H5208" s="151" t="s">
        <v>2209</v>
      </c>
      <c r="I5208" s="151" t="s">
        <v>391</v>
      </c>
      <c r="J5208" s="151" t="s">
        <v>9037</v>
      </c>
      <c r="K5208" s="151">
        <f t="shared" si="111"/>
        <v>650000000002185</v>
      </c>
      <c r="L5208" s="151" t="s">
        <v>9025</v>
      </c>
    </row>
    <row r="5209" spans="8:12" x14ac:dyDescent="0.25">
      <c r="H5209" s="151" t="s">
        <v>2210</v>
      </c>
      <c r="I5209" s="151" t="s">
        <v>6962</v>
      </c>
      <c r="J5209" s="151" t="s">
        <v>6962</v>
      </c>
      <c r="K5209" s="151">
        <f t="shared" si="111"/>
        <v>0</v>
      </c>
      <c r="L5209" s="151" t="s">
        <v>9022</v>
      </c>
    </row>
    <row r="5210" spans="8:12" x14ac:dyDescent="0.25">
      <c r="H5210" s="151" t="s">
        <v>2210</v>
      </c>
      <c r="I5210" s="151" t="s">
        <v>391</v>
      </c>
      <c r="J5210" s="151" t="s">
        <v>9038</v>
      </c>
      <c r="K5210" s="151">
        <f t="shared" si="111"/>
        <v>650000000002187</v>
      </c>
      <c r="L5210" s="151" t="s">
        <v>9022</v>
      </c>
    </row>
    <row r="5211" spans="8:12" x14ac:dyDescent="0.25">
      <c r="H5211" s="151" t="s">
        <v>2211</v>
      </c>
      <c r="I5211" s="151" t="s">
        <v>6962</v>
      </c>
      <c r="J5211" s="151" t="s">
        <v>6962</v>
      </c>
      <c r="K5211" s="151">
        <f t="shared" si="111"/>
        <v>0</v>
      </c>
      <c r="L5211" s="151" t="s">
        <v>9022</v>
      </c>
    </row>
    <row r="5212" spans="8:12" x14ac:dyDescent="0.25">
      <c r="H5212" s="151" t="s">
        <v>2211</v>
      </c>
      <c r="I5212" s="151" t="s">
        <v>391</v>
      </c>
      <c r="J5212" s="151" t="s">
        <v>9039</v>
      </c>
      <c r="K5212" s="151">
        <f t="shared" si="111"/>
        <v>650000000002188</v>
      </c>
      <c r="L5212" s="151" t="s">
        <v>9022</v>
      </c>
    </row>
    <row r="5213" spans="8:12" x14ac:dyDescent="0.25">
      <c r="H5213" s="151" t="s">
        <v>2212</v>
      </c>
      <c r="I5213" s="151" t="s">
        <v>6962</v>
      </c>
      <c r="J5213" s="151" t="s">
        <v>6962</v>
      </c>
      <c r="K5213" s="151">
        <f t="shared" si="111"/>
        <v>0</v>
      </c>
      <c r="L5213" s="151" t="s">
        <v>9022</v>
      </c>
    </row>
    <row r="5214" spans="8:12" x14ac:dyDescent="0.25">
      <c r="H5214" s="151" t="s">
        <v>2212</v>
      </c>
      <c r="I5214" s="151" t="s">
        <v>391</v>
      </c>
      <c r="J5214" s="151" t="s">
        <v>9040</v>
      </c>
      <c r="K5214" s="151">
        <f t="shared" si="111"/>
        <v>650000000002189</v>
      </c>
      <c r="L5214" s="151" t="s">
        <v>9022</v>
      </c>
    </row>
    <row r="5215" spans="8:12" x14ac:dyDescent="0.25">
      <c r="H5215" s="151" t="s">
        <v>2213</v>
      </c>
      <c r="I5215" s="151" t="s">
        <v>6962</v>
      </c>
      <c r="J5215" s="151" t="s">
        <v>6962</v>
      </c>
      <c r="K5215" s="151">
        <f t="shared" si="111"/>
        <v>0</v>
      </c>
      <c r="L5215" s="151" t="s">
        <v>9022</v>
      </c>
    </row>
    <row r="5216" spans="8:12" x14ac:dyDescent="0.25">
      <c r="H5216" s="151" t="s">
        <v>2213</v>
      </c>
      <c r="I5216" s="151" t="s">
        <v>391</v>
      </c>
      <c r="J5216" s="151" t="s">
        <v>9041</v>
      </c>
      <c r="K5216" s="151">
        <f t="shared" si="111"/>
        <v>650000000002192</v>
      </c>
      <c r="L5216" s="151" t="s">
        <v>9022</v>
      </c>
    </row>
    <row r="5217" spans="8:12" x14ac:dyDescent="0.25">
      <c r="H5217" s="151" t="s">
        <v>2214</v>
      </c>
      <c r="I5217" s="151" t="s">
        <v>6962</v>
      </c>
      <c r="J5217" s="151" t="s">
        <v>6962</v>
      </c>
      <c r="K5217" s="151">
        <f t="shared" si="111"/>
        <v>0</v>
      </c>
      <c r="L5217" s="151" t="s">
        <v>9022</v>
      </c>
    </row>
    <row r="5218" spans="8:12" x14ac:dyDescent="0.25">
      <c r="H5218" s="151" t="s">
        <v>2215</v>
      </c>
      <c r="I5218" s="151" t="s">
        <v>6962</v>
      </c>
      <c r="J5218" s="151" t="s">
        <v>6962</v>
      </c>
      <c r="K5218" s="151">
        <f t="shared" si="111"/>
        <v>0</v>
      </c>
      <c r="L5218" s="151" t="s">
        <v>9022</v>
      </c>
    </row>
    <row r="5219" spans="8:12" x14ac:dyDescent="0.25">
      <c r="H5219" s="151" t="s">
        <v>2215</v>
      </c>
      <c r="I5219" s="151" t="s">
        <v>391</v>
      </c>
      <c r="J5219" s="151" t="s">
        <v>9042</v>
      </c>
      <c r="K5219" s="151">
        <f t="shared" si="111"/>
        <v>650000000002194</v>
      </c>
      <c r="L5219" s="151" t="s">
        <v>9022</v>
      </c>
    </row>
    <row r="5220" spans="8:12" x14ac:dyDescent="0.25">
      <c r="H5220" s="151" t="s">
        <v>2216</v>
      </c>
      <c r="I5220" s="151" t="s">
        <v>6962</v>
      </c>
      <c r="J5220" s="151" t="s">
        <v>6962</v>
      </c>
      <c r="K5220" s="151">
        <f t="shared" si="111"/>
        <v>0</v>
      </c>
      <c r="L5220" s="151" t="s">
        <v>9022</v>
      </c>
    </row>
    <row r="5221" spans="8:12" x14ac:dyDescent="0.25">
      <c r="H5221" s="151" t="s">
        <v>2216</v>
      </c>
      <c r="I5221" s="151" t="s">
        <v>391</v>
      </c>
      <c r="J5221" s="151" t="s">
        <v>9043</v>
      </c>
      <c r="K5221" s="151">
        <f t="shared" si="111"/>
        <v>650000000002195</v>
      </c>
      <c r="L5221" s="151" t="s">
        <v>9022</v>
      </c>
    </row>
    <row r="5222" spans="8:12" x14ac:dyDescent="0.25">
      <c r="H5222" s="151" t="s">
        <v>2217</v>
      </c>
      <c r="I5222" s="151" t="s">
        <v>6962</v>
      </c>
      <c r="J5222" s="151" t="s">
        <v>6962</v>
      </c>
      <c r="K5222" s="151">
        <f t="shared" si="111"/>
        <v>0</v>
      </c>
      <c r="L5222" s="151" t="s">
        <v>9022</v>
      </c>
    </row>
    <row r="5223" spans="8:12" x14ac:dyDescent="0.25">
      <c r="H5223" s="151" t="s">
        <v>2217</v>
      </c>
      <c r="I5223" s="151" t="s">
        <v>391</v>
      </c>
      <c r="J5223" s="151" t="s">
        <v>9044</v>
      </c>
      <c r="K5223" s="151">
        <f t="shared" si="111"/>
        <v>650000000002196</v>
      </c>
      <c r="L5223" s="151" t="s">
        <v>9022</v>
      </c>
    </row>
    <row r="5224" spans="8:12" x14ac:dyDescent="0.25">
      <c r="H5224" s="151" t="s">
        <v>2218</v>
      </c>
      <c r="I5224" s="151" t="s">
        <v>6962</v>
      </c>
      <c r="J5224" s="151" t="s">
        <v>6962</v>
      </c>
      <c r="K5224" s="151">
        <f t="shared" si="111"/>
        <v>0</v>
      </c>
      <c r="L5224" s="151" t="s">
        <v>9022</v>
      </c>
    </row>
    <row r="5225" spans="8:12" x14ac:dyDescent="0.25">
      <c r="H5225" s="151" t="s">
        <v>2218</v>
      </c>
      <c r="I5225" s="151" t="s">
        <v>391</v>
      </c>
      <c r="J5225" s="151" t="s">
        <v>9045</v>
      </c>
      <c r="K5225" s="151">
        <f t="shared" si="111"/>
        <v>650000000002197</v>
      </c>
      <c r="L5225" s="151" t="s">
        <v>9022</v>
      </c>
    </row>
    <row r="5226" spans="8:12" x14ac:dyDescent="0.25">
      <c r="H5226" s="151" t="s">
        <v>2219</v>
      </c>
      <c r="I5226" s="151" t="s">
        <v>6962</v>
      </c>
      <c r="J5226" s="151" t="s">
        <v>6962</v>
      </c>
      <c r="K5226" s="151">
        <f t="shared" si="111"/>
        <v>0</v>
      </c>
      <c r="L5226" s="151" t="s">
        <v>9022</v>
      </c>
    </row>
    <row r="5227" spans="8:12" x14ac:dyDescent="0.25">
      <c r="H5227" s="151" t="s">
        <v>2219</v>
      </c>
      <c r="I5227" s="151" t="s">
        <v>391</v>
      </c>
      <c r="J5227" s="151" t="s">
        <v>9046</v>
      </c>
      <c r="K5227" s="151">
        <f t="shared" si="111"/>
        <v>650000000002198</v>
      </c>
      <c r="L5227" s="151" t="s">
        <v>9022</v>
      </c>
    </row>
    <row r="5228" spans="8:12" x14ac:dyDescent="0.25">
      <c r="H5228" s="151" t="s">
        <v>2220</v>
      </c>
      <c r="I5228" s="151" t="s">
        <v>6962</v>
      </c>
      <c r="J5228" s="151" t="s">
        <v>6962</v>
      </c>
      <c r="K5228" s="151">
        <f t="shared" si="111"/>
        <v>0</v>
      </c>
      <c r="L5228" s="151" t="s">
        <v>9022</v>
      </c>
    </row>
    <row r="5229" spans="8:12" x14ac:dyDescent="0.25">
      <c r="H5229" s="151" t="s">
        <v>2220</v>
      </c>
      <c r="I5229" s="151" t="s">
        <v>391</v>
      </c>
      <c r="J5229" s="151" t="s">
        <v>9047</v>
      </c>
      <c r="K5229" s="151">
        <f t="shared" si="111"/>
        <v>650000000002215</v>
      </c>
      <c r="L5229" s="151" t="s">
        <v>9022</v>
      </c>
    </row>
    <row r="5230" spans="8:12" x14ac:dyDescent="0.25">
      <c r="H5230" s="151" t="s">
        <v>2221</v>
      </c>
      <c r="I5230" s="151" t="s">
        <v>6962</v>
      </c>
      <c r="J5230" s="151" t="s">
        <v>6962</v>
      </c>
      <c r="K5230" s="151">
        <f t="shared" si="111"/>
        <v>0</v>
      </c>
      <c r="L5230" s="151" t="s">
        <v>9022</v>
      </c>
    </row>
    <row r="5231" spans="8:12" x14ac:dyDescent="0.25">
      <c r="H5231" s="151" t="s">
        <v>2222</v>
      </c>
      <c r="I5231" s="151" t="s">
        <v>6962</v>
      </c>
      <c r="J5231" s="151" t="s">
        <v>6962</v>
      </c>
      <c r="K5231" s="151">
        <f t="shared" si="111"/>
        <v>0</v>
      </c>
      <c r="L5231" s="151" t="s">
        <v>9022</v>
      </c>
    </row>
    <row r="5232" spans="8:12" x14ac:dyDescent="0.25">
      <c r="H5232" s="151" t="s">
        <v>2223</v>
      </c>
      <c r="I5232" s="151" t="s">
        <v>6962</v>
      </c>
      <c r="J5232" s="151" t="s">
        <v>6962</v>
      </c>
      <c r="K5232" s="151">
        <f t="shared" si="111"/>
        <v>0</v>
      </c>
      <c r="L5232" s="151" t="s">
        <v>9022</v>
      </c>
    </row>
    <row r="5233" spans="8:12" x14ac:dyDescent="0.25">
      <c r="H5233" s="151" t="s">
        <v>2224</v>
      </c>
      <c r="I5233" s="151" t="s">
        <v>6962</v>
      </c>
      <c r="J5233" s="151" t="s">
        <v>6962</v>
      </c>
      <c r="K5233" s="151">
        <f t="shared" si="111"/>
        <v>0</v>
      </c>
      <c r="L5233" s="151" t="s">
        <v>9022</v>
      </c>
    </row>
    <row r="5234" spans="8:12" x14ac:dyDescent="0.25">
      <c r="H5234" s="151" t="s">
        <v>2224</v>
      </c>
      <c r="I5234" s="151" t="s">
        <v>391</v>
      </c>
      <c r="J5234" s="151" t="s">
        <v>9048</v>
      </c>
      <c r="K5234" s="151">
        <f t="shared" si="111"/>
        <v>650000000002207</v>
      </c>
      <c r="L5234" s="151" t="s">
        <v>9022</v>
      </c>
    </row>
    <row r="5235" spans="8:12" x14ac:dyDescent="0.25">
      <c r="H5235" s="151" t="s">
        <v>2225</v>
      </c>
      <c r="I5235" s="151" t="s">
        <v>6962</v>
      </c>
      <c r="J5235" s="151" t="s">
        <v>6962</v>
      </c>
      <c r="K5235" s="151">
        <f t="shared" si="111"/>
        <v>0</v>
      </c>
      <c r="L5235" s="151" t="s">
        <v>9022</v>
      </c>
    </row>
    <row r="5236" spans="8:12" x14ac:dyDescent="0.25">
      <c r="H5236" s="151" t="s">
        <v>2225</v>
      </c>
      <c r="I5236" s="151" t="s">
        <v>391</v>
      </c>
      <c r="J5236" s="151" t="s">
        <v>9049</v>
      </c>
      <c r="K5236" s="151">
        <f t="shared" si="111"/>
        <v>650000000002209</v>
      </c>
      <c r="L5236" s="151" t="s">
        <v>9022</v>
      </c>
    </row>
    <row r="5237" spans="8:12" x14ac:dyDescent="0.25">
      <c r="H5237" s="151" t="s">
        <v>2226</v>
      </c>
      <c r="I5237" s="151" t="s">
        <v>6962</v>
      </c>
      <c r="J5237" s="151" t="s">
        <v>6962</v>
      </c>
      <c r="K5237" s="151">
        <f t="shared" si="111"/>
        <v>0</v>
      </c>
      <c r="L5237" s="151" t="s">
        <v>9022</v>
      </c>
    </row>
    <row r="5238" spans="8:12" x14ac:dyDescent="0.25">
      <c r="H5238" s="151" t="s">
        <v>2226</v>
      </c>
      <c r="I5238" s="151" t="s">
        <v>391</v>
      </c>
      <c r="J5238" s="151" t="s">
        <v>9050</v>
      </c>
      <c r="K5238" s="151">
        <f t="shared" si="111"/>
        <v>650000000002210</v>
      </c>
      <c r="L5238" s="151" t="s">
        <v>9022</v>
      </c>
    </row>
    <row r="5239" spans="8:12" x14ac:dyDescent="0.25">
      <c r="H5239" s="151" t="s">
        <v>2227</v>
      </c>
      <c r="I5239" s="151" t="s">
        <v>6962</v>
      </c>
      <c r="J5239" s="151" t="s">
        <v>6962</v>
      </c>
      <c r="K5239" s="151">
        <f t="shared" si="111"/>
        <v>0</v>
      </c>
      <c r="L5239" s="151" t="s">
        <v>9022</v>
      </c>
    </row>
    <row r="5240" spans="8:12" x14ac:dyDescent="0.25">
      <c r="H5240" s="151" t="s">
        <v>2227</v>
      </c>
      <c r="I5240" s="151" t="s">
        <v>391</v>
      </c>
      <c r="J5240" s="151" t="s">
        <v>9051</v>
      </c>
      <c r="K5240" s="151">
        <f t="shared" si="111"/>
        <v>650000000002213</v>
      </c>
      <c r="L5240" s="151" t="s">
        <v>9022</v>
      </c>
    </row>
    <row r="5241" spans="8:12" x14ac:dyDescent="0.25">
      <c r="H5241" s="151" t="s">
        <v>2228</v>
      </c>
      <c r="I5241" s="151" t="s">
        <v>6962</v>
      </c>
      <c r="J5241" s="151" t="s">
        <v>6962</v>
      </c>
      <c r="K5241" s="151">
        <f t="shared" si="111"/>
        <v>0</v>
      </c>
      <c r="L5241" s="151" t="s">
        <v>9022</v>
      </c>
    </row>
    <row r="5242" spans="8:12" x14ac:dyDescent="0.25">
      <c r="H5242" s="151" t="s">
        <v>2228</v>
      </c>
      <c r="I5242" s="151" t="s">
        <v>391</v>
      </c>
      <c r="J5242" s="151" t="s">
        <v>9052</v>
      </c>
      <c r="K5242" s="151">
        <f t="shared" si="111"/>
        <v>650000000002214</v>
      </c>
      <c r="L5242" s="151" t="s">
        <v>9022</v>
      </c>
    </row>
    <row r="5243" spans="8:12" x14ac:dyDescent="0.25">
      <c r="H5243" s="151" t="s">
        <v>2229</v>
      </c>
      <c r="I5243" s="151" t="s">
        <v>6962</v>
      </c>
      <c r="J5243" s="151" t="s">
        <v>6962</v>
      </c>
      <c r="K5243" s="151">
        <f t="shared" si="111"/>
        <v>0</v>
      </c>
      <c r="L5243" s="151" t="s">
        <v>9022</v>
      </c>
    </row>
    <row r="5244" spans="8:12" x14ac:dyDescent="0.25">
      <c r="H5244" s="151" t="s">
        <v>2229</v>
      </c>
      <c r="I5244" s="151" t="s">
        <v>391</v>
      </c>
      <c r="J5244" s="151" t="s">
        <v>9053</v>
      </c>
      <c r="K5244" s="151">
        <f t="shared" si="111"/>
        <v>650000000002212</v>
      </c>
      <c r="L5244" s="151" t="s">
        <v>9022</v>
      </c>
    </row>
    <row r="5245" spans="8:12" x14ac:dyDescent="0.25">
      <c r="H5245" s="151" t="s">
        <v>2230</v>
      </c>
      <c r="I5245" s="151" t="s">
        <v>6962</v>
      </c>
      <c r="J5245" s="151" t="s">
        <v>6962</v>
      </c>
      <c r="K5245" s="151">
        <f t="shared" si="111"/>
        <v>0</v>
      </c>
      <c r="L5245" s="151" t="s">
        <v>9022</v>
      </c>
    </row>
    <row r="5246" spans="8:12" x14ac:dyDescent="0.25">
      <c r="H5246" s="151" t="s">
        <v>2231</v>
      </c>
      <c r="I5246" s="151" t="s">
        <v>6962</v>
      </c>
      <c r="J5246" s="151" t="s">
        <v>6962</v>
      </c>
      <c r="K5246" s="151">
        <f t="shared" si="111"/>
        <v>0</v>
      </c>
      <c r="L5246" s="151" t="s">
        <v>9022</v>
      </c>
    </row>
    <row r="5247" spans="8:12" x14ac:dyDescent="0.25">
      <c r="H5247" s="151" t="s">
        <v>2232</v>
      </c>
      <c r="I5247" s="151" t="s">
        <v>6962</v>
      </c>
      <c r="J5247" s="151" t="s">
        <v>6962</v>
      </c>
      <c r="K5247" s="151">
        <f t="shared" si="111"/>
        <v>0</v>
      </c>
      <c r="L5247" s="151" t="s">
        <v>9022</v>
      </c>
    </row>
    <row r="5248" spans="8:12" x14ac:dyDescent="0.25">
      <c r="H5248" s="151" t="s">
        <v>2233</v>
      </c>
      <c r="I5248" s="151" t="s">
        <v>6962</v>
      </c>
      <c r="J5248" s="151" t="s">
        <v>6962</v>
      </c>
      <c r="K5248" s="151">
        <f t="shared" si="111"/>
        <v>0</v>
      </c>
      <c r="L5248" s="151" t="s">
        <v>9022</v>
      </c>
    </row>
    <row r="5249" spans="8:12" x14ac:dyDescent="0.25">
      <c r="H5249" s="151" t="s">
        <v>2234</v>
      </c>
      <c r="I5249" s="151" t="s">
        <v>6962</v>
      </c>
      <c r="J5249" s="151" t="s">
        <v>6962</v>
      </c>
      <c r="K5249" s="151">
        <f t="shared" si="111"/>
        <v>0</v>
      </c>
      <c r="L5249" s="151" t="s">
        <v>9023</v>
      </c>
    </row>
    <row r="5250" spans="8:12" x14ac:dyDescent="0.25">
      <c r="H5250" s="151" t="s">
        <v>2235</v>
      </c>
      <c r="I5250" s="151" t="s">
        <v>6962</v>
      </c>
      <c r="J5250" s="151" t="s">
        <v>6962</v>
      </c>
      <c r="K5250" s="151">
        <f t="shared" si="111"/>
        <v>0</v>
      </c>
      <c r="L5250" s="151" t="s">
        <v>9022</v>
      </c>
    </row>
    <row r="5251" spans="8:12" x14ac:dyDescent="0.25">
      <c r="H5251" s="151" t="s">
        <v>2236</v>
      </c>
      <c r="I5251" s="151" t="s">
        <v>6962</v>
      </c>
      <c r="J5251" s="151" t="s">
        <v>6962</v>
      </c>
      <c r="K5251" s="151">
        <f t="shared" ref="K5251:K5314" si="112">+IFERROR(J5251*1,0)</f>
        <v>0</v>
      </c>
      <c r="L5251" s="151" t="s">
        <v>9022</v>
      </c>
    </row>
    <row r="5252" spans="8:12" x14ac:dyDescent="0.25">
      <c r="H5252" s="151" t="s">
        <v>2237</v>
      </c>
      <c r="I5252" s="151" t="s">
        <v>6962</v>
      </c>
      <c r="J5252" s="151" t="s">
        <v>6962</v>
      </c>
      <c r="K5252" s="151">
        <f t="shared" si="112"/>
        <v>0</v>
      </c>
      <c r="L5252" s="151" t="s">
        <v>9022</v>
      </c>
    </row>
    <row r="5253" spans="8:12" x14ac:dyDescent="0.25">
      <c r="H5253" s="151" t="s">
        <v>2238</v>
      </c>
      <c r="I5253" s="151" t="s">
        <v>6962</v>
      </c>
      <c r="J5253" s="151" t="s">
        <v>6962</v>
      </c>
      <c r="K5253" s="151">
        <f t="shared" si="112"/>
        <v>0</v>
      </c>
      <c r="L5253" s="151" t="s">
        <v>9022</v>
      </c>
    </row>
    <row r="5254" spans="8:12" x14ac:dyDescent="0.25">
      <c r="H5254" s="151" t="s">
        <v>2239</v>
      </c>
      <c r="I5254" s="151" t="s">
        <v>6962</v>
      </c>
      <c r="J5254" s="151" t="s">
        <v>6962</v>
      </c>
      <c r="K5254" s="151">
        <f t="shared" si="112"/>
        <v>0</v>
      </c>
      <c r="L5254" s="151" t="s">
        <v>9022</v>
      </c>
    </row>
    <row r="5255" spans="8:12" x14ac:dyDescent="0.25">
      <c r="H5255" s="151" t="s">
        <v>2240</v>
      </c>
      <c r="I5255" s="151" t="s">
        <v>6962</v>
      </c>
      <c r="J5255" s="151" t="s">
        <v>6962</v>
      </c>
      <c r="K5255" s="151">
        <f t="shared" si="112"/>
        <v>0</v>
      </c>
      <c r="L5255" s="151" t="s">
        <v>9022</v>
      </c>
    </row>
    <row r="5256" spans="8:12" x14ac:dyDescent="0.25">
      <c r="H5256" s="151" t="s">
        <v>2241</v>
      </c>
      <c r="I5256" s="151" t="s">
        <v>6962</v>
      </c>
      <c r="J5256" s="151" t="s">
        <v>6962</v>
      </c>
      <c r="K5256" s="151">
        <f t="shared" si="112"/>
        <v>0</v>
      </c>
      <c r="L5256" s="151" t="s">
        <v>9022</v>
      </c>
    </row>
    <row r="5257" spans="8:12" x14ac:dyDescent="0.25">
      <c r="H5257" s="151" t="s">
        <v>2242</v>
      </c>
      <c r="I5257" s="151" t="s">
        <v>6962</v>
      </c>
      <c r="J5257" s="151" t="s">
        <v>6962</v>
      </c>
      <c r="K5257" s="151">
        <f t="shared" si="112"/>
        <v>0</v>
      </c>
      <c r="L5257" s="151" t="s">
        <v>9022</v>
      </c>
    </row>
    <row r="5258" spans="8:12" x14ac:dyDescent="0.25">
      <c r="H5258" s="151" t="s">
        <v>2243</v>
      </c>
      <c r="I5258" s="151" t="s">
        <v>6962</v>
      </c>
      <c r="J5258" s="151" t="s">
        <v>6962</v>
      </c>
      <c r="K5258" s="151">
        <f t="shared" si="112"/>
        <v>0</v>
      </c>
      <c r="L5258" s="151" t="s">
        <v>9022</v>
      </c>
    </row>
    <row r="5259" spans="8:12" x14ac:dyDescent="0.25">
      <c r="H5259" s="151" t="s">
        <v>2244</v>
      </c>
      <c r="I5259" s="151" t="s">
        <v>6962</v>
      </c>
      <c r="J5259" s="151" t="s">
        <v>6962</v>
      </c>
      <c r="K5259" s="151">
        <f t="shared" si="112"/>
        <v>0</v>
      </c>
      <c r="L5259" s="151" t="s">
        <v>9022</v>
      </c>
    </row>
    <row r="5260" spans="8:12" x14ac:dyDescent="0.25">
      <c r="H5260" s="151" t="s">
        <v>2245</v>
      </c>
      <c r="I5260" s="151" t="s">
        <v>6962</v>
      </c>
      <c r="J5260" s="151" t="s">
        <v>6962</v>
      </c>
      <c r="K5260" s="151">
        <f t="shared" si="112"/>
        <v>0</v>
      </c>
      <c r="L5260" s="151" t="s">
        <v>9022</v>
      </c>
    </row>
    <row r="5261" spans="8:12" x14ac:dyDescent="0.25">
      <c r="H5261" s="151" t="s">
        <v>2246</v>
      </c>
      <c r="I5261" s="151" t="s">
        <v>6962</v>
      </c>
      <c r="J5261" s="151" t="s">
        <v>6962</v>
      </c>
      <c r="K5261" s="151">
        <f t="shared" si="112"/>
        <v>0</v>
      </c>
      <c r="L5261" s="151" t="s">
        <v>9022</v>
      </c>
    </row>
    <row r="5262" spans="8:12" x14ac:dyDescent="0.25">
      <c r="H5262" s="151" t="s">
        <v>2247</v>
      </c>
      <c r="I5262" s="151" t="s">
        <v>6962</v>
      </c>
      <c r="J5262" s="151" t="s">
        <v>6962</v>
      </c>
      <c r="K5262" s="151">
        <f t="shared" si="112"/>
        <v>0</v>
      </c>
      <c r="L5262" s="151" t="s">
        <v>9022</v>
      </c>
    </row>
    <row r="5263" spans="8:12" x14ac:dyDescent="0.25">
      <c r="H5263" s="151" t="s">
        <v>2248</v>
      </c>
      <c r="I5263" s="151" t="s">
        <v>6962</v>
      </c>
      <c r="J5263" s="151" t="s">
        <v>6962</v>
      </c>
      <c r="K5263" s="151">
        <f t="shared" si="112"/>
        <v>0</v>
      </c>
      <c r="L5263" s="151" t="s">
        <v>9022</v>
      </c>
    </row>
    <row r="5264" spans="8:12" x14ac:dyDescent="0.25">
      <c r="H5264" s="151" t="s">
        <v>2249</v>
      </c>
      <c r="I5264" s="151" t="s">
        <v>6962</v>
      </c>
      <c r="J5264" s="151" t="s">
        <v>6962</v>
      </c>
      <c r="K5264" s="151">
        <f t="shared" si="112"/>
        <v>0</v>
      </c>
      <c r="L5264" s="151" t="s">
        <v>9022</v>
      </c>
    </row>
    <row r="5265" spans="8:12" x14ac:dyDescent="0.25">
      <c r="H5265" s="151" t="s">
        <v>2250</v>
      </c>
      <c r="I5265" s="151" t="s">
        <v>6962</v>
      </c>
      <c r="J5265" s="151" t="s">
        <v>6962</v>
      </c>
      <c r="K5265" s="151">
        <f t="shared" si="112"/>
        <v>0</v>
      </c>
      <c r="L5265" s="151" t="s">
        <v>9022</v>
      </c>
    </row>
    <row r="5266" spans="8:12" x14ac:dyDescent="0.25">
      <c r="H5266" s="151" t="s">
        <v>2251</v>
      </c>
      <c r="I5266" s="151" t="s">
        <v>6962</v>
      </c>
      <c r="J5266" s="151" t="s">
        <v>6962</v>
      </c>
      <c r="K5266" s="151">
        <f t="shared" si="112"/>
        <v>0</v>
      </c>
      <c r="L5266" s="151" t="s">
        <v>9022</v>
      </c>
    </row>
    <row r="5267" spans="8:12" x14ac:dyDescent="0.25">
      <c r="H5267" s="151" t="s">
        <v>2252</v>
      </c>
      <c r="I5267" s="151" t="s">
        <v>6962</v>
      </c>
      <c r="J5267" s="151" t="s">
        <v>6962</v>
      </c>
      <c r="K5267" s="151">
        <f t="shared" si="112"/>
        <v>0</v>
      </c>
      <c r="L5267" s="151" t="s">
        <v>9022</v>
      </c>
    </row>
    <row r="5268" spans="8:12" x14ac:dyDescent="0.25">
      <c r="H5268" s="151" t="s">
        <v>2253</v>
      </c>
      <c r="I5268" s="151" t="s">
        <v>6962</v>
      </c>
      <c r="J5268" s="151" t="s">
        <v>6962</v>
      </c>
      <c r="K5268" s="151">
        <f t="shared" si="112"/>
        <v>0</v>
      </c>
      <c r="L5268" s="151" t="s">
        <v>9022</v>
      </c>
    </row>
    <row r="5269" spans="8:12" x14ac:dyDescent="0.25">
      <c r="H5269" s="151" t="s">
        <v>2254</v>
      </c>
      <c r="I5269" s="151" t="s">
        <v>6962</v>
      </c>
      <c r="J5269" s="151" t="s">
        <v>6962</v>
      </c>
      <c r="K5269" s="151">
        <f t="shared" si="112"/>
        <v>0</v>
      </c>
      <c r="L5269" s="151" t="s">
        <v>9022</v>
      </c>
    </row>
    <row r="5270" spans="8:12" x14ac:dyDescent="0.25">
      <c r="H5270" s="151" t="s">
        <v>2255</v>
      </c>
      <c r="I5270" s="151" t="s">
        <v>6962</v>
      </c>
      <c r="J5270" s="151" t="s">
        <v>6962</v>
      </c>
      <c r="K5270" s="151">
        <f t="shared" si="112"/>
        <v>0</v>
      </c>
      <c r="L5270" s="151" t="s">
        <v>9022</v>
      </c>
    </row>
    <row r="5271" spans="8:12" x14ac:dyDescent="0.25">
      <c r="H5271" s="151" t="s">
        <v>2256</v>
      </c>
      <c r="I5271" s="151" t="s">
        <v>6962</v>
      </c>
      <c r="J5271" s="151" t="s">
        <v>6962</v>
      </c>
      <c r="K5271" s="151">
        <f t="shared" si="112"/>
        <v>0</v>
      </c>
      <c r="L5271" s="151" t="s">
        <v>9022</v>
      </c>
    </row>
    <row r="5272" spans="8:12" x14ac:dyDescent="0.25">
      <c r="H5272" s="151" t="s">
        <v>2257</v>
      </c>
      <c r="I5272" s="151" t="s">
        <v>6962</v>
      </c>
      <c r="J5272" s="151" t="s">
        <v>6962</v>
      </c>
      <c r="K5272" s="151">
        <f t="shared" si="112"/>
        <v>0</v>
      </c>
      <c r="L5272" s="151" t="s">
        <v>9022</v>
      </c>
    </row>
    <row r="5273" spans="8:12" x14ac:dyDescent="0.25">
      <c r="H5273" s="151" t="s">
        <v>2258</v>
      </c>
      <c r="I5273" s="151" t="s">
        <v>6962</v>
      </c>
      <c r="J5273" s="151" t="s">
        <v>6962</v>
      </c>
      <c r="K5273" s="151">
        <f t="shared" si="112"/>
        <v>0</v>
      </c>
      <c r="L5273" s="151" t="s">
        <v>9022</v>
      </c>
    </row>
    <row r="5274" spans="8:12" x14ac:dyDescent="0.25">
      <c r="H5274" s="151" t="s">
        <v>2259</v>
      </c>
      <c r="I5274" s="151" t="s">
        <v>6962</v>
      </c>
      <c r="J5274" s="151" t="s">
        <v>6962</v>
      </c>
      <c r="K5274" s="151">
        <f t="shared" si="112"/>
        <v>0</v>
      </c>
      <c r="L5274" s="151" t="s">
        <v>9022</v>
      </c>
    </row>
    <row r="5275" spans="8:12" x14ac:dyDescent="0.25">
      <c r="H5275" s="151" t="s">
        <v>2260</v>
      </c>
      <c r="I5275" s="151" t="s">
        <v>6962</v>
      </c>
      <c r="J5275" s="151" t="s">
        <v>6962</v>
      </c>
      <c r="K5275" s="151">
        <f t="shared" si="112"/>
        <v>0</v>
      </c>
      <c r="L5275" s="151" t="s">
        <v>9022</v>
      </c>
    </row>
    <row r="5276" spans="8:12" x14ac:dyDescent="0.25">
      <c r="H5276" s="151" t="s">
        <v>2261</v>
      </c>
      <c r="I5276" s="151" t="s">
        <v>6962</v>
      </c>
      <c r="J5276" s="151" t="s">
        <v>6962</v>
      </c>
      <c r="K5276" s="151">
        <f t="shared" si="112"/>
        <v>0</v>
      </c>
      <c r="L5276" s="151" t="s">
        <v>9022</v>
      </c>
    </row>
    <row r="5277" spans="8:12" x14ac:dyDescent="0.25">
      <c r="H5277" s="151" t="s">
        <v>2262</v>
      </c>
      <c r="I5277" s="151" t="s">
        <v>6962</v>
      </c>
      <c r="J5277" s="151" t="s">
        <v>6962</v>
      </c>
      <c r="K5277" s="151">
        <f t="shared" si="112"/>
        <v>0</v>
      </c>
      <c r="L5277" s="151" t="s">
        <v>9022</v>
      </c>
    </row>
    <row r="5278" spans="8:12" x14ac:dyDescent="0.25">
      <c r="H5278" s="151" t="s">
        <v>2263</v>
      </c>
      <c r="I5278" s="151" t="s">
        <v>6962</v>
      </c>
      <c r="J5278" s="151" t="s">
        <v>6962</v>
      </c>
      <c r="K5278" s="151">
        <f t="shared" si="112"/>
        <v>0</v>
      </c>
      <c r="L5278" s="151" t="s">
        <v>9022</v>
      </c>
    </row>
    <row r="5279" spans="8:12" x14ac:dyDescent="0.25">
      <c r="H5279" s="151" t="s">
        <v>2264</v>
      </c>
      <c r="I5279" s="151" t="s">
        <v>6962</v>
      </c>
      <c r="J5279" s="151" t="s">
        <v>6962</v>
      </c>
      <c r="K5279" s="151">
        <f t="shared" si="112"/>
        <v>0</v>
      </c>
      <c r="L5279" s="151" t="s">
        <v>9022</v>
      </c>
    </row>
    <row r="5280" spans="8:12" x14ac:dyDescent="0.25">
      <c r="H5280" s="151" t="s">
        <v>2265</v>
      </c>
      <c r="I5280" s="151" t="s">
        <v>6962</v>
      </c>
      <c r="J5280" s="151" t="s">
        <v>6962</v>
      </c>
      <c r="K5280" s="151">
        <f t="shared" si="112"/>
        <v>0</v>
      </c>
      <c r="L5280" s="151" t="s">
        <v>9022</v>
      </c>
    </row>
    <row r="5281" spans="8:12" x14ac:dyDescent="0.25">
      <c r="H5281" s="151" t="s">
        <v>2266</v>
      </c>
      <c r="I5281" s="151" t="s">
        <v>6962</v>
      </c>
      <c r="J5281" s="151" t="s">
        <v>6962</v>
      </c>
      <c r="K5281" s="151">
        <f t="shared" si="112"/>
        <v>0</v>
      </c>
      <c r="L5281" s="151" t="s">
        <v>9022</v>
      </c>
    </row>
    <row r="5282" spans="8:12" x14ac:dyDescent="0.25">
      <c r="H5282" s="151" t="s">
        <v>2267</v>
      </c>
      <c r="I5282" s="151" t="s">
        <v>6962</v>
      </c>
      <c r="J5282" s="151" t="s">
        <v>6962</v>
      </c>
      <c r="K5282" s="151">
        <f t="shared" si="112"/>
        <v>0</v>
      </c>
      <c r="L5282" s="151" t="s">
        <v>9022</v>
      </c>
    </row>
    <row r="5283" spans="8:12" x14ac:dyDescent="0.25">
      <c r="H5283" s="151" t="s">
        <v>2268</v>
      </c>
      <c r="I5283" s="151" t="s">
        <v>6962</v>
      </c>
      <c r="J5283" s="151" t="s">
        <v>6962</v>
      </c>
      <c r="K5283" s="151">
        <f t="shared" si="112"/>
        <v>0</v>
      </c>
      <c r="L5283" s="151" t="s">
        <v>9022</v>
      </c>
    </row>
    <row r="5284" spans="8:12" x14ac:dyDescent="0.25">
      <c r="H5284" s="151" t="s">
        <v>2269</v>
      </c>
      <c r="I5284" s="151" t="s">
        <v>6962</v>
      </c>
      <c r="J5284" s="151" t="s">
        <v>6962</v>
      </c>
      <c r="K5284" s="151">
        <f t="shared" si="112"/>
        <v>0</v>
      </c>
      <c r="L5284" s="151" t="s">
        <v>9022</v>
      </c>
    </row>
    <row r="5285" spans="8:12" x14ac:dyDescent="0.25">
      <c r="H5285" s="151" t="s">
        <v>2270</v>
      </c>
      <c r="I5285" s="151" t="s">
        <v>6962</v>
      </c>
      <c r="J5285" s="151" t="s">
        <v>6962</v>
      </c>
      <c r="K5285" s="151">
        <f t="shared" si="112"/>
        <v>0</v>
      </c>
      <c r="L5285" s="151" t="s">
        <v>9022</v>
      </c>
    </row>
    <row r="5286" spans="8:12" x14ac:dyDescent="0.25">
      <c r="H5286" s="151" t="s">
        <v>2271</v>
      </c>
      <c r="I5286" s="151" t="s">
        <v>6962</v>
      </c>
      <c r="J5286" s="151" t="s">
        <v>6962</v>
      </c>
      <c r="K5286" s="151">
        <f t="shared" si="112"/>
        <v>0</v>
      </c>
      <c r="L5286" s="151" t="s">
        <v>9022</v>
      </c>
    </row>
    <row r="5287" spans="8:12" x14ac:dyDescent="0.25">
      <c r="H5287" s="151" t="s">
        <v>2272</v>
      </c>
      <c r="I5287" s="151" t="s">
        <v>6962</v>
      </c>
      <c r="J5287" s="151" t="s">
        <v>6962</v>
      </c>
      <c r="K5287" s="151">
        <f t="shared" si="112"/>
        <v>0</v>
      </c>
      <c r="L5287" s="151" t="s">
        <v>9022</v>
      </c>
    </row>
    <row r="5288" spans="8:12" x14ac:dyDescent="0.25">
      <c r="H5288" s="151" t="s">
        <v>2273</v>
      </c>
      <c r="I5288" s="151" t="s">
        <v>6962</v>
      </c>
      <c r="J5288" s="151" t="s">
        <v>6962</v>
      </c>
      <c r="K5288" s="151">
        <f t="shared" si="112"/>
        <v>0</v>
      </c>
      <c r="L5288" s="151" t="s">
        <v>9022</v>
      </c>
    </row>
    <row r="5289" spans="8:12" x14ac:dyDescent="0.25">
      <c r="H5289" s="151" t="s">
        <v>2274</v>
      </c>
      <c r="I5289" s="151" t="s">
        <v>6962</v>
      </c>
      <c r="J5289" s="151" t="s">
        <v>6962</v>
      </c>
      <c r="K5289" s="151">
        <f t="shared" si="112"/>
        <v>0</v>
      </c>
      <c r="L5289" s="151" t="s">
        <v>9022</v>
      </c>
    </row>
    <row r="5290" spans="8:12" x14ac:dyDescent="0.25">
      <c r="H5290" s="151" t="s">
        <v>2275</v>
      </c>
      <c r="I5290" s="151" t="s">
        <v>6962</v>
      </c>
      <c r="J5290" s="151" t="s">
        <v>6962</v>
      </c>
      <c r="K5290" s="151">
        <f t="shared" si="112"/>
        <v>0</v>
      </c>
      <c r="L5290" s="151" t="s">
        <v>9022</v>
      </c>
    </row>
    <row r="5291" spans="8:12" x14ac:dyDescent="0.25">
      <c r="H5291" s="151" t="s">
        <v>2276</v>
      </c>
      <c r="I5291" s="151" t="s">
        <v>6962</v>
      </c>
      <c r="J5291" s="151" t="s">
        <v>6962</v>
      </c>
      <c r="K5291" s="151">
        <f t="shared" si="112"/>
        <v>0</v>
      </c>
      <c r="L5291" s="151" t="s">
        <v>9022</v>
      </c>
    </row>
    <row r="5292" spans="8:12" x14ac:dyDescent="0.25">
      <c r="H5292" s="151" t="s">
        <v>2277</v>
      </c>
      <c r="I5292" s="151" t="s">
        <v>6962</v>
      </c>
      <c r="J5292" s="151" t="s">
        <v>6962</v>
      </c>
      <c r="K5292" s="151">
        <f t="shared" si="112"/>
        <v>0</v>
      </c>
      <c r="L5292" s="151" t="s">
        <v>9022</v>
      </c>
    </row>
    <row r="5293" spans="8:12" x14ac:dyDescent="0.25">
      <c r="H5293" s="151" t="s">
        <v>2278</v>
      </c>
      <c r="I5293" s="151" t="s">
        <v>6962</v>
      </c>
      <c r="J5293" s="151" t="s">
        <v>6962</v>
      </c>
      <c r="K5293" s="151">
        <f t="shared" si="112"/>
        <v>0</v>
      </c>
      <c r="L5293" s="151" t="s">
        <v>9022</v>
      </c>
    </row>
    <row r="5294" spans="8:12" x14ac:dyDescent="0.25">
      <c r="H5294" s="151" t="s">
        <v>2279</v>
      </c>
      <c r="I5294" s="151" t="s">
        <v>6962</v>
      </c>
      <c r="J5294" s="151" t="s">
        <v>6962</v>
      </c>
      <c r="K5294" s="151">
        <f t="shared" si="112"/>
        <v>0</v>
      </c>
      <c r="L5294" s="151" t="s">
        <v>9022</v>
      </c>
    </row>
    <row r="5295" spans="8:12" x14ac:dyDescent="0.25">
      <c r="H5295" s="151" t="s">
        <v>2280</v>
      </c>
      <c r="I5295" s="151" t="s">
        <v>6962</v>
      </c>
      <c r="J5295" s="151" t="s">
        <v>6962</v>
      </c>
      <c r="K5295" s="151">
        <f t="shared" si="112"/>
        <v>0</v>
      </c>
      <c r="L5295" s="151" t="s">
        <v>9022</v>
      </c>
    </row>
    <row r="5296" spans="8:12" x14ac:dyDescent="0.25">
      <c r="H5296" s="151" t="s">
        <v>2281</v>
      </c>
      <c r="I5296" s="151" t="s">
        <v>6962</v>
      </c>
      <c r="J5296" s="151" t="s">
        <v>6962</v>
      </c>
      <c r="K5296" s="151">
        <f t="shared" si="112"/>
        <v>0</v>
      </c>
      <c r="L5296" s="151" t="s">
        <v>9022</v>
      </c>
    </row>
    <row r="5297" spans="8:12" x14ac:dyDescent="0.25">
      <c r="H5297" s="151" t="s">
        <v>2282</v>
      </c>
      <c r="I5297" s="151" t="s">
        <v>6962</v>
      </c>
      <c r="J5297" s="151" t="s">
        <v>6962</v>
      </c>
      <c r="K5297" s="151">
        <f t="shared" si="112"/>
        <v>0</v>
      </c>
      <c r="L5297" s="151" t="s">
        <v>9022</v>
      </c>
    </row>
    <row r="5298" spans="8:12" x14ac:dyDescent="0.25">
      <c r="H5298" s="151" t="s">
        <v>2283</v>
      </c>
      <c r="I5298" s="151" t="s">
        <v>6962</v>
      </c>
      <c r="J5298" s="151" t="s">
        <v>6962</v>
      </c>
      <c r="K5298" s="151">
        <f t="shared" si="112"/>
        <v>0</v>
      </c>
      <c r="L5298" s="151" t="s">
        <v>9022</v>
      </c>
    </row>
    <row r="5299" spans="8:12" x14ac:dyDescent="0.25">
      <c r="H5299" s="151" t="s">
        <v>2284</v>
      </c>
      <c r="I5299" s="151" t="s">
        <v>6962</v>
      </c>
      <c r="J5299" s="151" t="s">
        <v>6962</v>
      </c>
      <c r="K5299" s="151">
        <f t="shared" si="112"/>
        <v>0</v>
      </c>
      <c r="L5299" s="151" t="s">
        <v>9022</v>
      </c>
    </row>
    <row r="5300" spans="8:12" x14ac:dyDescent="0.25">
      <c r="H5300" s="151" t="s">
        <v>2285</v>
      </c>
      <c r="I5300" s="151" t="s">
        <v>6962</v>
      </c>
      <c r="J5300" s="151" t="s">
        <v>6962</v>
      </c>
      <c r="K5300" s="151">
        <f t="shared" si="112"/>
        <v>0</v>
      </c>
      <c r="L5300" s="151" t="s">
        <v>9022</v>
      </c>
    </row>
    <row r="5301" spans="8:12" x14ac:dyDescent="0.25">
      <c r="H5301" s="151" t="s">
        <v>2286</v>
      </c>
      <c r="I5301" s="151" t="s">
        <v>6962</v>
      </c>
      <c r="J5301" s="151" t="s">
        <v>6962</v>
      </c>
      <c r="K5301" s="151">
        <f t="shared" si="112"/>
        <v>0</v>
      </c>
      <c r="L5301" s="151" t="s">
        <v>9022</v>
      </c>
    </row>
    <row r="5302" spans="8:12" x14ac:dyDescent="0.25">
      <c r="H5302" s="151" t="s">
        <v>2287</v>
      </c>
      <c r="I5302" s="151" t="s">
        <v>6962</v>
      </c>
      <c r="J5302" s="151" t="s">
        <v>6962</v>
      </c>
      <c r="K5302" s="151">
        <f t="shared" si="112"/>
        <v>0</v>
      </c>
      <c r="L5302" s="151" t="s">
        <v>9022</v>
      </c>
    </row>
    <row r="5303" spans="8:12" x14ac:dyDescent="0.25">
      <c r="H5303" s="151" t="s">
        <v>2288</v>
      </c>
      <c r="I5303" s="151" t="s">
        <v>6962</v>
      </c>
      <c r="J5303" s="151" t="s">
        <v>6962</v>
      </c>
      <c r="K5303" s="151">
        <f t="shared" si="112"/>
        <v>0</v>
      </c>
      <c r="L5303" s="151" t="s">
        <v>9022</v>
      </c>
    </row>
    <row r="5304" spans="8:12" x14ac:dyDescent="0.25">
      <c r="H5304" s="151" t="s">
        <v>2289</v>
      </c>
      <c r="I5304" s="151" t="s">
        <v>6962</v>
      </c>
      <c r="J5304" s="151" t="s">
        <v>6962</v>
      </c>
      <c r="K5304" s="151">
        <f t="shared" si="112"/>
        <v>0</v>
      </c>
      <c r="L5304" s="151" t="s">
        <v>9022</v>
      </c>
    </row>
    <row r="5305" spans="8:12" x14ac:dyDescent="0.25">
      <c r="H5305" s="151" t="s">
        <v>2290</v>
      </c>
      <c r="I5305" s="151" t="s">
        <v>6962</v>
      </c>
      <c r="J5305" s="151" t="s">
        <v>6962</v>
      </c>
      <c r="K5305" s="151">
        <f t="shared" si="112"/>
        <v>0</v>
      </c>
      <c r="L5305" s="151" t="s">
        <v>9022</v>
      </c>
    </row>
    <row r="5306" spans="8:12" x14ac:dyDescent="0.25">
      <c r="H5306" s="151" t="s">
        <v>2291</v>
      </c>
      <c r="I5306" s="151" t="s">
        <v>6962</v>
      </c>
      <c r="J5306" s="151" t="s">
        <v>6962</v>
      </c>
      <c r="K5306" s="151">
        <f t="shared" si="112"/>
        <v>0</v>
      </c>
      <c r="L5306" s="151" t="s">
        <v>9022</v>
      </c>
    </row>
    <row r="5307" spans="8:12" x14ac:dyDescent="0.25">
      <c r="H5307" s="151" t="s">
        <v>2292</v>
      </c>
      <c r="I5307" s="151" t="s">
        <v>6962</v>
      </c>
      <c r="J5307" s="151" t="s">
        <v>6962</v>
      </c>
      <c r="K5307" s="151">
        <f t="shared" si="112"/>
        <v>0</v>
      </c>
      <c r="L5307" s="151" t="s">
        <v>9022</v>
      </c>
    </row>
    <row r="5308" spans="8:12" x14ac:dyDescent="0.25">
      <c r="H5308" s="151" t="s">
        <v>2293</v>
      </c>
      <c r="I5308" s="151" t="s">
        <v>6962</v>
      </c>
      <c r="J5308" s="151" t="s">
        <v>6962</v>
      </c>
      <c r="K5308" s="151">
        <f t="shared" si="112"/>
        <v>0</v>
      </c>
      <c r="L5308" s="151" t="s">
        <v>9022</v>
      </c>
    </row>
    <row r="5309" spans="8:12" x14ac:dyDescent="0.25">
      <c r="H5309" s="151" t="s">
        <v>2294</v>
      </c>
      <c r="I5309" s="151" t="s">
        <v>6962</v>
      </c>
      <c r="J5309" s="151" t="s">
        <v>6962</v>
      </c>
      <c r="K5309" s="151">
        <f t="shared" si="112"/>
        <v>0</v>
      </c>
      <c r="L5309" s="151" t="s">
        <v>9022</v>
      </c>
    </row>
    <row r="5310" spans="8:12" x14ac:dyDescent="0.25">
      <c r="H5310" s="151" t="s">
        <v>2295</v>
      </c>
      <c r="I5310" s="151" t="s">
        <v>6962</v>
      </c>
      <c r="J5310" s="151" t="s">
        <v>6962</v>
      </c>
      <c r="K5310" s="151">
        <f t="shared" si="112"/>
        <v>0</v>
      </c>
      <c r="L5310" s="151" t="s">
        <v>9022</v>
      </c>
    </row>
    <row r="5311" spans="8:12" x14ac:dyDescent="0.25">
      <c r="H5311" s="151" t="s">
        <v>2296</v>
      </c>
      <c r="I5311" s="151" t="s">
        <v>6962</v>
      </c>
      <c r="J5311" s="151" t="s">
        <v>6962</v>
      </c>
      <c r="K5311" s="151">
        <f t="shared" si="112"/>
        <v>0</v>
      </c>
      <c r="L5311" s="151" t="s">
        <v>9022</v>
      </c>
    </row>
    <row r="5312" spans="8:12" x14ac:dyDescent="0.25">
      <c r="H5312" s="151" t="s">
        <v>2297</v>
      </c>
      <c r="I5312" s="151" t="s">
        <v>6962</v>
      </c>
      <c r="J5312" s="151" t="s">
        <v>6962</v>
      </c>
      <c r="K5312" s="151">
        <f t="shared" si="112"/>
        <v>0</v>
      </c>
      <c r="L5312" s="151" t="s">
        <v>9022</v>
      </c>
    </row>
    <row r="5313" spans="8:12" x14ac:dyDescent="0.25">
      <c r="H5313" s="151" t="s">
        <v>2298</v>
      </c>
      <c r="I5313" s="151" t="s">
        <v>6962</v>
      </c>
      <c r="J5313" s="151" t="s">
        <v>6962</v>
      </c>
      <c r="K5313" s="151">
        <f t="shared" si="112"/>
        <v>0</v>
      </c>
      <c r="L5313" s="151" t="s">
        <v>9022</v>
      </c>
    </row>
    <row r="5314" spans="8:12" x14ac:dyDescent="0.25">
      <c r="H5314" s="151" t="s">
        <v>2299</v>
      </c>
      <c r="I5314" s="151" t="s">
        <v>6962</v>
      </c>
      <c r="J5314" s="151" t="s">
        <v>6962</v>
      </c>
      <c r="K5314" s="151">
        <f t="shared" si="112"/>
        <v>0</v>
      </c>
      <c r="L5314" s="151" t="s">
        <v>9022</v>
      </c>
    </row>
    <row r="5315" spans="8:12" x14ac:dyDescent="0.25">
      <c r="H5315" s="151" t="s">
        <v>2300</v>
      </c>
      <c r="I5315" s="151" t="s">
        <v>6962</v>
      </c>
      <c r="J5315" s="151" t="s">
        <v>6962</v>
      </c>
      <c r="K5315" s="151">
        <f t="shared" ref="K5315:K5378" si="113">+IFERROR(J5315*1,0)</f>
        <v>0</v>
      </c>
      <c r="L5315" s="151" t="s">
        <v>9022</v>
      </c>
    </row>
    <row r="5316" spans="8:12" x14ac:dyDescent="0.25">
      <c r="H5316" s="151" t="s">
        <v>2301</v>
      </c>
      <c r="I5316" s="151" t="s">
        <v>6962</v>
      </c>
      <c r="J5316" s="151" t="s">
        <v>6962</v>
      </c>
      <c r="K5316" s="151">
        <f t="shared" si="113"/>
        <v>0</v>
      </c>
      <c r="L5316" s="151" t="s">
        <v>9022</v>
      </c>
    </row>
    <row r="5317" spans="8:12" x14ac:dyDescent="0.25">
      <c r="H5317" s="151" t="s">
        <v>2302</v>
      </c>
      <c r="I5317" s="151" t="s">
        <v>6962</v>
      </c>
      <c r="J5317" s="151" t="s">
        <v>6962</v>
      </c>
      <c r="K5317" s="151">
        <f t="shared" si="113"/>
        <v>0</v>
      </c>
      <c r="L5317" s="151" t="s">
        <v>9022</v>
      </c>
    </row>
    <row r="5318" spans="8:12" x14ac:dyDescent="0.25">
      <c r="H5318" s="151" t="s">
        <v>2303</v>
      </c>
      <c r="I5318" s="151" t="s">
        <v>6962</v>
      </c>
      <c r="J5318" s="151" t="s">
        <v>6962</v>
      </c>
      <c r="K5318" s="151">
        <f t="shared" si="113"/>
        <v>0</v>
      </c>
      <c r="L5318" s="151" t="s">
        <v>9022</v>
      </c>
    </row>
    <row r="5319" spans="8:12" x14ac:dyDescent="0.25">
      <c r="H5319" s="151" t="s">
        <v>2304</v>
      </c>
      <c r="I5319" s="151" t="s">
        <v>6962</v>
      </c>
      <c r="J5319" s="151" t="s">
        <v>6962</v>
      </c>
      <c r="K5319" s="151">
        <f t="shared" si="113"/>
        <v>0</v>
      </c>
      <c r="L5319" s="151" t="s">
        <v>9022</v>
      </c>
    </row>
    <row r="5320" spans="8:12" x14ac:dyDescent="0.25">
      <c r="H5320" s="151" t="s">
        <v>2305</v>
      </c>
      <c r="I5320" s="151" t="s">
        <v>6962</v>
      </c>
      <c r="J5320" s="151" t="s">
        <v>6962</v>
      </c>
      <c r="K5320" s="151">
        <f t="shared" si="113"/>
        <v>0</v>
      </c>
      <c r="L5320" s="151" t="s">
        <v>9022</v>
      </c>
    </row>
    <row r="5321" spans="8:12" x14ac:dyDescent="0.25">
      <c r="H5321" s="151" t="s">
        <v>2306</v>
      </c>
      <c r="I5321" s="151" t="s">
        <v>6962</v>
      </c>
      <c r="J5321" s="151" t="s">
        <v>6962</v>
      </c>
      <c r="K5321" s="151">
        <f t="shared" si="113"/>
        <v>0</v>
      </c>
      <c r="L5321" s="151" t="s">
        <v>9022</v>
      </c>
    </row>
    <row r="5322" spans="8:12" x14ac:dyDescent="0.25">
      <c r="H5322" s="151" t="s">
        <v>2307</v>
      </c>
      <c r="I5322" s="151" t="s">
        <v>6962</v>
      </c>
      <c r="J5322" s="151" t="s">
        <v>6962</v>
      </c>
      <c r="K5322" s="151">
        <f t="shared" si="113"/>
        <v>0</v>
      </c>
      <c r="L5322" s="151" t="s">
        <v>9022</v>
      </c>
    </row>
    <row r="5323" spans="8:12" x14ac:dyDescent="0.25">
      <c r="H5323" s="151" t="s">
        <v>2308</v>
      </c>
      <c r="I5323" s="151" t="s">
        <v>6962</v>
      </c>
      <c r="J5323" s="151" t="s">
        <v>6962</v>
      </c>
      <c r="K5323" s="151">
        <f t="shared" si="113"/>
        <v>0</v>
      </c>
      <c r="L5323" s="151" t="s">
        <v>9022</v>
      </c>
    </row>
    <row r="5324" spans="8:12" x14ac:dyDescent="0.25">
      <c r="H5324" s="151" t="s">
        <v>2309</v>
      </c>
      <c r="I5324" s="151" t="s">
        <v>6962</v>
      </c>
      <c r="J5324" s="151" t="s">
        <v>6962</v>
      </c>
      <c r="K5324" s="151">
        <f t="shared" si="113"/>
        <v>0</v>
      </c>
      <c r="L5324" s="151" t="s">
        <v>9022</v>
      </c>
    </row>
    <row r="5325" spans="8:12" x14ac:dyDescent="0.25">
      <c r="H5325" s="151" t="s">
        <v>2310</v>
      </c>
      <c r="I5325" s="151" t="s">
        <v>6962</v>
      </c>
      <c r="J5325" s="151" t="s">
        <v>6962</v>
      </c>
      <c r="K5325" s="151">
        <f t="shared" si="113"/>
        <v>0</v>
      </c>
      <c r="L5325" s="151" t="s">
        <v>9022</v>
      </c>
    </row>
    <row r="5326" spans="8:12" x14ac:dyDescent="0.25">
      <c r="H5326" s="151" t="s">
        <v>2311</v>
      </c>
      <c r="I5326" s="151" t="s">
        <v>6962</v>
      </c>
      <c r="J5326" s="151" t="s">
        <v>6962</v>
      </c>
      <c r="K5326" s="151">
        <f t="shared" si="113"/>
        <v>0</v>
      </c>
      <c r="L5326" s="151" t="s">
        <v>9022</v>
      </c>
    </row>
    <row r="5327" spans="8:12" x14ac:dyDescent="0.25">
      <c r="H5327" s="151" t="s">
        <v>2312</v>
      </c>
      <c r="I5327" s="151" t="s">
        <v>6962</v>
      </c>
      <c r="J5327" s="151" t="s">
        <v>6962</v>
      </c>
      <c r="K5327" s="151">
        <f t="shared" si="113"/>
        <v>0</v>
      </c>
      <c r="L5327" s="151" t="s">
        <v>9022</v>
      </c>
    </row>
    <row r="5328" spans="8:12" x14ac:dyDescent="0.25">
      <c r="H5328" s="151" t="s">
        <v>2313</v>
      </c>
      <c r="I5328" s="151" t="s">
        <v>6962</v>
      </c>
      <c r="J5328" s="151" t="s">
        <v>6962</v>
      </c>
      <c r="K5328" s="151">
        <f t="shared" si="113"/>
        <v>0</v>
      </c>
      <c r="L5328" s="151" t="s">
        <v>9022</v>
      </c>
    </row>
    <row r="5329" spans="8:12" x14ac:dyDescent="0.25">
      <c r="H5329" s="151" t="s">
        <v>2314</v>
      </c>
      <c r="I5329" s="151" t="s">
        <v>6962</v>
      </c>
      <c r="J5329" s="151" t="s">
        <v>6962</v>
      </c>
      <c r="K5329" s="151">
        <f t="shared" si="113"/>
        <v>0</v>
      </c>
      <c r="L5329" s="151" t="s">
        <v>9022</v>
      </c>
    </row>
    <row r="5330" spans="8:12" x14ac:dyDescent="0.25">
      <c r="H5330" s="151" t="s">
        <v>2315</v>
      </c>
      <c r="I5330" s="151" t="s">
        <v>6962</v>
      </c>
      <c r="J5330" s="151" t="s">
        <v>6962</v>
      </c>
      <c r="K5330" s="151">
        <f t="shared" si="113"/>
        <v>0</v>
      </c>
      <c r="L5330" s="151" t="s">
        <v>9022</v>
      </c>
    </row>
    <row r="5331" spans="8:12" x14ac:dyDescent="0.25">
      <c r="H5331" s="151" t="s">
        <v>2316</v>
      </c>
      <c r="I5331" s="151" t="s">
        <v>6962</v>
      </c>
      <c r="J5331" s="151" t="s">
        <v>6962</v>
      </c>
      <c r="K5331" s="151">
        <f t="shared" si="113"/>
        <v>0</v>
      </c>
      <c r="L5331" s="151" t="s">
        <v>9022</v>
      </c>
    </row>
    <row r="5332" spans="8:12" x14ac:dyDescent="0.25">
      <c r="H5332" s="151" t="s">
        <v>2317</v>
      </c>
      <c r="I5332" s="151" t="s">
        <v>6962</v>
      </c>
      <c r="J5332" s="151" t="s">
        <v>6962</v>
      </c>
      <c r="K5332" s="151">
        <f t="shared" si="113"/>
        <v>0</v>
      </c>
      <c r="L5332" s="151" t="s">
        <v>9022</v>
      </c>
    </row>
    <row r="5333" spans="8:12" x14ac:dyDescent="0.25">
      <c r="H5333" s="151" t="s">
        <v>2318</v>
      </c>
      <c r="I5333" s="151" t="s">
        <v>6962</v>
      </c>
      <c r="J5333" s="151" t="s">
        <v>6962</v>
      </c>
      <c r="K5333" s="151">
        <f t="shared" si="113"/>
        <v>0</v>
      </c>
      <c r="L5333" s="151" t="s">
        <v>9022</v>
      </c>
    </row>
    <row r="5334" spans="8:12" x14ac:dyDescent="0.25">
      <c r="H5334" s="151" t="s">
        <v>2319</v>
      </c>
      <c r="I5334" s="151" t="s">
        <v>6962</v>
      </c>
      <c r="J5334" s="151" t="s">
        <v>6962</v>
      </c>
      <c r="K5334" s="151">
        <f t="shared" si="113"/>
        <v>0</v>
      </c>
      <c r="L5334" s="151" t="s">
        <v>9022</v>
      </c>
    </row>
    <row r="5335" spans="8:12" x14ac:dyDescent="0.25">
      <c r="H5335" s="151" t="s">
        <v>2320</v>
      </c>
      <c r="I5335" s="151" t="s">
        <v>6962</v>
      </c>
      <c r="J5335" s="151" t="s">
        <v>6962</v>
      </c>
      <c r="K5335" s="151">
        <f t="shared" si="113"/>
        <v>0</v>
      </c>
      <c r="L5335" s="151" t="s">
        <v>9022</v>
      </c>
    </row>
    <row r="5336" spans="8:12" x14ac:dyDescent="0.25">
      <c r="H5336" s="151" t="s">
        <v>2321</v>
      </c>
      <c r="I5336" s="151" t="s">
        <v>6962</v>
      </c>
      <c r="J5336" s="151" t="s">
        <v>6962</v>
      </c>
      <c r="K5336" s="151">
        <f t="shared" si="113"/>
        <v>0</v>
      </c>
      <c r="L5336" s="151" t="s">
        <v>9022</v>
      </c>
    </row>
    <row r="5337" spans="8:12" x14ac:dyDescent="0.25">
      <c r="H5337" s="151" t="s">
        <v>2322</v>
      </c>
      <c r="I5337" s="151" t="s">
        <v>6962</v>
      </c>
      <c r="J5337" s="151" t="s">
        <v>6962</v>
      </c>
      <c r="K5337" s="151">
        <f t="shared" si="113"/>
        <v>0</v>
      </c>
      <c r="L5337" s="151" t="s">
        <v>9022</v>
      </c>
    </row>
    <row r="5338" spans="8:12" x14ac:dyDescent="0.25">
      <c r="H5338" s="151" t="s">
        <v>2323</v>
      </c>
      <c r="I5338" s="151" t="s">
        <v>6962</v>
      </c>
      <c r="J5338" s="151" t="s">
        <v>6962</v>
      </c>
      <c r="K5338" s="151">
        <f t="shared" si="113"/>
        <v>0</v>
      </c>
      <c r="L5338" s="151" t="s">
        <v>9022</v>
      </c>
    </row>
    <row r="5339" spans="8:12" x14ac:dyDescent="0.25">
      <c r="H5339" s="151" t="s">
        <v>2324</v>
      </c>
      <c r="I5339" s="151" t="s">
        <v>6962</v>
      </c>
      <c r="J5339" s="151" t="s">
        <v>6962</v>
      </c>
      <c r="K5339" s="151">
        <f t="shared" si="113"/>
        <v>0</v>
      </c>
      <c r="L5339" s="151" t="s">
        <v>9022</v>
      </c>
    </row>
    <row r="5340" spans="8:12" x14ac:dyDescent="0.25">
      <c r="H5340" s="151" t="s">
        <v>2325</v>
      </c>
      <c r="I5340" s="151" t="s">
        <v>6962</v>
      </c>
      <c r="J5340" s="151" t="s">
        <v>6962</v>
      </c>
      <c r="K5340" s="151">
        <f t="shared" si="113"/>
        <v>0</v>
      </c>
      <c r="L5340" s="151" t="s">
        <v>9022</v>
      </c>
    </row>
    <row r="5341" spans="8:12" x14ac:dyDescent="0.25">
      <c r="H5341" s="151" t="s">
        <v>2326</v>
      </c>
      <c r="I5341" s="151" t="s">
        <v>6962</v>
      </c>
      <c r="J5341" s="151" t="s">
        <v>6962</v>
      </c>
      <c r="K5341" s="151">
        <f t="shared" si="113"/>
        <v>0</v>
      </c>
      <c r="L5341" s="151" t="s">
        <v>9022</v>
      </c>
    </row>
    <row r="5342" spans="8:12" x14ac:dyDescent="0.25">
      <c r="H5342" s="151" t="s">
        <v>2327</v>
      </c>
      <c r="I5342" s="151" t="s">
        <v>6962</v>
      </c>
      <c r="J5342" s="151" t="s">
        <v>6962</v>
      </c>
      <c r="K5342" s="151">
        <f t="shared" si="113"/>
        <v>0</v>
      </c>
      <c r="L5342" s="151" t="s">
        <v>9022</v>
      </c>
    </row>
    <row r="5343" spans="8:12" x14ac:dyDescent="0.25">
      <c r="H5343" s="151" t="s">
        <v>2328</v>
      </c>
      <c r="I5343" s="151" t="s">
        <v>6962</v>
      </c>
      <c r="J5343" s="151" t="s">
        <v>6962</v>
      </c>
      <c r="K5343" s="151">
        <f t="shared" si="113"/>
        <v>0</v>
      </c>
      <c r="L5343" s="151" t="s">
        <v>9022</v>
      </c>
    </row>
    <row r="5344" spans="8:12" x14ac:dyDescent="0.25">
      <c r="H5344" s="151" t="s">
        <v>2329</v>
      </c>
      <c r="I5344" s="151" t="s">
        <v>6962</v>
      </c>
      <c r="J5344" s="151" t="s">
        <v>6962</v>
      </c>
      <c r="K5344" s="151">
        <f t="shared" si="113"/>
        <v>0</v>
      </c>
      <c r="L5344" s="151" t="s">
        <v>9022</v>
      </c>
    </row>
    <row r="5345" spans="8:12" x14ac:dyDescent="0.25">
      <c r="H5345" s="151" t="s">
        <v>2330</v>
      </c>
      <c r="I5345" s="151" t="s">
        <v>6962</v>
      </c>
      <c r="J5345" s="151" t="s">
        <v>6962</v>
      </c>
      <c r="K5345" s="151">
        <f t="shared" si="113"/>
        <v>0</v>
      </c>
      <c r="L5345" s="151" t="s">
        <v>9022</v>
      </c>
    </row>
    <row r="5346" spans="8:12" x14ac:dyDescent="0.25">
      <c r="H5346" s="151" t="s">
        <v>2331</v>
      </c>
      <c r="I5346" s="151" t="s">
        <v>6962</v>
      </c>
      <c r="J5346" s="151" t="s">
        <v>6962</v>
      </c>
      <c r="K5346" s="151">
        <f t="shared" si="113"/>
        <v>0</v>
      </c>
      <c r="L5346" s="151" t="s">
        <v>9022</v>
      </c>
    </row>
    <row r="5347" spans="8:12" x14ac:dyDescent="0.25">
      <c r="H5347" s="151" t="s">
        <v>2332</v>
      </c>
      <c r="I5347" s="151" t="s">
        <v>6962</v>
      </c>
      <c r="J5347" s="151" t="s">
        <v>6962</v>
      </c>
      <c r="K5347" s="151">
        <f t="shared" si="113"/>
        <v>0</v>
      </c>
      <c r="L5347" s="151" t="s">
        <v>9022</v>
      </c>
    </row>
    <row r="5348" spans="8:12" x14ac:dyDescent="0.25">
      <c r="H5348" s="151" t="s">
        <v>2333</v>
      </c>
      <c r="I5348" s="151" t="s">
        <v>6962</v>
      </c>
      <c r="J5348" s="151" t="s">
        <v>6962</v>
      </c>
      <c r="K5348" s="151">
        <f t="shared" si="113"/>
        <v>0</v>
      </c>
      <c r="L5348" s="151" t="s">
        <v>9022</v>
      </c>
    </row>
    <row r="5349" spans="8:12" x14ac:dyDescent="0.25">
      <c r="H5349" s="151" t="s">
        <v>2334</v>
      </c>
      <c r="I5349" s="151" t="s">
        <v>6962</v>
      </c>
      <c r="J5349" s="151" t="s">
        <v>6962</v>
      </c>
      <c r="K5349" s="151">
        <f t="shared" si="113"/>
        <v>0</v>
      </c>
      <c r="L5349" s="151" t="s">
        <v>9022</v>
      </c>
    </row>
    <row r="5350" spans="8:12" x14ac:dyDescent="0.25">
      <c r="H5350" s="151" t="s">
        <v>2335</v>
      </c>
      <c r="I5350" s="151" t="s">
        <v>6962</v>
      </c>
      <c r="J5350" s="151" t="s">
        <v>6962</v>
      </c>
      <c r="K5350" s="151">
        <f t="shared" si="113"/>
        <v>0</v>
      </c>
      <c r="L5350" s="151" t="s">
        <v>9022</v>
      </c>
    </row>
    <row r="5351" spans="8:12" x14ac:dyDescent="0.25">
      <c r="H5351" s="151" t="s">
        <v>2336</v>
      </c>
      <c r="I5351" s="151" t="s">
        <v>6962</v>
      </c>
      <c r="J5351" s="151" t="s">
        <v>6962</v>
      </c>
      <c r="K5351" s="151">
        <f t="shared" si="113"/>
        <v>0</v>
      </c>
      <c r="L5351" s="151" t="s">
        <v>9022</v>
      </c>
    </row>
    <row r="5352" spans="8:12" x14ac:dyDescent="0.25">
      <c r="H5352" s="151" t="s">
        <v>2337</v>
      </c>
      <c r="I5352" s="151" t="s">
        <v>6962</v>
      </c>
      <c r="J5352" s="151" t="s">
        <v>6962</v>
      </c>
      <c r="K5352" s="151">
        <f t="shared" si="113"/>
        <v>0</v>
      </c>
      <c r="L5352" s="151" t="s">
        <v>9022</v>
      </c>
    </row>
    <row r="5353" spans="8:12" x14ac:dyDescent="0.25">
      <c r="H5353" s="151" t="s">
        <v>2338</v>
      </c>
      <c r="I5353" s="151" t="s">
        <v>6962</v>
      </c>
      <c r="J5353" s="151" t="s">
        <v>6962</v>
      </c>
      <c r="K5353" s="151">
        <f t="shared" si="113"/>
        <v>0</v>
      </c>
      <c r="L5353" s="151" t="s">
        <v>9022</v>
      </c>
    </row>
    <row r="5354" spans="8:12" x14ac:dyDescent="0.25">
      <c r="H5354" s="151" t="s">
        <v>2339</v>
      </c>
      <c r="I5354" s="151" t="s">
        <v>6962</v>
      </c>
      <c r="J5354" s="151" t="s">
        <v>6962</v>
      </c>
      <c r="K5354" s="151">
        <f t="shared" si="113"/>
        <v>0</v>
      </c>
      <c r="L5354" s="151" t="s">
        <v>9022</v>
      </c>
    </row>
    <row r="5355" spans="8:12" x14ac:dyDescent="0.25">
      <c r="H5355" s="151" t="s">
        <v>2340</v>
      </c>
      <c r="I5355" s="151" t="s">
        <v>6962</v>
      </c>
      <c r="J5355" s="151" t="s">
        <v>6962</v>
      </c>
      <c r="K5355" s="151">
        <f t="shared" si="113"/>
        <v>0</v>
      </c>
      <c r="L5355" s="151" t="s">
        <v>9022</v>
      </c>
    </row>
    <row r="5356" spans="8:12" x14ac:dyDescent="0.25">
      <c r="H5356" s="151" t="s">
        <v>2341</v>
      </c>
      <c r="I5356" s="151" t="s">
        <v>6962</v>
      </c>
      <c r="J5356" s="151" t="s">
        <v>6962</v>
      </c>
      <c r="K5356" s="151">
        <f t="shared" si="113"/>
        <v>0</v>
      </c>
      <c r="L5356" s="151" t="s">
        <v>9022</v>
      </c>
    </row>
    <row r="5357" spans="8:12" x14ac:dyDescent="0.25">
      <c r="H5357" s="151" t="s">
        <v>2342</v>
      </c>
      <c r="I5357" s="151" t="s">
        <v>6962</v>
      </c>
      <c r="J5357" s="151" t="s">
        <v>6962</v>
      </c>
      <c r="K5357" s="151">
        <f t="shared" si="113"/>
        <v>0</v>
      </c>
      <c r="L5357" s="151" t="s">
        <v>9022</v>
      </c>
    </row>
    <row r="5358" spans="8:12" x14ac:dyDescent="0.25">
      <c r="H5358" s="151" t="s">
        <v>2343</v>
      </c>
      <c r="I5358" s="151" t="s">
        <v>6962</v>
      </c>
      <c r="J5358" s="151" t="s">
        <v>6962</v>
      </c>
      <c r="K5358" s="151">
        <f t="shared" si="113"/>
        <v>0</v>
      </c>
      <c r="L5358" s="151" t="s">
        <v>9022</v>
      </c>
    </row>
    <row r="5359" spans="8:12" x14ac:dyDescent="0.25">
      <c r="H5359" s="151" t="s">
        <v>2344</v>
      </c>
      <c r="I5359" s="151" t="s">
        <v>6962</v>
      </c>
      <c r="J5359" s="151" t="s">
        <v>6962</v>
      </c>
      <c r="K5359" s="151">
        <f t="shared" si="113"/>
        <v>0</v>
      </c>
      <c r="L5359" s="151" t="s">
        <v>9022</v>
      </c>
    </row>
    <row r="5360" spans="8:12" x14ac:dyDescent="0.25">
      <c r="H5360" s="151" t="s">
        <v>2345</v>
      </c>
      <c r="I5360" s="151" t="s">
        <v>6962</v>
      </c>
      <c r="J5360" s="151" t="s">
        <v>6962</v>
      </c>
      <c r="K5360" s="151">
        <f t="shared" si="113"/>
        <v>0</v>
      </c>
      <c r="L5360" s="151" t="s">
        <v>9022</v>
      </c>
    </row>
    <row r="5361" spans="8:12" x14ac:dyDescent="0.25">
      <c r="H5361" s="151" t="s">
        <v>2346</v>
      </c>
      <c r="I5361" s="151" t="s">
        <v>6962</v>
      </c>
      <c r="J5361" s="151" t="s">
        <v>6962</v>
      </c>
      <c r="K5361" s="151">
        <f t="shared" si="113"/>
        <v>0</v>
      </c>
      <c r="L5361" s="151" t="s">
        <v>9022</v>
      </c>
    </row>
    <row r="5362" spans="8:12" x14ac:dyDescent="0.25">
      <c r="H5362" s="151" t="s">
        <v>2347</v>
      </c>
      <c r="I5362" s="151" t="s">
        <v>6962</v>
      </c>
      <c r="J5362" s="151" t="s">
        <v>6962</v>
      </c>
      <c r="K5362" s="151">
        <f t="shared" si="113"/>
        <v>0</v>
      </c>
      <c r="L5362" s="151" t="s">
        <v>9022</v>
      </c>
    </row>
    <row r="5363" spans="8:12" x14ac:dyDescent="0.25">
      <c r="H5363" s="151" t="s">
        <v>2348</v>
      </c>
      <c r="I5363" s="151" t="s">
        <v>6962</v>
      </c>
      <c r="J5363" s="151" t="s">
        <v>6962</v>
      </c>
      <c r="K5363" s="151">
        <f t="shared" si="113"/>
        <v>0</v>
      </c>
      <c r="L5363" s="151" t="s">
        <v>9022</v>
      </c>
    </row>
    <row r="5364" spans="8:12" x14ac:dyDescent="0.25">
      <c r="H5364" s="151" t="s">
        <v>2349</v>
      </c>
      <c r="I5364" s="151" t="s">
        <v>6962</v>
      </c>
      <c r="J5364" s="151" t="s">
        <v>6962</v>
      </c>
      <c r="K5364" s="151">
        <f t="shared" si="113"/>
        <v>0</v>
      </c>
      <c r="L5364" s="151" t="s">
        <v>9022</v>
      </c>
    </row>
    <row r="5365" spans="8:12" x14ac:dyDescent="0.25">
      <c r="H5365" s="151" t="s">
        <v>2350</v>
      </c>
      <c r="I5365" s="151" t="s">
        <v>6962</v>
      </c>
      <c r="J5365" s="151" t="s">
        <v>6962</v>
      </c>
      <c r="K5365" s="151">
        <f t="shared" si="113"/>
        <v>0</v>
      </c>
      <c r="L5365" s="151" t="s">
        <v>9022</v>
      </c>
    </row>
    <row r="5366" spans="8:12" x14ac:dyDescent="0.25">
      <c r="H5366" s="151" t="s">
        <v>2351</v>
      </c>
      <c r="I5366" s="151" t="s">
        <v>6962</v>
      </c>
      <c r="J5366" s="151" t="s">
        <v>6962</v>
      </c>
      <c r="K5366" s="151">
        <f t="shared" si="113"/>
        <v>0</v>
      </c>
      <c r="L5366" s="151" t="s">
        <v>9022</v>
      </c>
    </row>
    <row r="5367" spans="8:12" x14ac:dyDescent="0.25">
      <c r="H5367" s="151" t="s">
        <v>2352</v>
      </c>
      <c r="I5367" s="151" t="s">
        <v>6962</v>
      </c>
      <c r="J5367" s="151" t="s">
        <v>6962</v>
      </c>
      <c r="K5367" s="151">
        <f t="shared" si="113"/>
        <v>0</v>
      </c>
      <c r="L5367" s="151" t="s">
        <v>9022</v>
      </c>
    </row>
    <row r="5368" spans="8:12" x14ac:dyDescent="0.25">
      <c r="H5368" s="151" t="s">
        <v>2353</v>
      </c>
      <c r="I5368" s="151" t="s">
        <v>6962</v>
      </c>
      <c r="J5368" s="151" t="s">
        <v>6962</v>
      </c>
      <c r="K5368" s="151">
        <f t="shared" si="113"/>
        <v>0</v>
      </c>
      <c r="L5368" s="151" t="s">
        <v>9022</v>
      </c>
    </row>
    <row r="5369" spans="8:12" x14ac:dyDescent="0.25">
      <c r="H5369" s="151" t="s">
        <v>2354</v>
      </c>
      <c r="I5369" s="151" t="s">
        <v>6962</v>
      </c>
      <c r="J5369" s="151" t="s">
        <v>6962</v>
      </c>
      <c r="K5369" s="151">
        <f t="shared" si="113"/>
        <v>0</v>
      </c>
      <c r="L5369" s="151" t="s">
        <v>9022</v>
      </c>
    </row>
    <row r="5370" spans="8:12" x14ac:dyDescent="0.25">
      <c r="H5370" s="151" t="s">
        <v>2355</v>
      </c>
      <c r="I5370" s="151" t="s">
        <v>6962</v>
      </c>
      <c r="J5370" s="151" t="s">
        <v>6962</v>
      </c>
      <c r="K5370" s="151">
        <f t="shared" si="113"/>
        <v>0</v>
      </c>
      <c r="L5370" s="151" t="s">
        <v>9022</v>
      </c>
    </row>
    <row r="5371" spans="8:12" x14ac:dyDescent="0.25">
      <c r="H5371" s="151" t="s">
        <v>2356</v>
      </c>
      <c r="I5371" s="151" t="s">
        <v>6962</v>
      </c>
      <c r="J5371" s="151" t="s">
        <v>6962</v>
      </c>
      <c r="K5371" s="151">
        <f t="shared" si="113"/>
        <v>0</v>
      </c>
      <c r="L5371" s="151" t="s">
        <v>9022</v>
      </c>
    </row>
    <row r="5372" spans="8:12" x14ac:dyDescent="0.25">
      <c r="H5372" s="151" t="s">
        <v>2357</v>
      </c>
      <c r="I5372" s="151" t="s">
        <v>6962</v>
      </c>
      <c r="J5372" s="151" t="s">
        <v>6962</v>
      </c>
      <c r="K5372" s="151">
        <f t="shared" si="113"/>
        <v>0</v>
      </c>
      <c r="L5372" s="151" t="s">
        <v>9022</v>
      </c>
    </row>
    <row r="5373" spans="8:12" x14ac:dyDescent="0.25">
      <c r="H5373" s="151" t="s">
        <v>2358</v>
      </c>
      <c r="I5373" s="151" t="s">
        <v>6962</v>
      </c>
      <c r="J5373" s="151" t="s">
        <v>6962</v>
      </c>
      <c r="K5373" s="151">
        <f t="shared" si="113"/>
        <v>0</v>
      </c>
      <c r="L5373" s="151" t="s">
        <v>9022</v>
      </c>
    </row>
    <row r="5374" spans="8:12" x14ac:dyDescent="0.25">
      <c r="H5374" s="151" t="s">
        <v>2359</v>
      </c>
      <c r="I5374" s="151" t="s">
        <v>6962</v>
      </c>
      <c r="J5374" s="151" t="s">
        <v>6962</v>
      </c>
      <c r="K5374" s="151">
        <f t="shared" si="113"/>
        <v>0</v>
      </c>
      <c r="L5374" s="151" t="s">
        <v>9022</v>
      </c>
    </row>
    <row r="5375" spans="8:12" x14ac:dyDescent="0.25">
      <c r="H5375" s="151" t="s">
        <v>2360</v>
      </c>
      <c r="I5375" s="151" t="s">
        <v>6962</v>
      </c>
      <c r="J5375" s="151" t="s">
        <v>6962</v>
      </c>
      <c r="K5375" s="151">
        <f t="shared" si="113"/>
        <v>0</v>
      </c>
      <c r="L5375" s="151" t="s">
        <v>9022</v>
      </c>
    </row>
    <row r="5376" spans="8:12" x14ac:dyDescent="0.25">
      <c r="H5376" s="151" t="s">
        <v>2361</v>
      </c>
      <c r="I5376" s="151" t="s">
        <v>6962</v>
      </c>
      <c r="J5376" s="151" t="s">
        <v>6962</v>
      </c>
      <c r="K5376" s="151">
        <f t="shared" si="113"/>
        <v>0</v>
      </c>
      <c r="L5376" s="151" t="s">
        <v>9022</v>
      </c>
    </row>
    <row r="5377" spans="8:12" x14ac:dyDescent="0.25">
      <c r="H5377" s="151" t="s">
        <v>2362</v>
      </c>
      <c r="I5377" s="151" t="s">
        <v>6962</v>
      </c>
      <c r="J5377" s="151" t="s">
        <v>6962</v>
      </c>
      <c r="K5377" s="151">
        <f t="shared" si="113"/>
        <v>0</v>
      </c>
      <c r="L5377" s="151" t="s">
        <v>9022</v>
      </c>
    </row>
    <row r="5378" spans="8:12" x14ac:dyDescent="0.25">
      <c r="H5378" s="151" t="s">
        <v>2363</v>
      </c>
      <c r="I5378" s="151" t="s">
        <v>6962</v>
      </c>
      <c r="J5378" s="151" t="s">
        <v>6962</v>
      </c>
      <c r="K5378" s="151">
        <f t="shared" si="113"/>
        <v>0</v>
      </c>
      <c r="L5378" s="151" t="s">
        <v>9022</v>
      </c>
    </row>
    <row r="5379" spans="8:12" x14ac:dyDescent="0.25">
      <c r="H5379" s="151" t="s">
        <v>2364</v>
      </c>
      <c r="I5379" s="151" t="s">
        <v>6962</v>
      </c>
      <c r="J5379" s="151" t="s">
        <v>6962</v>
      </c>
      <c r="K5379" s="151">
        <f t="shared" ref="K5379:K5442" si="114">+IFERROR(J5379*1,0)</f>
        <v>0</v>
      </c>
      <c r="L5379" s="151" t="s">
        <v>9022</v>
      </c>
    </row>
    <row r="5380" spans="8:12" x14ac:dyDescent="0.25">
      <c r="H5380" s="151" t="s">
        <v>2365</v>
      </c>
      <c r="I5380" s="151" t="s">
        <v>6962</v>
      </c>
      <c r="J5380" s="151" t="s">
        <v>6962</v>
      </c>
      <c r="K5380" s="151">
        <f t="shared" si="114"/>
        <v>0</v>
      </c>
      <c r="L5380" s="151" t="s">
        <v>9022</v>
      </c>
    </row>
    <row r="5381" spans="8:12" x14ac:dyDescent="0.25">
      <c r="H5381" s="151" t="s">
        <v>2366</v>
      </c>
      <c r="I5381" s="151" t="s">
        <v>6962</v>
      </c>
      <c r="J5381" s="151" t="s">
        <v>6962</v>
      </c>
      <c r="K5381" s="151">
        <f t="shared" si="114"/>
        <v>0</v>
      </c>
      <c r="L5381" s="151" t="s">
        <v>9022</v>
      </c>
    </row>
    <row r="5382" spans="8:12" x14ac:dyDescent="0.25">
      <c r="H5382" s="151" t="s">
        <v>2367</v>
      </c>
      <c r="I5382" s="151" t="s">
        <v>6962</v>
      </c>
      <c r="J5382" s="151" t="s">
        <v>6962</v>
      </c>
      <c r="K5382" s="151">
        <f t="shared" si="114"/>
        <v>0</v>
      </c>
      <c r="L5382" s="151" t="s">
        <v>9022</v>
      </c>
    </row>
    <row r="5383" spans="8:12" x14ac:dyDescent="0.25">
      <c r="H5383" s="151" t="s">
        <v>2368</v>
      </c>
      <c r="I5383" s="151" t="s">
        <v>6962</v>
      </c>
      <c r="J5383" s="151" t="s">
        <v>6962</v>
      </c>
      <c r="K5383" s="151">
        <f t="shared" si="114"/>
        <v>0</v>
      </c>
      <c r="L5383" s="151" t="s">
        <v>9022</v>
      </c>
    </row>
    <row r="5384" spans="8:12" x14ac:dyDescent="0.25">
      <c r="H5384" s="151" t="s">
        <v>2369</v>
      </c>
      <c r="I5384" s="151" t="s">
        <v>6962</v>
      </c>
      <c r="J5384" s="151" t="s">
        <v>6962</v>
      </c>
      <c r="K5384" s="151">
        <f t="shared" si="114"/>
        <v>0</v>
      </c>
      <c r="L5384" s="151" t="s">
        <v>9022</v>
      </c>
    </row>
    <row r="5385" spans="8:12" x14ac:dyDescent="0.25">
      <c r="H5385" s="151" t="s">
        <v>2370</v>
      </c>
      <c r="I5385" s="151" t="s">
        <v>6962</v>
      </c>
      <c r="J5385" s="151" t="s">
        <v>6962</v>
      </c>
      <c r="K5385" s="151">
        <f t="shared" si="114"/>
        <v>0</v>
      </c>
      <c r="L5385" s="151" t="s">
        <v>9022</v>
      </c>
    </row>
    <row r="5386" spans="8:12" x14ac:dyDescent="0.25">
      <c r="H5386" s="151" t="s">
        <v>2371</v>
      </c>
      <c r="I5386" s="151" t="s">
        <v>6962</v>
      </c>
      <c r="J5386" s="151" t="s">
        <v>6962</v>
      </c>
      <c r="K5386" s="151">
        <f t="shared" si="114"/>
        <v>0</v>
      </c>
      <c r="L5386" s="151" t="s">
        <v>9022</v>
      </c>
    </row>
    <row r="5387" spans="8:12" x14ac:dyDescent="0.25">
      <c r="H5387" s="151" t="s">
        <v>2372</v>
      </c>
      <c r="I5387" s="151" t="s">
        <v>6962</v>
      </c>
      <c r="J5387" s="151" t="s">
        <v>6962</v>
      </c>
      <c r="K5387" s="151">
        <f t="shared" si="114"/>
        <v>0</v>
      </c>
      <c r="L5387" s="151" t="s">
        <v>9022</v>
      </c>
    </row>
    <row r="5388" spans="8:12" x14ac:dyDescent="0.25">
      <c r="H5388" s="151" t="s">
        <v>2373</v>
      </c>
      <c r="I5388" s="151" t="s">
        <v>6962</v>
      </c>
      <c r="J5388" s="151" t="s">
        <v>6962</v>
      </c>
      <c r="K5388" s="151">
        <f t="shared" si="114"/>
        <v>0</v>
      </c>
      <c r="L5388" s="151" t="s">
        <v>9022</v>
      </c>
    </row>
    <row r="5389" spans="8:12" x14ac:dyDescent="0.25">
      <c r="H5389" s="151" t="s">
        <v>2374</v>
      </c>
      <c r="I5389" s="151" t="s">
        <v>6962</v>
      </c>
      <c r="J5389" s="151" t="s">
        <v>6962</v>
      </c>
      <c r="K5389" s="151">
        <f t="shared" si="114"/>
        <v>0</v>
      </c>
      <c r="L5389" s="151" t="s">
        <v>9022</v>
      </c>
    </row>
    <row r="5390" spans="8:12" x14ac:dyDescent="0.25">
      <c r="H5390" s="151" t="s">
        <v>2375</v>
      </c>
      <c r="I5390" s="151" t="s">
        <v>6962</v>
      </c>
      <c r="J5390" s="151" t="s">
        <v>6962</v>
      </c>
      <c r="K5390" s="151">
        <f t="shared" si="114"/>
        <v>0</v>
      </c>
      <c r="L5390" s="151" t="s">
        <v>9022</v>
      </c>
    </row>
    <row r="5391" spans="8:12" x14ac:dyDescent="0.25">
      <c r="H5391" s="151" t="s">
        <v>2376</v>
      </c>
      <c r="I5391" s="151" t="s">
        <v>6962</v>
      </c>
      <c r="J5391" s="151" t="s">
        <v>6962</v>
      </c>
      <c r="K5391" s="151">
        <f t="shared" si="114"/>
        <v>0</v>
      </c>
      <c r="L5391" s="151" t="s">
        <v>9022</v>
      </c>
    </row>
    <row r="5392" spans="8:12" x14ac:dyDescent="0.25">
      <c r="H5392" s="151" t="s">
        <v>2377</v>
      </c>
      <c r="I5392" s="151" t="s">
        <v>6962</v>
      </c>
      <c r="J5392" s="151" t="s">
        <v>6962</v>
      </c>
      <c r="K5392" s="151">
        <f t="shared" si="114"/>
        <v>0</v>
      </c>
      <c r="L5392" s="151" t="s">
        <v>9022</v>
      </c>
    </row>
    <row r="5393" spans="8:12" x14ac:dyDescent="0.25">
      <c r="H5393" s="151" t="s">
        <v>2378</v>
      </c>
      <c r="I5393" s="151" t="s">
        <v>6962</v>
      </c>
      <c r="J5393" s="151" t="s">
        <v>6962</v>
      </c>
      <c r="K5393" s="151">
        <f t="shared" si="114"/>
        <v>0</v>
      </c>
      <c r="L5393" s="151" t="s">
        <v>9022</v>
      </c>
    </row>
    <row r="5394" spans="8:12" x14ac:dyDescent="0.25">
      <c r="H5394" s="151" t="s">
        <v>2379</v>
      </c>
      <c r="I5394" s="151" t="s">
        <v>6962</v>
      </c>
      <c r="J5394" s="151" t="s">
        <v>6962</v>
      </c>
      <c r="K5394" s="151">
        <f t="shared" si="114"/>
        <v>0</v>
      </c>
      <c r="L5394" s="151" t="s">
        <v>9022</v>
      </c>
    </row>
    <row r="5395" spans="8:12" x14ac:dyDescent="0.25">
      <c r="H5395" s="151" t="s">
        <v>2380</v>
      </c>
      <c r="I5395" s="151" t="s">
        <v>6962</v>
      </c>
      <c r="J5395" s="151" t="s">
        <v>6962</v>
      </c>
      <c r="K5395" s="151">
        <f t="shared" si="114"/>
        <v>0</v>
      </c>
      <c r="L5395" s="151" t="s">
        <v>9022</v>
      </c>
    </row>
    <row r="5396" spans="8:12" x14ac:dyDescent="0.25">
      <c r="H5396" s="151" t="s">
        <v>2381</v>
      </c>
      <c r="I5396" s="151" t="s">
        <v>6962</v>
      </c>
      <c r="J5396" s="151" t="s">
        <v>6962</v>
      </c>
      <c r="K5396" s="151">
        <f t="shared" si="114"/>
        <v>0</v>
      </c>
      <c r="L5396" s="151" t="s">
        <v>9022</v>
      </c>
    </row>
    <row r="5397" spans="8:12" x14ac:dyDescent="0.25">
      <c r="H5397" s="151" t="s">
        <v>2382</v>
      </c>
      <c r="I5397" s="151" t="s">
        <v>6962</v>
      </c>
      <c r="J5397" s="151" t="s">
        <v>6962</v>
      </c>
      <c r="K5397" s="151">
        <f t="shared" si="114"/>
        <v>0</v>
      </c>
      <c r="L5397" s="151" t="s">
        <v>9022</v>
      </c>
    </row>
    <row r="5398" spans="8:12" x14ac:dyDescent="0.25">
      <c r="H5398" s="151" t="s">
        <v>2383</v>
      </c>
      <c r="I5398" s="151" t="s">
        <v>6962</v>
      </c>
      <c r="J5398" s="151" t="s">
        <v>6962</v>
      </c>
      <c r="K5398" s="151">
        <f t="shared" si="114"/>
        <v>0</v>
      </c>
      <c r="L5398" s="151" t="s">
        <v>9022</v>
      </c>
    </row>
    <row r="5399" spans="8:12" x14ac:dyDescent="0.25">
      <c r="H5399" s="151" t="s">
        <v>2384</v>
      </c>
      <c r="I5399" s="151" t="s">
        <v>6962</v>
      </c>
      <c r="J5399" s="151" t="s">
        <v>6962</v>
      </c>
      <c r="K5399" s="151">
        <f t="shared" si="114"/>
        <v>0</v>
      </c>
      <c r="L5399" s="151" t="s">
        <v>9022</v>
      </c>
    </row>
    <row r="5400" spans="8:12" x14ac:dyDescent="0.25">
      <c r="H5400" s="151" t="s">
        <v>2385</v>
      </c>
      <c r="I5400" s="151" t="s">
        <v>6962</v>
      </c>
      <c r="J5400" s="151" t="s">
        <v>6962</v>
      </c>
      <c r="K5400" s="151">
        <f t="shared" si="114"/>
        <v>0</v>
      </c>
      <c r="L5400" s="151" t="s">
        <v>9022</v>
      </c>
    </row>
    <row r="5401" spans="8:12" x14ac:dyDescent="0.25">
      <c r="H5401" s="151" t="s">
        <v>2386</v>
      </c>
      <c r="I5401" s="151" t="s">
        <v>6962</v>
      </c>
      <c r="J5401" s="151" t="s">
        <v>6962</v>
      </c>
      <c r="K5401" s="151">
        <f t="shared" si="114"/>
        <v>0</v>
      </c>
      <c r="L5401" s="151" t="s">
        <v>9022</v>
      </c>
    </row>
    <row r="5402" spans="8:12" x14ac:dyDescent="0.25">
      <c r="H5402" s="151" t="s">
        <v>2387</v>
      </c>
      <c r="I5402" s="151" t="s">
        <v>6962</v>
      </c>
      <c r="J5402" s="151" t="s">
        <v>6962</v>
      </c>
      <c r="K5402" s="151">
        <f t="shared" si="114"/>
        <v>0</v>
      </c>
      <c r="L5402" s="151" t="s">
        <v>9022</v>
      </c>
    </row>
    <row r="5403" spans="8:12" x14ac:dyDescent="0.25">
      <c r="H5403" s="151" t="s">
        <v>2388</v>
      </c>
      <c r="I5403" s="151" t="s">
        <v>6962</v>
      </c>
      <c r="J5403" s="151" t="s">
        <v>6962</v>
      </c>
      <c r="K5403" s="151">
        <f t="shared" si="114"/>
        <v>0</v>
      </c>
      <c r="L5403" s="151" t="s">
        <v>9022</v>
      </c>
    </row>
    <row r="5404" spans="8:12" x14ac:dyDescent="0.25">
      <c r="H5404" s="151" t="s">
        <v>2389</v>
      </c>
      <c r="I5404" s="151" t="s">
        <v>6962</v>
      </c>
      <c r="J5404" s="151" t="s">
        <v>6962</v>
      </c>
      <c r="K5404" s="151">
        <f t="shared" si="114"/>
        <v>0</v>
      </c>
      <c r="L5404" s="151" t="s">
        <v>9022</v>
      </c>
    </row>
    <row r="5405" spans="8:12" x14ac:dyDescent="0.25">
      <c r="H5405" s="151" t="s">
        <v>2390</v>
      </c>
      <c r="I5405" s="151" t="s">
        <v>6962</v>
      </c>
      <c r="J5405" s="151" t="s">
        <v>6962</v>
      </c>
      <c r="K5405" s="151">
        <f t="shared" si="114"/>
        <v>0</v>
      </c>
      <c r="L5405" s="151" t="s">
        <v>9022</v>
      </c>
    </row>
    <row r="5406" spans="8:12" x14ac:dyDescent="0.25">
      <c r="H5406" s="151" t="s">
        <v>2391</v>
      </c>
      <c r="I5406" s="151" t="s">
        <v>6962</v>
      </c>
      <c r="J5406" s="151" t="s">
        <v>6962</v>
      </c>
      <c r="K5406" s="151">
        <f t="shared" si="114"/>
        <v>0</v>
      </c>
      <c r="L5406" s="151" t="s">
        <v>9022</v>
      </c>
    </row>
    <row r="5407" spans="8:12" x14ac:dyDescent="0.25">
      <c r="H5407" s="151" t="s">
        <v>2392</v>
      </c>
      <c r="I5407" s="151" t="s">
        <v>6962</v>
      </c>
      <c r="J5407" s="151" t="s">
        <v>6962</v>
      </c>
      <c r="K5407" s="151">
        <f t="shared" si="114"/>
        <v>0</v>
      </c>
      <c r="L5407" s="151" t="s">
        <v>9022</v>
      </c>
    </row>
    <row r="5408" spans="8:12" x14ac:dyDescent="0.25">
      <c r="H5408" s="151" t="s">
        <v>2393</v>
      </c>
      <c r="I5408" s="151" t="s">
        <v>6962</v>
      </c>
      <c r="J5408" s="151" t="s">
        <v>6962</v>
      </c>
      <c r="K5408" s="151">
        <f t="shared" si="114"/>
        <v>0</v>
      </c>
      <c r="L5408" s="151" t="s">
        <v>9022</v>
      </c>
    </row>
    <row r="5409" spans="8:12" x14ac:dyDescent="0.25">
      <c r="H5409" s="151" t="s">
        <v>2394</v>
      </c>
      <c r="I5409" s="151" t="s">
        <v>6962</v>
      </c>
      <c r="J5409" s="151" t="s">
        <v>6962</v>
      </c>
      <c r="K5409" s="151">
        <f t="shared" si="114"/>
        <v>0</v>
      </c>
      <c r="L5409" s="151" t="s">
        <v>9022</v>
      </c>
    </row>
    <row r="5410" spans="8:12" x14ac:dyDescent="0.25">
      <c r="H5410" s="151" t="s">
        <v>2395</v>
      </c>
      <c r="I5410" s="151" t="s">
        <v>6962</v>
      </c>
      <c r="J5410" s="151" t="s">
        <v>6962</v>
      </c>
      <c r="K5410" s="151">
        <f t="shared" si="114"/>
        <v>0</v>
      </c>
      <c r="L5410" s="151" t="s">
        <v>9022</v>
      </c>
    </row>
    <row r="5411" spans="8:12" x14ac:dyDescent="0.25">
      <c r="H5411" s="151" t="s">
        <v>2396</v>
      </c>
      <c r="I5411" s="151" t="s">
        <v>6962</v>
      </c>
      <c r="J5411" s="151" t="s">
        <v>6962</v>
      </c>
      <c r="K5411" s="151">
        <f t="shared" si="114"/>
        <v>0</v>
      </c>
      <c r="L5411" s="151" t="s">
        <v>9022</v>
      </c>
    </row>
    <row r="5412" spans="8:12" x14ac:dyDescent="0.25">
      <c r="H5412" s="151" t="s">
        <v>2397</v>
      </c>
      <c r="I5412" s="151" t="s">
        <v>6962</v>
      </c>
      <c r="J5412" s="151" t="s">
        <v>6962</v>
      </c>
      <c r="K5412" s="151">
        <f t="shared" si="114"/>
        <v>0</v>
      </c>
      <c r="L5412" s="151" t="s">
        <v>9022</v>
      </c>
    </row>
    <row r="5413" spans="8:12" x14ac:dyDescent="0.25">
      <c r="H5413" s="151" t="s">
        <v>2398</v>
      </c>
      <c r="I5413" s="151" t="s">
        <v>6962</v>
      </c>
      <c r="J5413" s="151" t="s">
        <v>6962</v>
      </c>
      <c r="K5413" s="151">
        <f t="shared" si="114"/>
        <v>0</v>
      </c>
      <c r="L5413" s="151" t="s">
        <v>9022</v>
      </c>
    </row>
    <row r="5414" spans="8:12" x14ac:dyDescent="0.25">
      <c r="H5414" s="151" t="s">
        <v>2399</v>
      </c>
      <c r="I5414" s="151" t="s">
        <v>6962</v>
      </c>
      <c r="J5414" s="151" t="s">
        <v>6962</v>
      </c>
      <c r="K5414" s="151">
        <f t="shared" si="114"/>
        <v>0</v>
      </c>
      <c r="L5414" s="151" t="s">
        <v>9022</v>
      </c>
    </row>
    <row r="5415" spans="8:12" x14ac:dyDescent="0.25">
      <c r="H5415" s="151" t="s">
        <v>2400</v>
      </c>
      <c r="I5415" s="151" t="s">
        <v>6962</v>
      </c>
      <c r="J5415" s="151" t="s">
        <v>6962</v>
      </c>
      <c r="K5415" s="151">
        <f t="shared" si="114"/>
        <v>0</v>
      </c>
      <c r="L5415" s="151" t="s">
        <v>9022</v>
      </c>
    </row>
    <row r="5416" spans="8:12" x14ac:dyDescent="0.25">
      <c r="H5416" s="151" t="s">
        <v>2401</v>
      </c>
      <c r="I5416" s="151" t="s">
        <v>6962</v>
      </c>
      <c r="J5416" s="151" t="s">
        <v>6962</v>
      </c>
      <c r="K5416" s="151">
        <f t="shared" si="114"/>
        <v>0</v>
      </c>
      <c r="L5416" s="151" t="s">
        <v>9022</v>
      </c>
    </row>
    <row r="5417" spans="8:12" x14ac:dyDescent="0.25">
      <c r="H5417" s="151" t="s">
        <v>2402</v>
      </c>
      <c r="I5417" s="151" t="s">
        <v>6962</v>
      </c>
      <c r="J5417" s="151" t="s">
        <v>6962</v>
      </c>
      <c r="K5417" s="151">
        <f t="shared" si="114"/>
        <v>0</v>
      </c>
      <c r="L5417" s="151" t="s">
        <v>9022</v>
      </c>
    </row>
    <row r="5418" spans="8:12" x14ac:dyDescent="0.25">
      <c r="H5418" s="151" t="s">
        <v>2403</v>
      </c>
      <c r="I5418" s="151" t="s">
        <v>6962</v>
      </c>
      <c r="J5418" s="151" t="s">
        <v>6962</v>
      </c>
      <c r="K5418" s="151">
        <f t="shared" si="114"/>
        <v>0</v>
      </c>
      <c r="L5418" s="151" t="s">
        <v>9022</v>
      </c>
    </row>
    <row r="5419" spans="8:12" x14ac:dyDescent="0.25">
      <c r="H5419" s="151" t="s">
        <v>2404</v>
      </c>
      <c r="I5419" s="151" t="s">
        <v>6962</v>
      </c>
      <c r="J5419" s="151" t="s">
        <v>6962</v>
      </c>
      <c r="K5419" s="151">
        <f t="shared" si="114"/>
        <v>0</v>
      </c>
      <c r="L5419" s="151" t="s">
        <v>9022</v>
      </c>
    </row>
    <row r="5420" spans="8:12" x14ac:dyDescent="0.25">
      <c r="H5420" s="151" t="s">
        <v>2405</v>
      </c>
      <c r="I5420" s="151" t="s">
        <v>6962</v>
      </c>
      <c r="J5420" s="151" t="s">
        <v>6962</v>
      </c>
      <c r="K5420" s="151">
        <f t="shared" si="114"/>
        <v>0</v>
      </c>
      <c r="L5420" s="151" t="s">
        <v>9022</v>
      </c>
    </row>
    <row r="5421" spans="8:12" x14ac:dyDescent="0.25">
      <c r="H5421" s="151" t="s">
        <v>2406</v>
      </c>
      <c r="I5421" s="151" t="s">
        <v>6962</v>
      </c>
      <c r="J5421" s="151" t="s">
        <v>6962</v>
      </c>
      <c r="K5421" s="151">
        <f t="shared" si="114"/>
        <v>0</v>
      </c>
      <c r="L5421" s="151" t="s">
        <v>9022</v>
      </c>
    </row>
    <row r="5422" spans="8:12" x14ac:dyDescent="0.25">
      <c r="H5422" s="151" t="s">
        <v>2407</v>
      </c>
      <c r="I5422" s="151" t="s">
        <v>6962</v>
      </c>
      <c r="J5422" s="151" t="s">
        <v>6962</v>
      </c>
      <c r="K5422" s="151">
        <f t="shared" si="114"/>
        <v>0</v>
      </c>
      <c r="L5422" s="151" t="s">
        <v>9022</v>
      </c>
    </row>
    <row r="5423" spans="8:12" x14ac:dyDescent="0.25">
      <c r="H5423" s="151" t="s">
        <v>2408</v>
      </c>
      <c r="I5423" s="151" t="s">
        <v>6962</v>
      </c>
      <c r="J5423" s="151" t="s">
        <v>6962</v>
      </c>
      <c r="K5423" s="151">
        <f t="shared" si="114"/>
        <v>0</v>
      </c>
      <c r="L5423" s="151" t="s">
        <v>9022</v>
      </c>
    </row>
    <row r="5424" spans="8:12" x14ac:dyDescent="0.25">
      <c r="H5424" s="151" t="s">
        <v>2409</v>
      </c>
      <c r="I5424" s="151" t="s">
        <v>6962</v>
      </c>
      <c r="J5424" s="151" t="s">
        <v>6962</v>
      </c>
      <c r="K5424" s="151">
        <f t="shared" si="114"/>
        <v>0</v>
      </c>
      <c r="L5424" s="151" t="s">
        <v>9022</v>
      </c>
    </row>
    <row r="5425" spans="8:12" x14ac:dyDescent="0.25">
      <c r="H5425" s="151" t="s">
        <v>2410</v>
      </c>
      <c r="I5425" s="151" t="s">
        <v>6962</v>
      </c>
      <c r="J5425" s="151" t="s">
        <v>6962</v>
      </c>
      <c r="K5425" s="151">
        <f t="shared" si="114"/>
        <v>0</v>
      </c>
      <c r="L5425" s="151" t="s">
        <v>9022</v>
      </c>
    </row>
    <row r="5426" spans="8:12" x14ac:dyDescent="0.25">
      <c r="H5426" s="151" t="s">
        <v>2411</v>
      </c>
      <c r="I5426" s="151" t="s">
        <v>6962</v>
      </c>
      <c r="J5426" s="151" t="s">
        <v>6962</v>
      </c>
      <c r="K5426" s="151">
        <f t="shared" si="114"/>
        <v>0</v>
      </c>
      <c r="L5426" s="151" t="s">
        <v>9022</v>
      </c>
    </row>
    <row r="5427" spans="8:12" x14ac:dyDescent="0.25">
      <c r="H5427" s="151" t="s">
        <v>2412</v>
      </c>
      <c r="I5427" s="151" t="s">
        <v>6962</v>
      </c>
      <c r="J5427" s="151" t="s">
        <v>6962</v>
      </c>
      <c r="K5427" s="151">
        <f t="shared" si="114"/>
        <v>0</v>
      </c>
      <c r="L5427" s="151" t="s">
        <v>9022</v>
      </c>
    </row>
    <row r="5428" spans="8:12" x14ac:dyDescent="0.25">
      <c r="H5428" s="151" t="s">
        <v>2413</v>
      </c>
      <c r="I5428" s="151" t="s">
        <v>6962</v>
      </c>
      <c r="J5428" s="151" t="s">
        <v>6962</v>
      </c>
      <c r="K5428" s="151">
        <f t="shared" si="114"/>
        <v>0</v>
      </c>
      <c r="L5428" s="151" t="s">
        <v>9022</v>
      </c>
    </row>
    <row r="5429" spans="8:12" x14ac:dyDescent="0.25">
      <c r="H5429" s="151" t="s">
        <v>2414</v>
      </c>
      <c r="I5429" s="151" t="s">
        <v>6962</v>
      </c>
      <c r="J5429" s="151" t="s">
        <v>6962</v>
      </c>
      <c r="K5429" s="151">
        <f t="shared" si="114"/>
        <v>0</v>
      </c>
      <c r="L5429" s="151" t="s">
        <v>9022</v>
      </c>
    </row>
    <row r="5430" spans="8:12" x14ac:dyDescent="0.25">
      <c r="H5430" s="151" t="s">
        <v>2415</v>
      </c>
      <c r="I5430" s="151" t="s">
        <v>6962</v>
      </c>
      <c r="J5430" s="151" t="s">
        <v>6962</v>
      </c>
      <c r="K5430" s="151">
        <f t="shared" si="114"/>
        <v>0</v>
      </c>
      <c r="L5430" s="151" t="s">
        <v>9022</v>
      </c>
    </row>
    <row r="5431" spans="8:12" x14ac:dyDescent="0.25">
      <c r="H5431" s="151" t="s">
        <v>2416</v>
      </c>
      <c r="I5431" s="151" t="s">
        <v>6962</v>
      </c>
      <c r="J5431" s="151" t="s">
        <v>6962</v>
      </c>
      <c r="K5431" s="151">
        <f t="shared" si="114"/>
        <v>0</v>
      </c>
      <c r="L5431" s="151" t="s">
        <v>9022</v>
      </c>
    </row>
    <row r="5432" spans="8:12" x14ac:dyDescent="0.25">
      <c r="H5432" s="151" t="s">
        <v>2417</v>
      </c>
      <c r="I5432" s="151" t="s">
        <v>6962</v>
      </c>
      <c r="J5432" s="151" t="s">
        <v>6962</v>
      </c>
      <c r="K5432" s="151">
        <f t="shared" si="114"/>
        <v>0</v>
      </c>
      <c r="L5432" s="151" t="s">
        <v>9022</v>
      </c>
    </row>
    <row r="5433" spans="8:12" x14ac:dyDescent="0.25">
      <c r="H5433" s="151" t="s">
        <v>2418</v>
      </c>
      <c r="I5433" s="151" t="s">
        <v>6962</v>
      </c>
      <c r="J5433" s="151" t="s">
        <v>6962</v>
      </c>
      <c r="K5433" s="151">
        <f t="shared" si="114"/>
        <v>0</v>
      </c>
      <c r="L5433" s="151" t="s">
        <v>9022</v>
      </c>
    </row>
    <row r="5434" spans="8:12" x14ac:dyDescent="0.25">
      <c r="H5434" s="151" t="s">
        <v>2419</v>
      </c>
      <c r="I5434" s="151" t="s">
        <v>6962</v>
      </c>
      <c r="J5434" s="151" t="s">
        <v>6962</v>
      </c>
      <c r="K5434" s="151">
        <f t="shared" si="114"/>
        <v>0</v>
      </c>
      <c r="L5434" s="151" t="s">
        <v>9022</v>
      </c>
    </row>
    <row r="5435" spans="8:12" x14ac:dyDescent="0.25">
      <c r="H5435" s="151" t="s">
        <v>2420</v>
      </c>
      <c r="I5435" s="151" t="s">
        <v>6962</v>
      </c>
      <c r="J5435" s="151" t="s">
        <v>6962</v>
      </c>
      <c r="K5435" s="151">
        <f t="shared" si="114"/>
        <v>0</v>
      </c>
      <c r="L5435" s="151" t="s">
        <v>9022</v>
      </c>
    </row>
    <row r="5436" spans="8:12" x14ac:dyDescent="0.25">
      <c r="H5436" s="151" t="s">
        <v>2421</v>
      </c>
      <c r="I5436" s="151" t="s">
        <v>6962</v>
      </c>
      <c r="J5436" s="151" t="s">
        <v>6962</v>
      </c>
      <c r="K5436" s="151">
        <f t="shared" si="114"/>
        <v>0</v>
      </c>
      <c r="L5436" s="151" t="s">
        <v>9022</v>
      </c>
    </row>
    <row r="5437" spans="8:12" x14ac:dyDescent="0.25">
      <c r="H5437" s="151" t="s">
        <v>2422</v>
      </c>
      <c r="I5437" s="151" t="s">
        <v>6962</v>
      </c>
      <c r="J5437" s="151" t="s">
        <v>6962</v>
      </c>
      <c r="K5437" s="151">
        <f t="shared" si="114"/>
        <v>0</v>
      </c>
      <c r="L5437" s="151" t="s">
        <v>9022</v>
      </c>
    </row>
    <row r="5438" spans="8:12" x14ac:dyDescent="0.25">
      <c r="H5438" s="151" t="s">
        <v>2423</v>
      </c>
      <c r="I5438" s="151" t="s">
        <v>6962</v>
      </c>
      <c r="J5438" s="151" t="s">
        <v>6962</v>
      </c>
      <c r="K5438" s="151">
        <f t="shared" si="114"/>
        <v>0</v>
      </c>
      <c r="L5438" s="151" t="s">
        <v>9022</v>
      </c>
    </row>
    <row r="5439" spans="8:12" x14ac:dyDescent="0.25">
      <c r="H5439" s="151" t="s">
        <v>2424</v>
      </c>
      <c r="I5439" s="151" t="s">
        <v>6962</v>
      </c>
      <c r="J5439" s="151" t="s">
        <v>6962</v>
      </c>
      <c r="K5439" s="151">
        <f t="shared" si="114"/>
        <v>0</v>
      </c>
      <c r="L5439" s="151" t="s">
        <v>9022</v>
      </c>
    </row>
    <row r="5440" spans="8:12" x14ac:dyDescent="0.25">
      <c r="H5440" s="151" t="s">
        <v>2425</v>
      </c>
      <c r="I5440" s="151" t="s">
        <v>6962</v>
      </c>
      <c r="J5440" s="151" t="s">
        <v>6962</v>
      </c>
      <c r="K5440" s="151">
        <f t="shared" si="114"/>
        <v>0</v>
      </c>
      <c r="L5440" s="151" t="s">
        <v>9022</v>
      </c>
    </row>
    <row r="5441" spans="8:12" x14ac:dyDescent="0.25">
      <c r="H5441" s="151" t="s">
        <v>2426</v>
      </c>
      <c r="I5441" s="151" t="s">
        <v>6962</v>
      </c>
      <c r="J5441" s="151" t="s">
        <v>6962</v>
      </c>
      <c r="K5441" s="151">
        <f t="shared" si="114"/>
        <v>0</v>
      </c>
      <c r="L5441" s="151" t="s">
        <v>9022</v>
      </c>
    </row>
    <row r="5442" spans="8:12" x14ac:dyDescent="0.25">
      <c r="H5442" s="151" t="s">
        <v>2427</v>
      </c>
      <c r="I5442" s="151" t="s">
        <v>6962</v>
      </c>
      <c r="J5442" s="151" t="s">
        <v>6962</v>
      </c>
      <c r="K5442" s="151">
        <f t="shared" si="114"/>
        <v>0</v>
      </c>
      <c r="L5442" s="151" t="s">
        <v>9022</v>
      </c>
    </row>
    <row r="5443" spans="8:12" x14ac:dyDescent="0.25">
      <c r="H5443" s="151" t="s">
        <v>2428</v>
      </c>
      <c r="I5443" s="151" t="s">
        <v>6962</v>
      </c>
      <c r="J5443" s="151" t="s">
        <v>6962</v>
      </c>
      <c r="K5443" s="151">
        <f t="shared" ref="K5443:K5506" si="115">+IFERROR(J5443*1,0)</f>
        <v>0</v>
      </c>
      <c r="L5443" s="151" t="s">
        <v>9022</v>
      </c>
    </row>
    <row r="5444" spans="8:12" x14ac:dyDescent="0.25">
      <c r="H5444" s="151" t="s">
        <v>2429</v>
      </c>
      <c r="I5444" s="151" t="s">
        <v>6962</v>
      </c>
      <c r="J5444" s="151" t="s">
        <v>6962</v>
      </c>
      <c r="K5444" s="151">
        <f t="shared" si="115"/>
        <v>0</v>
      </c>
      <c r="L5444" s="151" t="s">
        <v>9022</v>
      </c>
    </row>
    <row r="5445" spans="8:12" x14ac:dyDescent="0.25">
      <c r="H5445" s="151" t="s">
        <v>2430</v>
      </c>
      <c r="I5445" s="151" t="s">
        <v>6962</v>
      </c>
      <c r="J5445" s="151" t="s">
        <v>6962</v>
      </c>
      <c r="K5445" s="151">
        <f t="shared" si="115"/>
        <v>0</v>
      </c>
      <c r="L5445" s="151" t="s">
        <v>9022</v>
      </c>
    </row>
    <row r="5446" spans="8:12" x14ac:dyDescent="0.25">
      <c r="H5446" s="151" t="s">
        <v>2431</v>
      </c>
      <c r="I5446" s="151" t="s">
        <v>6962</v>
      </c>
      <c r="J5446" s="151" t="s">
        <v>6962</v>
      </c>
      <c r="K5446" s="151">
        <f t="shared" si="115"/>
        <v>0</v>
      </c>
      <c r="L5446" s="151" t="s">
        <v>9022</v>
      </c>
    </row>
    <row r="5447" spans="8:12" x14ac:dyDescent="0.25">
      <c r="H5447" s="151" t="s">
        <v>2432</v>
      </c>
      <c r="I5447" s="151" t="s">
        <v>6962</v>
      </c>
      <c r="J5447" s="151" t="s">
        <v>6962</v>
      </c>
      <c r="K5447" s="151">
        <f t="shared" si="115"/>
        <v>0</v>
      </c>
      <c r="L5447" s="151" t="s">
        <v>9022</v>
      </c>
    </row>
    <row r="5448" spans="8:12" x14ac:dyDescent="0.25">
      <c r="H5448" s="151" t="s">
        <v>2433</v>
      </c>
      <c r="I5448" s="151" t="s">
        <v>6962</v>
      </c>
      <c r="J5448" s="151" t="s">
        <v>6962</v>
      </c>
      <c r="K5448" s="151">
        <f t="shared" si="115"/>
        <v>0</v>
      </c>
      <c r="L5448" s="151" t="s">
        <v>9022</v>
      </c>
    </row>
    <row r="5449" spans="8:12" x14ac:dyDescent="0.25">
      <c r="H5449" s="151" t="s">
        <v>2434</v>
      </c>
      <c r="I5449" s="151" t="s">
        <v>6962</v>
      </c>
      <c r="J5449" s="151" t="s">
        <v>6962</v>
      </c>
      <c r="K5449" s="151">
        <f t="shared" si="115"/>
        <v>0</v>
      </c>
      <c r="L5449" s="151" t="s">
        <v>9022</v>
      </c>
    </row>
    <row r="5450" spans="8:12" x14ac:dyDescent="0.25">
      <c r="H5450" s="151" t="s">
        <v>2435</v>
      </c>
      <c r="I5450" s="151" t="s">
        <v>6962</v>
      </c>
      <c r="J5450" s="151" t="s">
        <v>6962</v>
      </c>
      <c r="K5450" s="151">
        <f t="shared" si="115"/>
        <v>0</v>
      </c>
      <c r="L5450" s="151" t="s">
        <v>9022</v>
      </c>
    </row>
    <row r="5451" spans="8:12" x14ac:dyDescent="0.25">
      <c r="H5451" s="151" t="s">
        <v>2436</v>
      </c>
      <c r="I5451" s="151" t="s">
        <v>6962</v>
      </c>
      <c r="J5451" s="151" t="s">
        <v>6962</v>
      </c>
      <c r="K5451" s="151">
        <f t="shared" si="115"/>
        <v>0</v>
      </c>
      <c r="L5451" s="151" t="s">
        <v>9022</v>
      </c>
    </row>
    <row r="5452" spans="8:12" x14ac:dyDescent="0.25">
      <c r="H5452" s="151" t="s">
        <v>2437</v>
      </c>
      <c r="I5452" s="151" t="s">
        <v>6962</v>
      </c>
      <c r="J5452" s="151" t="s">
        <v>6962</v>
      </c>
      <c r="K5452" s="151">
        <f t="shared" si="115"/>
        <v>0</v>
      </c>
      <c r="L5452" s="151" t="s">
        <v>9022</v>
      </c>
    </row>
    <row r="5453" spans="8:12" x14ac:dyDescent="0.25">
      <c r="H5453" s="151" t="s">
        <v>2438</v>
      </c>
      <c r="I5453" s="151" t="s">
        <v>6962</v>
      </c>
      <c r="J5453" s="151" t="s">
        <v>6962</v>
      </c>
      <c r="K5453" s="151">
        <f t="shared" si="115"/>
        <v>0</v>
      </c>
      <c r="L5453" s="151" t="s">
        <v>9022</v>
      </c>
    </row>
    <row r="5454" spans="8:12" x14ac:dyDescent="0.25">
      <c r="H5454" s="151" t="s">
        <v>2439</v>
      </c>
      <c r="I5454" s="151" t="s">
        <v>6962</v>
      </c>
      <c r="J5454" s="151" t="s">
        <v>6962</v>
      </c>
      <c r="K5454" s="151">
        <f t="shared" si="115"/>
        <v>0</v>
      </c>
      <c r="L5454" s="151" t="s">
        <v>9022</v>
      </c>
    </row>
    <row r="5455" spans="8:12" x14ac:dyDescent="0.25">
      <c r="H5455" s="151" t="s">
        <v>2440</v>
      </c>
      <c r="I5455" s="151" t="s">
        <v>6962</v>
      </c>
      <c r="J5455" s="151" t="s">
        <v>6962</v>
      </c>
      <c r="K5455" s="151">
        <f t="shared" si="115"/>
        <v>0</v>
      </c>
      <c r="L5455" s="151" t="s">
        <v>9022</v>
      </c>
    </row>
    <row r="5456" spans="8:12" x14ac:dyDescent="0.25">
      <c r="H5456" s="151" t="s">
        <v>2441</v>
      </c>
      <c r="I5456" s="151" t="s">
        <v>6962</v>
      </c>
      <c r="J5456" s="151" t="s">
        <v>6962</v>
      </c>
      <c r="K5456" s="151">
        <f t="shared" si="115"/>
        <v>0</v>
      </c>
      <c r="L5456" s="151" t="s">
        <v>9022</v>
      </c>
    </row>
    <row r="5457" spans="8:12" x14ac:dyDescent="0.25">
      <c r="H5457" s="151" t="s">
        <v>2442</v>
      </c>
      <c r="I5457" s="151" t="s">
        <v>6962</v>
      </c>
      <c r="J5457" s="151" t="s">
        <v>6962</v>
      </c>
      <c r="K5457" s="151">
        <f t="shared" si="115"/>
        <v>0</v>
      </c>
      <c r="L5457" s="151" t="s">
        <v>9022</v>
      </c>
    </row>
    <row r="5458" spans="8:12" x14ac:dyDescent="0.25">
      <c r="H5458" s="151" t="s">
        <v>2443</v>
      </c>
      <c r="I5458" s="151" t="s">
        <v>6962</v>
      </c>
      <c r="J5458" s="151" t="s">
        <v>6962</v>
      </c>
      <c r="K5458" s="151">
        <f t="shared" si="115"/>
        <v>0</v>
      </c>
      <c r="L5458" s="151" t="s">
        <v>9022</v>
      </c>
    </row>
    <row r="5459" spans="8:12" x14ac:dyDescent="0.25">
      <c r="H5459" s="151" t="s">
        <v>2444</v>
      </c>
      <c r="I5459" s="151" t="s">
        <v>6962</v>
      </c>
      <c r="J5459" s="151" t="s">
        <v>6962</v>
      </c>
      <c r="K5459" s="151">
        <f t="shared" si="115"/>
        <v>0</v>
      </c>
      <c r="L5459" s="151" t="s">
        <v>9022</v>
      </c>
    </row>
    <row r="5460" spans="8:12" x14ac:dyDescent="0.25">
      <c r="H5460" s="151" t="s">
        <v>2445</v>
      </c>
      <c r="I5460" s="151" t="s">
        <v>6962</v>
      </c>
      <c r="J5460" s="151" t="s">
        <v>6962</v>
      </c>
      <c r="K5460" s="151">
        <f t="shared" si="115"/>
        <v>0</v>
      </c>
      <c r="L5460" s="151" t="s">
        <v>9022</v>
      </c>
    </row>
    <row r="5461" spans="8:12" x14ac:dyDescent="0.25">
      <c r="H5461" s="151" t="s">
        <v>2446</v>
      </c>
      <c r="I5461" s="151" t="s">
        <v>6962</v>
      </c>
      <c r="J5461" s="151" t="s">
        <v>6962</v>
      </c>
      <c r="K5461" s="151">
        <f t="shared" si="115"/>
        <v>0</v>
      </c>
      <c r="L5461" s="151" t="s">
        <v>9022</v>
      </c>
    </row>
    <row r="5462" spans="8:12" x14ac:dyDescent="0.25">
      <c r="H5462" s="151" t="s">
        <v>2447</v>
      </c>
      <c r="I5462" s="151" t="s">
        <v>6962</v>
      </c>
      <c r="J5462" s="151" t="s">
        <v>6962</v>
      </c>
      <c r="K5462" s="151">
        <f t="shared" si="115"/>
        <v>0</v>
      </c>
      <c r="L5462" s="151" t="s">
        <v>9022</v>
      </c>
    </row>
    <row r="5463" spans="8:12" x14ac:dyDescent="0.25">
      <c r="H5463" s="151" t="s">
        <v>2448</v>
      </c>
      <c r="I5463" s="151" t="s">
        <v>6962</v>
      </c>
      <c r="J5463" s="151" t="s">
        <v>6962</v>
      </c>
      <c r="K5463" s="151">
        <f t="shared" si="115"/>
        <v>0</v>
      </c>
      <c r="L5463" s="151" t="s">
        <v>9022</v>
      </c>
    </row>
    <row r="5464" spans="8:12" x14ac:dyDescent="0.25">
      <c r="H5464" s="151" t="s">
        <v>2449</v>
      </c>
      <c r="I5464" s="151" t="s">
        <v>6962</v>
      </c>
      <c r="J5464" s="151" t="s">
        <v>6962</v>
      </c>
      <c r="K5464" s="151">
        <f t="shared" si="115"/>
        <v>0</v>
      </c>
      <c r="L5464" s="151" t="s">
        <v>9022</v>
      </c>
    </row>
    <row r="5465" spans="8:12" x14ac:dyDescent="0.25">
      <c r="H5465" s="151" t="s">
        <v>2450</v>
      </c>
      <c r="I5465" s="151" t="s">
        <v>6962</v>
      </c>
      <c r="J5465" s="151" t="s">
        <v>6962</v>
      </c>
      <c r="K5465" s="151">
        <f t="shared" si="115"/>
        <v>0</v>
      </c>
      <c r="L5465" s="151" t="s">
        <v>9022</v>
      </c>
    </row>
    <row r="5466" spans="8:12" x14ac:dyDescent="0.25">
      <c r="H5466" s="151" t="s">
        <v>2451</v>
      </c>
      <c r="I5466" s="151" t="s">
        <v>6962</v>
      </c>
      <c r="J5466" s="151" t="s">
        <v>6962</v>
      </c>
      <c r="K5466" s="151">
        <f t="shared" si="115"/>
        <v>0</v>
      </c>
      <c r="L5466" s="151" t="s">
        <v>9022</v>
      </c>
    </row>
    <row r="5467" spans="8:12" x14ac:dyDescent="0.25">
      <c r="H5467" s="151" t="s">
        <v>2452</v>
      </c>
      <c r="I5467" s="151" t="s">
        <v>6962</v>
      </c>
      <c r="J5467" s="151" t="s">
        <v>6962</v>
      </c>
      <c r="K5467" s="151">
        <f t="shared" si="115"/>
        <v>0</v>
      </c>
      <c r="L5467" s="151" t="s">
        <v>9022</v>
      </c>
    </row>
    <row r="5468" spans="8:12" x14ac:dyDescent="0.25">
      <c r="H5468" s="151" t="s">
        <v>2453</v>
      </c>
      <c r="I5468" s="151" t="s">
        <v>6962</v>
      </c>
      <c r="J5468" s="151" t="s">
        <v>6962</v>
      </c>
      <c r="K5468" s="151">
        <f t="shared" si="115"/>
        <v>0</v>
      </c>
      <c r="L5468" s="151" t="s">
        <v>9022</v>
      </c>
    </row>
    <row r="5469" spans="8:12" x14ac:dyDescent="0.25">
      <c r="H5469" s="151" t="s">
        <v>2454</v>
      </c>
      <c r="I5469" s="151" t="s">
        <v>6962</v>
      </c>
      <c r="J5469" s="151" t="s">
        <v>6962</v>
      </c>
      <c r="K5469" s="151">
        <f t="shared" si="115"/>
        <v>0</v>
      </c>
      <c r="L5469" s="151" t="s">
        <v>9022</v>
      </c>
    </row>
    <row r="5470" spans="8:12" x14ac:dyDescent="0.25">
      <c r="H5470" s="151" t="s">
        <v>2455</v>
      </c>
      <c r="I5470" s="151" t="s">
        <v>6962</v>
      </c>
      <c r="J5470" s="151" t="s">
        <v>6962</v>
      </c>
      <c r="K5470" s="151">
        <f t="shared" si="115"/>
        <v>0</v>
      </c>
      <c r="L5470" s="151" t="s">
        <v>9022</v>
      </c>
    </row>
    <row r="5471" spans="8:12" x14ac:dyDescent="0.25">
      <c r="H5471" s="151" t="s">
        <v>2456</v>
      </c>
      <c r="I5471" s="151" t="s">
        <v>6962</v>
      </c>
      <c r="J5471" s="151" t="s">
        <v>6962</v>
      </c>
      <c r="K5471" s="151">
        <f t="shared" si="115"/>
        <v>0</v>
      </c>
      <c r="L5471" s="151" t="s">
        <v>9022</v>
      </c>
    </row>
    <row r="5472" spans="8:12" x14ac:dyDescent="0.25">
      <c r="H5472" s="151" t="s">
        <v>2457</v>
      </c>
      <c r="I5472" s="151" t="s">
        <v>6962</v>
      </c>
      <c r="J5472" s="151" t="s">
        <v>6962</v>
      </c>
      <c r="K5472" s="151">
        <f t="shared" si="115"/>
        <v>0</v>
      </c>
      <c r="L5472" s="151" t="s">
        <v>9022</v>
      </c>
    </row>
    <row r="5473" spans="8:12" x14ac:dyDescent="0.25">
      <c r="H5473" s="151" t="s">
        <v>2458</v>
      </c>
      <c r="I5473" s="151" t="s">
        <v>6962</v>
      </c>
      <c r="J5473" s="151" t="s">
        <v>6962</v>
      </c>
      <c r="K5473" s="151">
        <f t="shared" si="115"/>
        <v>0</v>
      </c>
      <c r="L5473" s="151" t="s">
        <v>9022</v>
      </c>
    </row>
    <row r="5474" spans="8:12" x14ac:dyDescent="0.25">
      <c r="H5474" s="151" t="s">
        <v>2459</v>
      </c>
      <c r="I5474" s="151" t="s">
        <v>6962</v>
      </c>
      <c r="J5474" s="151" t="s">
        <v>6962</v>
      </c>
      <c r="K5474" s="151">
        <f t="shared" si="115"/>
        <v>0</v>
      </c>
      <c r="L5474" s="151" t="s">
        <v>9022</v>
      </c>
    </row>
    <row r="5475" spans="8:12" x14ac:dyDescent="0.25">
      <c r="H5475" s="151" t="s">
        <v>2460</v>
      </c>
      <c r="I5475" s="151" t="s">
        <v>6962</v>
      </c>
      <c r="J5475" s="151" t="s">
        <v>6962</v>
      </c>
      <c r="K5475" s="151">
        <f t="shared" si="115"/>
        <v>0</v>
      </c>
      <c r="L5475" s="151" t="s">
        <v>9022</v>
      </c>
    </row>
    <row r="5476" spans="8:12" x14ac:dyDescent="0.25">
      <c r="H5476" s="151" t="s">
        <v>2461</v>
      </c>
      <c r="I5476" s="151" t="s">
        <v>6962</v>
      </c>
      <c r="J5476" s="151" t="s">
        <v>6962</v>
      </c>
      <c r="K5476" s="151">
        <f t="shared" si="115"/>
        <v>0</v>
      </c>
      <c r="L5476" s="151" t="s">
        <v>9022</v>
      </c>
    </row>
    <row r="5477" spans="8:12" x14ac:dyDescent="0.25">
      <c r="H5477" s="151" t="s">
        <v>2462</v>
      </c>
      <c r="I5477" s="151" t="s">
        <v>6962</v>
      </c>
      <c r="J5477" s="151" t="s">
        <v>6962</v>
      </c>
      <c r="K5477" s="151">
        <f t="shared" si="115"/>
        <v>0</v>
      </c>
      <c r="L5477" s="151" t="s">
        <v>9022</v>
      </c>
    </row>
    <row r="5478" spans="8:12" x14ac:dyDescent="0.25">
      <c r="H5478" s="151" t="s">
        <v>2463</v>
      </c>
      <c r="I5478" s="151" t="s">
        <v>6962</v>
      </c>
      <c r="J5478" s="151" t="s">
        <v>6962</v>
      </c>
      <c r="K5478" s="151">
        <f t="shared" si="115"/>
        <v>0</v>
      </c>
      <c r="L5478" s="151" t="s">
        <v>9022</v>
      </c>
    </row>
    <row r="5479" spans="8:12" x14ac:dyDescent="0.25">
      <c r="H5479" s="151" t="s">
        <v>2464</v>
      </c>
      <c r="I5479" s="151" t="s">
        <v>6962</v>
      </c>
      <c r="J5479" s="151" t="s">
        <v>6962</v>
      </c>
      <c r="K5479" s="151">
        <f t="shared" si="115"/>
        <v>0</v>
      </c>
      <c r="L5479" s="151" t="s">
        <v>9022</v>
      </c>
    </row>
    <row r="5480" spans="8:12" x14ac:dyDescent="0.25">
      <c r="H5480" s="151" t="s">
        <v>2465</v>
      </c>
      <c r="I5480" s="151" t="s">
        <v>6962</v>
      </c>
      <c r="J5480" s="151" t="s">
        <v>6962</v>
      </c>
      <c r="K5480" s="151">
        <f t="shared" si="115"/>
        <v>0</v>
      </c>
      <c r="L5480" s="151" t="s">
        <v>9022</v>
      </c>
    </row>
    <row r="5481" spans="8:12" x14ac:dyDescent="0.25">
      <c r="H5481" s="151" t="s">
        <v>2466</v>
      </c>
      <c r="I5481" s="151" t="s">
        <v>6962</v>
      </c>
      <c r="J5481" s="151" t="s">
        <v>6962</v>
      </c>
      <c r="K5481" s="151">
        <f t="shared" si="115"/>
        <v>0</v>
      </c>
      <c r="L5481" s="151" t="s">
        <v>9022</v>
      </c>
    </row>
    <row r="5482" spans="8:12" x14ac:dyDescent="0.25">
      <c r="H5482" s="151" t="s">
        <v>2467</v>
      </c>
      <c r="I5482" s="151" t="s">
        <v>6962</v>
      </c>
      <c r="J5482" s="151" t="s">
        <v>6962</v>
      </c>
      <c r="K5482" s="151">
        <f t="shared" si="115"/>
        <v>0</v>
      </c>
      <c r="L5482" s="151" t="s">
        <v>9022</v>
      </c>
    </row>
    <row r="5483" spans="8:12" x14ac:dyDescent="0.25">
      <c r="H5483" s="151" t="s">
        <v>2468</v>
      </c>
      <c r="I5483" s="151" t="s">
        <v>6962</v>
      </c>
      <c r="J5483" s="151" t="s">
        <v>6962</v>
      </c>
      <c r="K5483" s="151">
        <f t="shared" si="115"/>
        <v>0</v>
      </c>
      <c r="L5483" s="151" t="s">
        <v>9022</v>
      </c>
    </row>
    <row r="5484" spans="8:12" x14ac:dyDescent="0.25">
      <c r="H5484" s="151" t="s">
        <v>2469</v>
      </c>
      <c r="I5484" s="151" t="s">
        <v>6962</v>
      </c>
      <c r="J5484" s="151" t="s">
        <v>6962</v>
      </c>
      <c r="K5484" s="151">
        <f t="shared" si="115"/>
        <v>0</v>
      </c>
      <c r="L5484" s="151" t="s">
        <v>9022</v>
      </c>
    </row>
    <row r="5485" spans="8:12" x14ac:dyDescent="0.25">
      <c r="H5485" s="151" t="s">
        <v>2470</v>
      </c>
      <c r="I5485" s="151" t="s">
        <v>6962</v>
      </c>
      <c r="J5485" s="151" t="s">
        <v>6962</v>
      </c>
      <c r="K5485" s="151">
        <f t="shared" si="115"/>
        <v>0</v>
      </c>
      <c r="L5485" s="151" t="s">
        <v>9022</v>
      </c>
    </row>
    <row r="5486" spans="8:12" x14ac:dyDescent="0.25">
      <c r="H5486" s="151" t="s">
        <v>2471</v>
      </c>
      <c r="I5486" s="151" t="s">
        <v>6962</v>
      </c>
      <c r="J5486" s="151" t="s">
        <v>6962</v>
      </c>
      <c r="K5486" s="151">
        <f t="shared" si="115"/>
        <v>0</v>
      </c>
      <c r="L5486" s="151" t="s">
        <v>9022</v>
      </c>
    </row>
    <row r="5487" spans="8:12" x14ac:dyDescent="0.25">
      <c r="H5487" s="151" t="s">
        <v>2472</v>
      </c>
      <c r="I5487" s="151" t="s">
        <v>6962</v>
      </c>
      <c r="J5487" s="151" t="s">
        <v>6962</v>
      </c>
      <c r="K5487" s="151">
        <f t="shared" si="115"/>
        <v>0</v>
      </c>
      <c r="L5487" s="151" t="s">
        <v>9022</v>
      </c>
    </row>
    <row r="5488" spans="8:12" x14ac:dyDescent="0.25">
      <c r="H5488" s="151" t="s">
        <v>2473</v>
      </c>
      <c r="I5488" s="151" t="s">
        <v>6962</v>
      </c>
      <c r="J5488" s="151" t="s">
        <v>6962</v>
      </c>
      <c r="K5488" s="151">
        <f t="shared" si="115"/>
        <v>0</v>
      </c>
      <c r="L5488" s="151" t="s">
        <v>9022</v>
      </c>
    </row>
    <row r="5489" spans="8:12" x14ac:dyDescent="0.25">
      <c r="H5489" s="151" t="s">
        <v>2474</v>
      </c>
      <c r="I5489" s="151" t="s">
        <v>6962</v>
      </c>
      <c r="J5489" s="151" t="s">
        <v>6962</v>
      </c>
      <c r="K5489" s="151">
        <f t="shared" si="115"/>
        <v>0</v>
      </c>
      <c r="L5489" s="151" t="s">
        <v>9022</v>
      </c>
    </row>
    <row r="5490" spans="8:12" x14ac:dyDescent="0.25">
      <c r="H5490" s="151" t="s">
        <v>2475</v>
      </c>
      <c r="I5490" s="151" t="s">
        <v>6962</v>
      </c>
      <c r="J5490" s="151" t="s">
        <v>6962</v>
      </c>
      <c r="K5490" s="151">
        <f t="shared" si="115"/>
        <v>0</v>
      </c>
      <c r="L5490" s="151" t="s">
        <v>9022</v>
      </c>
    </row>
    <row r="5491" spans="8:12" x14ac:dyDescent="0.25">
      <c r="H5491" s="151" t="s">
        <v>2476</v>
      </c>
      <c r="I5491" s="151" t="s">
        <v>6962</v>
      </c>
      <c r="J5491" s="151" t="s">
        <v>6962</v>
      </c>
      <c r="K5491" s="151">
        <f t="shared" si="115"/>
        <v>0</v>
      </c>
      <c r="L5491" s="151" t="s">
        <v>9022</v>
      </c>
    </row>
    <row r="5492" spans="8:12" x14ac:dyDescent="0.25">
      <c r="H5492" s="151" t="s">
        <v>2477</v>
      </c>
      <c r="I5492" s="151" t="s">
        <v>6962</v>
      </c>
      <c r="J5492" s="151" t="s">
        <v>6962</v>
      </c>
      <c r="K5492" s="151">
        <f t="shared" si="115"/>
        <v>0</v>
      </c>
      <c r="L5492" s="151" t="s">
        <v>9022</v>
      </c>
    </row>
    <row r="5493" spans="8:12" x14ac:dyDescent="0.25">
      <c r="H5493" s="151" t="s">
        <v>2478</v>
      </c>
      <c r="I5493" s="151" t="s">
        <v>6962</v>
      </c>
      <c r="J5493" s="151" t="s">
        <v>6962</v>
      </c>
      <c r="K5493" s="151">
        <f t="shared" si="115"/>
        <v>0</v>
      </c>
      <c r="L5493" s="151" t="s">
        <v>9022</v>
      </c>
    </row>
    <row r="5494" spans="8:12" x14ac:dyDescent="0.25">
      <c r="H5494" s="151" t="s">
        <v>2479</v>
      </c>
      <c r="I5494" s="151" t="s">
        <v>6962</v>
      </c>
      <c r="J5494" s="151" t="s">
        <v>6962</v>
      </c>
      <c r="K5494" s="151">
        <f t="shared" si="115"/>
        <v>0</v>
      </c>
      <c r="L5494" s="151" t="s">
        <v>9022</v>
      </c>
    </row>
    <row r="5495" spans="8:12" x14ac:dyDescent="0.25">
      <c r="H5495" s="151" t="s">
        <v>2480</v>
      </c>
      <c r="I5495" s="151" t="s">
        <v>6962</v>
      </c>
      <c r="J5495" s="151" t="s">
        <v>6962</v>
      </c>
      <c r="K5495" s="151">
        <f t="shared" si="115"/>
        <v>0</v>
      </c>
      <c r="L5495" s="151" t="s">
        <v>9022</v>
      </c>
    </row>
    <row r="5496" spans="8:12" x14ac:dyDescent="0.25">
      <c r="H5496" s="151" t="s">
        <v>2481</v>
      </c>
      <c r="I5496" s="151" t="s">
        <v>6962</v>
      </c>
      <c r="J5496" s="151" t="s">
        <v>6962</v>
      </c>
      <c r="K5496" s="151">
        <f t="shared" si="115"/>
        <v>0</v>
      </c>
      <c r="L5496" s="151" t="s">
        <v>9022</v>
      </c>
    </row>
    <row r="5497" spans="8:12" x14ac:dyDescent="0.25">
      <c r="H5497" s="151" t="s">
        <v>2482</v>
      </c>
      <c r="I5497" s="151" t="s">
        <v>6962</v>
      </c>
      <c r="J5497" s="151" t="s">
        <v>6962</v>
      </c>
      <c r="K5497" s="151">
        <f t="shared" si="115"/>
        <v>0</v>
      </c>
      <c r="L5497" s="151" t="s">
        <v>9022</v>
      </c>
    </row>
    <row r="5498" spans="8:12" x14ac:dyDescent="0.25">
      <c r="H5498" s="151" t="s">
        <v>2483</v>
      </c>
      <c r="I5498" s="151" t="s">
        <v>6962</v>
      </c>
      <c r="J5498" s="151" t="s">
        <v>6962</v>
      </c>
      <c r="K5498" s="151">
        <f t="shared" si="115"/>
        <v>0</v>
      </c>
      <c r="L5498" s="151" t="s">
        <v>9022</v>
      </c>
    </row>
    <row r="5499" spans="8:12" x14ac:dyDescent="0.25">
      <c r="H5499" s="151" t="s">
        <v>2484</v>
      </c>
      <c r="I5499" s="151" t="s">
        <v>6962</v>
      </c>
      <c r="J5499" s="151" t="s">
        <v>6962</v>
      </c>
      <c r="K5499" s="151">
        <f t="shared" si="115"/>
        <v>0</v>
      </c>
      <c r="L5499" s="151" t="s">
        <v>9022</v>
      </c>
    </row>
    <row r="5500" spans="8:12" x14ac:dyDescent="0.25">
      <c r="H5500" s="151" t="s">
        <v>2485</v>
      </c>
      <c r="I5500" s="151" t="s">
        <v>6962</v>
      </c>
      <c r="J5500" s="151" t="s">
        <v>6962</v>
      </c>
      <c r="K5500" s="151">
        <f t="shared" si="115"/>
        <v>0</v>
      </c>
      <c r="L5500" s="151" t="s">
        <v>9022</v>
      </c>
    </row>
    <row r="5501" spans="8:12" x14ac:dyDescent="0.25">
      <c r="H5501" s="151" t="s">
        <v>2486</v>
      </c>
      <c r="I5501" s="151" t="s">
        <v>6962</v>
      </c>
      <c r="J5501" s="151" t="s">
        <v>6962</v>
      </c>
      <c r="K5501" s="151">
        <f t="shared" si="115"/>
        <v>0</v>
      </c>
      <c r="L5501" s="151" t="s">
        <v>9022</v>
      </c>
    </row>
    <row r="5502" spans="8:12" x14ac:dyDescent="0.25">
      <c r="H5502" s="151" t="s">
        <v>2487</v>
      </c>
      <c r="I5502" s="151" t="s">
        <v>6962</v>
      </c>
      <c r="J5502" s="151" t="s">
        <v>6962</v>
      </c>
      <c r="K5502" s="151">
        <f t="shared" si="115"/>
        <v>0</v>
      </c>
      <c r="L5502" s="151" t="s">
        <v>9022</v>
      </c>
    </row>
    <row r="5503" spans="8:12" x14ac:dyDescent="0.25">
      <c r="H5503" s="151" t="s">
        <v>2488</v>
      </c>
      <c r="I5503" s="151" t="s">
        <v>6962</v>
      </c>
      <c r="J5503" s="151" t="s">
        <v>6962</v>
      </c>
      <c r="K5503" s="151">
        <f t="shared" si="115"/>
        <v>0</v>
      </c>
      <c r="L5503" s="151" t="s">
        <v>9022</v>
      </c>
    </row>
    <row r="5504" spans="8:12" x14ac:dyDescent="0.25">
      <c r="H5504" s="151" t="s">
        <v>2489</v>
      </c>
      <c r="I5504" s="151" t="s">
        <v>6962</v>
      </c>
      <c r="J5504" s="151" t="s">
        <v>6962</v>
      </c>
      <c r="K5504" s="151">
        <f t="shared" si="115"/>
        <v>0</v>
      </c>
      <c r="L5504" s="151" t="s">
        <v>9022</v>
      </c>
    </row>
    <row r="5505" spans="8:12" x14ac:dyDescent="0.25">
      <c r="H5505" s="151" t="s">
        <v>2490</v>
      </c>
      <c r="I5505" s="151" t="s">
        <v>6962</v>
      </c>
      <c r="J5505" s="151" t="s">
        <v>6962</v>
      </c>
      <c r="K5505" s="151">
        <f t="shared" si="115"/>
        <v>0</v>
      </c>
      <c r="L5505" s="151" t="s">
        <v>9022</v>
      </c>
    </row>
    <row r="5506" spans="8:12" x14ac:dyDescent="0.25">
      <c r="H5506" s="151" t="s">
        <v>2491</v>
      </c>
      <c r="I5506" s="151" t="s">
        <v>6962</v>
      </c>
      <c r="J5506" s="151" t="s">
        <v>6962</v>
      </c>
      <c r="K5506" s="151">
        <f t="shared" si="115"/>
        <v>0</v>
      </c>
      <c r="L5506" s="151" t="s">
        <v>9022</v>
      </c>
    </row>
    <row r="5507" spans="8:12" x14ac:dyDescent="0.25">
      <c r="H5507" s="151" t="s">
        <v>2492</v>
      </c>
      <c r="I5507" s="151" t="s">
        <v>6962</v>
      </c>
      <c r="J5507" s="151" t="s">
        <v>6962</v>
      </c>
      <c r="K5507" s="151">
        <f t="shared" ref="K5507:K5570" si="116">+IFERROR(J5507*1,0)</f>
        <v>0</v>
      </c>
      <c r="L5507" s="151" t="s">
        <v>9022</v>
      </c>
    </row>
    <row r="5508" spans="8:12" x14ac:dyDescent="0.25">
      <c r="H5508" s="151" t="s">
        <v>2493</v>
      </c>
      <c r="I5508" s="151" t="s">
        <v>6962</v>
      </c>
      <c r="J5508" s="151" t="s">
        <v>6962</v>
      </c>
      <c r="K5508" s="151">
        <f t="shared" si="116"/>
        <v>0</v>
      </c>
      <c r="L5508" s="151" t="s">
        <v>9022</v>
      </c>
    </row>
    <row r="5509" spans="8:12" x14ac:dyDescent="0.25">
      <c r="H5509" s="151" t="s">
        <v>2494</v>
      </c>
      <c r="I5509" s="151" t="s">
        <v>6962</v>
      </c>
      <c r="J5509" s="151" t="s">
        <v>6962</v>
      </c>
      <c r="K5509" s="151">
        <f t="shared" si="116"/>
        <v>0</v>
      </c>
      <c r="L5509" s="151" t="s">
        <v>9022</v>
      </c>
    </row>
    <row r="5510" spans="8:12" x14ac:dyDescent="0.25">
      <c r="H5510" s="151" t="s">
        <v>2494</v>
      </c>
      <c r="I5510" s="151" t="s">
        <v>391</v>
      </c>
      <c r="J5510" s="151" t="s">
        <v>9054</v>
      </c>
      <c r="K5510" s="151">
        <f t="shared" si="116"/>
        <v>650000000002201</v>
      </c>
      <c r="L5510" s="151" t="s">
        <v>9022</v>
      </c>
    </row>
    <row r="5511" spans="8:12" x14ac:dyDescent="0.25">
      <c r="H5511" s="151" t="s">
        <v>2495</v>
      </c>
      <c r="I5511" s="151" t="s">
        <v>6962</v>
      </c>
      <c r="J5511" s="151" t="s">
        <v>6962</v>
      </c>
      <c r="K5511" s="151">
        <f t="shared" si="116"/>
        <v>0</v>
      </c>
      <c r="L5511" s="151" t="s">
        <v>9022</v>
      </c>
    </row>
    <row r="5512" spans="8:12" x14ac:dyDescent="0.25">
      <c r="H5512" s="151" t="s">
        <v>2495</v>
      </c>
      <c r="I5512" s="151" t="s">
        <v>391</v>
      </c>
      <c r="J5512" s="151" t="s">
        <v>9055</v>
      </c>
      <c r="K5512" s="151">
        <f t="shared" si="116"/>
        <v>650000000002203</v>
      </c>
      <c r="L5512" s="151" t="s">
        <v>9022</v>
      </c>
    </row>
    <row r="5513" spans="8:12" x14ac:dyDescent="0.25">
      <c r="H5513" s="151" t="s">
        <v>2496</v>
      </c>
      <c r="I5513" s="151" t="s">
        <v>6962</v>
      </c>
      <c r="J5513" s="151" t="s">
        <v>6962</v>
      </c>
      <c r="K5513" s="151">
        <f t="shared" si="116"/>
        <v>0</v>
      </c>
      <c r="L5513" s="151" t="s">
        <v>9022</v>
      </c>
    </row>
    <row r="5514" spans="8:12" x14ac:dyDescent="0.25">
      <c r="H5514" s="151" t="s">
        <v>2496</v>
      </c>
      <c r="I5514" s="151" t="s">
        <v>391</v>
      </c>
      <c r="J5514" s="151" t="s">
        <v>9056</v>
      </c>
      <c r="K5514" s="151">
        <f t="shared" si="116"/>
        <v>650000000002204</v>
      </c>
      <c r="L5514" s="151" t="s">
        <v>9022</v>
      </c>
    </row>
    <row r="5515" spans="8:12" x14ac:dyDescent="0.25">
      <c r="H5515" s="151" t="s">
        <v>2497</v>
      </c>
      <c r="I5515" s="151" t="s">
        <v>6962</v>
      </c>
      <c r="J5515" s="151" t="s">
        <v>6962</v>
      </c>
      <c r="K5515" s="151">
        <f t="shared" si="116"/>
        <v>0</v>
      </c>
      <c r="L5515" s="151" t="s">
        <v>9022</v>
      </c>
    </row>
    <row r="5516" spans="8:12" x14ac:dyDescent="0.25">
      <c r="H5516" s="151" t="s">
        <v>2497</v>
      </c>
      <c r="I5516" s="151" t="s">
        <v>391</v>
      </c>
      <c r="J5516" s="151" t="s">
        <v>9057</v>
      </c>
      <c r="K5516" s="151">
        <f t="shared" si="116"/>
        <v>650000000002205</v>
      </c>
      <c r="L5516" s="151" t="s">
        <v>9022</v>
      </c>
    </row>
    <row r="5517" spans="8:12" x14ac:dyDescent="0.25">
      <c r="H5517" s="151" t="s">
        <v>2498</v>
      </c>
      <c r="I5517" s="151" t="s">
        <v>6962</v>
      </c>
      <c r="J5517" s="151" t="s">
        <v>6962</v>
      </c>
      <c r="K5517" s="151">
        <f t="shared" si="116"/>
        <v>0</v>
      </c>
      <c r="L5517" s="151" t="s">
        <v>9022</v>
      </c>
    </row>
    <row r="5518" spans="8:12" x14ac:dyDescent="0.25">
      <c r="H5518" s="151" t="s">
        <v>2499</v>
      </c>
      <c r="I5518" s="151" t="s">
        <v>6962</v>
      </c>
      <c r="J5518" s="151" t="s">
        <v>6962</v>
      </c>
      <c r="K5518" s="151">
        <f t="shared" si="116"/>
        <v>0</v>
      </c>
      <c r="L5518" s="151" t="s">
        <v>9022</v>
      </c>
    </row>
    <row r="5519" spans="8:12" x14ac:dyDescent="0.25">
      <c r="H5519" s="151" t="s">
        <v>2500</v>
      </c>
      <c r="I5519" s="151" t="s">
        <v>6962</v>
      </c>
      <c r="J5519" s="151" t="s">
        <v>6962</v>
      </c>
      <c r="K5519" s="151">
        <f t="shared" si="116"/>
        <v>0</v>
      </c>
      <c r="L5519" s="151" t="s">
        <v>9022</v>
      </c>
    </row>
    <row r="5520" spans="8:12" x14ac:dyDescent="0.25">
      <c r="H5520" s="151" t="s">
        <v>2501</v>
      </c>
      <c r="I5520" s="151" t="s">
        <v>6962</v>
      </c>
      <c r="J5520" s="151" t="s">
        <v>6962</v>
      </c>
      <c r="K5520" s="151">
        <f t="shared" si="116"/>
        <v>0</v>
      </c>
      <c r="L5520" s="151" t="s">
        <v>9022</v>
      </c>
    </row>
    <row r="5521" spans="8:12" x14ac:dyDescent="0.25">
      <c r="H5521" s="151" t="s">
        <v>2502</v>
      </c>
      <c r="I5521" s="151" t="s">
        <v>6962</v>
      </c>
      <c r="J5521" s="151" t="s">
        <v>6962</v>
      </c>
      <c r="K5521" s="151">
        <f t="shared" si="116"/>
        <v>0</v>
      </c>
      <c r="L5521" s="151" t="s">
        <v>9022</v>
      </c>
    </row>
    <row r="5522" spans="8:12" x14ac:dyDescent="0.25">
      <c r="H5522" s="151" t="s">
        <v>2503</v>
      </c>
      <c r="I5522" s="151" t="s">
        <v>6962</v>
      </c>
      <c r="J5522" s="151" t="s">
        <v>6962</v>
      </c>
      <c r="K5522" s="151">
        <f t="shared" si="116"/>
        <v>0</v>
      </c>
      <c r="L5522" s="151" t="s">
        <v>9022</v>
      </c>
    </row>
    <row r="5523" spans="8:12" x14ac:dyDescent="0.25">
      <c r="H5523" s="151" t="s">
        <v>2504</v>
      </c>
      <c r="I5523" s="151" t="s">
        <v>6962</v>
      </c>
      <c r="J5523" s="151" t="s">
        <v>6962</v>
      </c>
      <c r="K5523" s="151">
        <f t="shared" si="116"/>
        <v>0</v>
      </c>
      <c r="L5523" s="151" t="s">
        <v>9022</v>
      </c>
    </row>
    <row r="5524" spans="8:12" x14ac:dyDescent="0.25">
      <c r="H5524" s="151" t="s">
        <v>2505</v>
      </c>
      <c r="I5524" s="151" t="s">
        <v>6962</v>
      </c>
      <c r="J5524" s="151" t="s">
        <v>6962</v>
      </c>
      <c r="K5524" s="151">
        <f t="shared" si="116"/>
        <v>0</v>
      </c>
      <c r="L5524" s="151" t="s">
        <v>9022</v>
      </c>
    </row>
    <row r="5525" spans="8:12" x14ac:dyDescent="0.25">
      <c r="H5525" s="151" t="s">
        <v>2506</v>
      </c>
      <c r="I5525" s="151" t="s">
        <v>6962</v>
      </c>
      <c r="J5525" s="151" t="s">
        <v>6962</v>
      </c>
      <c r="K5525" s="151">
        <f t="shared" si="116"/>
        <v>0</v>
      </c>
      <c r="L5525" s="151" t="s">
        <v>9022</v>
      </c>
    </row>
    <row r="5526" spans="8:12" x14ac:dyDescent="0.25">
      <c r="H5526" s="151" t="s">
        <v>2507</v>
      </c>
      <c r="I5526" s="151" t="s">
        <v>6962</v>
      </c>
      <c r="J5526" s="151" t="s">
        <v>6962</v>
      </c>
      <c r="K5526" s="151">
        <f t="shared" si="116"/>
        <v>0</v>
      </c>
      <c r="L5526" s="151" t="s">
        <v>9022</v>
      </c>
    </row>
    <row r="5527" spans="8:12" x14ac:dyDescent="0.25">
      <c r="H5527" s="151" t="s">
        <v>2508</v>
      </c>
      <c r="I5527" s="151" t="s">
        <v>6962</v>
      </c>
      <c r="J5527" s="151" t="s">
        <v>6962</v>
      </c>
      <c r="K5527" s="151">
        <f t="shared" si="116"/>
        <v>0</v>
      </c>
      <c r="L5527" s="151" t="s">
        <v>9022</v>
      </c>
    </row>
    <row r="5528" spans="8:12" x14ac:dyDescent="0.25">
      <c r="H5528" s="151" t="s">
        <v>2509</v>
      </c>
      <c r="I5528" s="151" t="s">
        <v>6962</v>
      </c>
      <c r="J5528" s="151" t="s">
        <v>6962</v>
      </c>
      <c r="K5528" s="151">
        <f t="shared" si="116"/>
        <v>0</v>
      </c>
      <c r="L5528" s="151" t="s">
        <v>9022</v>
      </c>
    </row>
    <row r="5529" spans="8:12" x14ac:dyDescent="0.25">
      <c r="H5529" s="151" t="s">
        <v>2510</v>
      </c>
      <c r="I5529" s="151" t="s">
        <v>6962</v>
      </c>
      <c r="J5529" s="151" t="s">
        <v>6962</v>
      </c>
      <c r="K5529" s="151">
        <f t="shared" si="116"/>
        <v>0</v>
      </c>
      <c r="L5529" s="151" t="s">
        <v>9022</v>
      </c>
    </row>
    <row r="5530" spans="8:12" x14ac:dyDescent="0.25">
      <c r="H5530" s="151" t="s">
        <v>2511</v>
      </c>
      <c r="I5530" s="151" t="s">
        <v>6962</v>
      </c>
      <c r="J5530" s="151" t="s">
        <v>6962</v>
      </c>
      <c r="K5530" s="151">
        <f t="shared" si="116"/>
        <v>0</v>
      </c>
      <c r="L5530" s="151" t="s">
        <v>9022</v>
      </c>
    </row>
    <row r="5531" spans="8:12" x14ac:dyDescent="0.25">
      <c r="H5531" s="151" t="s">
        <v>2512</v>
      </c>
      <c r="I5531" s="151" t="s">
        <v>6962</v>
      </c>
      <c r="J5531" s="151" t="s">
        <v>6962</v>
      </c>
      <c r="K5531" s="151">
        <f t="shared" si="116"/>
        <v>0</v>
      </c>
      <c r="L5531" s="151" t="s">
        <v>9022</v>
      </c>
    </row>
    <row r="5532" spans="8:12" x14ac:dyDescent="0.25">
      <c r="H5532" s="151" t="s">
        <v>2513</v>
      </c>
      <c r="I5532" s="151" t="s">
        <v>6962</v>
      </c>
      <c r="J5532" s="151" t="s">
        <v>6962</v>
      </c>
      <c r="K5532" s="151">
        <f t="shared" si="116"/>
        <v>0</v>
      </c>
      <c r="L5532" s="151" t="s">
        <v>9022</v>
      </c>
    </row>
    <row r="5533" spans="8:12" x14ac:dyDescent="0.25">
      <c r="H5533" s="151" t="s">
        <v>2514</v>
      </c>
      <c r="I5533" s="151" t="s">
        <v>6962</v>
      </c>
      <c r="J5533" s="151" t="s">
        <v>6962</v>
      </c>
      <c r="K5533" s="151">
        <f t="shared" si="116"/>
        <v>0</v>
      </c>
      <c r="L5533" s="151" t="s">
        <v>9022</v>
      </c>
    </row>
    <row r="5534" spans="8:12" x14ac:dyDescent="0.25">
      <c r="H5534" s="151" t="s">
        <v>2515</v>
      </c>
      <c r="I5534" s="151" t="s">
        <v>6962</v>
      </c>
      <c r="J5534" s="151" t="s">
        <v>6962</v>
      </c>
      <c r="K5534" s="151">
        <f t="shared" si="116"/>
        <v>0</v>
      </c>
      <c r="L5534" s="151" t="s">
        <v>9022</v>
      </c>
    </row>
    <row r="5535" spans="8:12" x14ac:dyDescent="0.25">
      <c r="H5535" s="151" t="s">
        <v>2516</v>
      </c>
      <c r="I5535" s="151" t="s">
        <v>6962</v>
      </c>
      <c r="J5535" s="151" t="s">
        <v>6962</v>
      </c>
      <c r="K5535" s="151">
        <f t="shared" si="116"/>
        <v>0</v>
      </c>
      <c r="L5535" s="151" t="s">
        <v>9022</v>
      </c>
    </row>
    <row r="5536" spans="8:12" x14ac:dyDescent="0.25">
      <c r="H5536" s="151" t="s">
        <v>2517</v>
      </c>
      <c r="I5536" s="151" t="s">
        <v>6962</v>
      </c>
      <c r="J5536" s="151" t="s">
        <v>6962</v>
      </c>
      <c r="K5536" s="151">
        <f t="shared" si="116"/>
        <v>0</v>
      </c>
      <c r="L5536" s="151" t="s">
        <v>9022</v>
      </c>
    </row>
    <row r="5537" spans="8:12" x14ac:dyDescent="0.25">
      <c r="H5537" s="151" t="s">
        <v>2518</v>
      </c>
      <c r="I5537" s="151" t="s">
        <v>6962</v>
      </c>
      <c r="J5537" s="151" t="s">
        <v>6962</v>
      </c>
      <c r="K5537" s="151">
        <f t="shared" si="116"/>
        <v>0</v>
      </c>
      <c r="L5537" s="151" t="s">
        <v>9022</v>
      </c>
    </row>
    <row r="5538" spans="8:12" x14ac:dyDescent="0.25">
      <c r="H5538" s="151" t="s">
        <v>2519</v>
      </c>
      <c r="I5538" s="151" t="s">
        <v>6962</v>
      </c>
      <c r="J5538" s="151" t="s">
        <v>6962</v>
      </c>
      <c r="K5538" s="151">
        <f t="shared" si="116"/>
        <v>0</v>
      </c>
      <c r="L5538" s="151" t="s">
        <v>9022</v>
      </c>
    </row>
    <row r="5539" spans="8:12" x14ac:dyDescent="0.25">
      <c r="H5539" s="151" t="s">
        <v>2520</v>
      </c>
      <c r="I5539" s="151" t="s">
        <v>6962</v>
      </c>
      <c r="J5539" s="151" t="s">
        <v>6962</v>
      </c>
      <c r="K5539" s="151">
        <f t="shared" si="116"/>
        <v>0</v>
      </c>
      <c r="L5539" s="151" t="s">
        <v>9022</v>
      </c>
    </row>
    <row r="5540" spans="8:12" x14ac:dyDescent="0.25">
      <c r="H5540" s="151" t="s">
        <v>2521</v>
      </c>
      <c r="I5540" s="151" t="s">
        <v>6962</v>
      </c>
      <c r="J5540" s="151" t="s">
        <v>6962</v>
      </c>
      <c r="K5540" s="151">
        <f t="shared" si="116"/>
        <v>0</v>
      </c>
      <c r="L5540" s="151" t="s">
        <v>9022</v>
      </c>
    </row>
    <row r="5541" spans="8:12" x14ac:dyDescent="0.25">
      <c r="H5541" s="151" t="s">
        <v>2522</v>
      </c>
      <c r="I5541" s="151" t="s">
        <v>6962</v>
      </c>
      <c r="J5541" s="151" t="s">
        <v>6962</v>
      </c>
      <c r="K5541" s="151">
        <f t="shared" si="116"/>
        <v>0</v>
      </c>
      <c r="L5541" s="151" t="s">
        <v>9022</v>
      </c>
    </row>
    <row r="5542" spans="8:12" x14ac:dyDescent="0.25">
      <c r="H5542" s="151" t="s">
        <v>2523</v>
      </c>
      <c r="I5542" s="151" t="s">
        <v>6962</v>
      </c>
      <c r="J5542" s="151" t="s">
        <v>6962</v>
      </c>
      <c r="K5542" s="151">
        <f t="shared" si="116"/>
        <v>0</v>
      </c>
      <c r="L5542" s="151" t="s">
        <v>9022</v>
      </c>
    </row>
    <row r="5543" spans="8:12" x14ac:dyDescent="0.25">
      <c r="H5543" s="151" t="s">
        <v>2524</v>
      </c>
      <c r="I5543" s="151" t="s">
        <v>6962</v>
      </c>
      <c r="J5543" s="151" t="s">
        <v>6962</v>
      </c>
      <c r="K5543" s="151">
        <f t="shared" si="116"/>
        <v>0</v>
      </c>
      <c r="L5543" s="151" t="s">
        <v>9022</v>
      </c>
    </row>
    <row r="5544" spans="8:12" x14ac:dyDescent="0.25">
      <c r="H5544" s="151" t="s">
        <v>2525</v>
      </c>
      <c r="I5544" s="151" t="s">
        <v>6962</v>
      </c>
      <c r="J5544" s="151" t="s">
        <v>6962</v>
      </c>
      <c r="K5544" s="151">
        <f t="shared" si="116"/>
        <v>0</v>
      </c>
      <c r="L5544" s="151" t="s">
        <v>9022</v>
      </c>
    </row>
    <row r="5545" spans="8:12" x14ac:dyDescent="0.25">
      <c r="H5545" s="151" t="s">
        <v>2526</v>
      </c>
      <c r="I5545" s="151" t="s">
        <v>6962</v>
      </c>
      <c r="J5545" s="151" t="s">
        <v>6962</v>
      </c>
      <c r="K5545" s="151">
        <f t="shared" si="116"/>
        <v>0</v>
      </c>
      <c r="L5545" s="151" t="s">
        <v>9022</v>
      </c>
    </row>
    <row r="5546" spans="8:12" x14ac:dyDescent="0.25">
      <c r="H5546" s="151" t="s">
        <v>2527</v>
      </c>
      <c r="I5546" s="151" t="s">
        <v>6962</v>
      </c>
      <c r="J5546" s="151" t="s">
        <v>6962</v>
      </c>
      <c r="K5546" s="151">
        <f t="shared" si="116"/>
        <v>0</v>
      </c>
      <c r="L5546" s="151" t="s">
        <v>9022</v>
      </c>
    </row>
    <row r="5547" spans="8:12" x14ac:dyDescent="0.25">
      <c r="H5547" s="151" t="s">
        <v>2528</v>
      </c>
      <c r="I5547" s="151" t="s">
        <v>6962</v>
      </c>
      <c r="J5547" s="151" t="s">
        <v>6962</v>
      </c>
      <c r="K5547" s="151">
        <f t="shared" si="116"/>
        <v>0</v>
      </c>
      <c r="L5547" s="151" t="s">
        <v>9022</v>
      </c>
    </row>
    <row r="5548" spans="8:12" x14ac:dyDescent="0.25">
      <c r="H5548" s="151" t="s">
        <v>2529</v>
      </c>
      <c r="I5548" s="151" t="s">
        <v>6962</v>
      </c>
      <c r="J5548" s="151" t="s">
        <v>6962</v>
      </c>
      <c r="K5548" s="151">
        <f t="shared" si="116"/>
        <v>0</v>
      </c>
      <c r="L5548" s="151" t="s">
        <v>9022</v>
      </c>
    </row>
    <row r="5549" spans="8:12" x14ac:dyDescent="0.25">
      <c r="H5549" s="151" t="s">
        <v>2530</v>
      </c>
      <c r="I5549" s="151" t="s">
        <v>6962</v>
      </c>
      <c r="J5549" s="151" t="s">
        <v>6962</v>
      </c>
      <c r="K5549" s="151">
        <f t="shared" si="116"/>
        <v>0</v>
      </c>
      <c r="L5549" s="151" t="s">
        <v>9022</v>
      </c>
    </row>
    <row r="5550" spans="8:12" x14ac:dyDescent="0.25">
      <c r="H5550" s="151" t="s">
        <v>2531</v>
      </c>
      <c r="I5550" s="151" t="s">
        <v>6962</v>
      </c>
      <c r="J5550" s="151" t="s">
        <v>6962</v>
      </c>
      <c r="K5550" s="151">
        <f t="shared" si="116"/>
        <v>0</v>
      </c>
      <c r="L5550" s="151" t="s">
        <v>9022</v>
      </c>
    </row>
    <row r="5551" spans="8:12" x14ac:dyDescent="0.25">
      <c r="H5551" s="151" t="s">
        <v>2532</v>
      </c>
      <c r="I5551" s="151" t="s">
        <v>6962</v>
      </c>
      <c r="J5551" s="151" t="s">
        <v>6962</v>
      </c>
      <c r="K5551" s="151">
        <f t="shared" si="116"/>
        <v>0</v>
      </c>
      <c r="L5551" s="151" t="s">
        <v>9022</v>
      </c>
    </row>
    <row r="5552" spans="8:12" x14ac:dyDescent="0.25">
      <c r="H5552" s="151" t="s">
        <v>2533</v>
      </c>
      <c r="I5552" s="151" t="s">
        <v>6962</v>
      </c>
      <c r="J5552" s="151" t="s">
        <v>6962</v>
      </c>
      <c r="K5552" s="151">
        <f t="shared" si="116"/>
        <v>0</v>
      </c>
      <c r="L5552" s="151" t="s">
        <v>9022</v>
      </c>
    </row>
    <row r="5553" spans="8:12" x14ac:dyDescent="0.25">
      <c r="H5553" s="151" t="s">
        <v>2534</v>
      </c>
      <c r="I5553" s="151" t="s">
        <v>6962</v>
      </c>
      <c r="J5553" s="151" t="s">
        <v>6962</v>
      </c>
      <c r="K5553" s="151">
        <f t="shared" si="116"/>
        <v>0</v>
      </c>
      <c r="L5553" s="151" t="s">
        <v>9022</v>
      </c>
    </row>
    <row r="5554" spans="8:12" x14ac:dyDescent="0.25">
      <c r="H5554" s="151" t="s">
        <v>2535</v>
      </c>
      <c r="I5554" s="151" t="s">
        <v>6962</v>
      </c>
      <c r="J5554" s="151" t="s">
        <v>6962</v>
      </c>
      <c r="K5554" s="151">
        <f t="shared" si="116"/>
        <v>0</v>
      </c>
      <c r="L5554" s="151" t="s">
        <v>9022</v>
      </c>
    </row>
    <row r="5555" spans="8:12" x14ac:dyDescent="0.25">
      <c r="H5555" s="151" t="s">
        <v>2536</v>
      </c>
      <c r="I5555" s="151" t="s">
        <v>6962</v>
      </c>
      <c r="J5555" s="151" t="s">
        <v>6962</v>
      </c>
      <c r="K5555" s="151">
        <f t="shared" si="116"/>
        <v>0</v>
      </c>
      <c r="L5555" s="151" t="s">
        <v>9022</v>
      </c>
    </row>
    <row r="5556" spans="8:12" x14ac:dyDescent="0.25">
      <c r="H5556" s="151" t="s">
        <v>2537</v>
      </c>
      <c r="I5556" s="151" t="s">
        <v>6962</v>
      </c>
      <c r="J5556" s="151" t="s">
        <v>6962</v>
      </c>
      <c r="K5556" s="151">
        <f t="shared" si="116"/>
        <v>0</v>
      </c>
      <c r="L5556" s="151" t="s">
        <v>9022</v>
      </c>
    </row>
    <row r="5557" spans="8:12" x14ac:dyDescent="0.25">
      <c r="H5557" s="151" t="s">
        <v>2538</v>
      </c>
      <c r="I5557" s="151" t="s">
        <v>6962</v>
      </c>
      <c r="J5557" s="151" t="s">
        <v>6962</v>
      </c>
      <c r="K5557" s="151">
        <f t="shared" si="116"/>
        <v>0</v>
      </c>
      <c r="L5557" s="151" t="s">
        <v>9022</v>
      </c>
    </row>
    <row r="5558" spans="8:12" x14ac:dyDescent="0.25">
      <c r="H5558" s="151" t="s">
        <v>2539</v>
      </c>
      <c r="I5558" s="151" t="s">
        <v>6962</v>
      </c>
      <c r="J5558" s="151" t="s">
        <v>6962</v>
      </c>
      <c r="K5558" s="151">
        <f t="shared" si="116"/>
        <v>0</v>
      </c>
      <c r="L5558" s="151" t="s">
        <v>9022</v>
      </c>
    </row>
    <row r="5559" spans="8:12" x14ac:dyDescent="0.25">
      <c r="H5559" s="151" t="s">
        <v>2540</v>
      </c>
      <c r="I5559" s="151" t="s">
        <v>6962</v>
      </c>
      <c r="J5559" s="151" t="s">
        <v>6962</v>
      </c>
      <c r="K5559" s="151">
        <f t="shared" si="116"/>
        <v>0</v>
      </c>
      <c r="L5559" s="151" t="s">
        <v>9022</v>
      </c>
    </row>
    <row r="5560" spans="8:12" x14ac:dyDescent="0.25">
      <c r="H5560" s="151" t="s">
        <v>2541</v>
      </c>
      <c r="I5560" s="151" t="s">
        <v>6962</v>
      </c>
      <c r="J5560" s="151" t="s">
        <v>6962</v>
      </c>
      <c r="K5560" s="151">
        <f t="shared" si="116"/>
        <v>0</v>
      </c>
      <c r="L5560" s="151" t="s">
        <v>9022</v>
      </c>
    </row>
    <row r="5561" spans="8:12" x14ac:dyDescent="0.25">
      <c r="H5561" s="151" t="s">
        <v>2542</v>
      </c>
      <c r="I5561" s="151" t="s">
        <v>6962</v>
      </c>
      <c r="J5561" s="151" t="s">
        <v>6962</v>
      </c>
      <c r="K5561" s="151">
        <f t="shared" si="116"/>
        <v>0</v>
      </c>
      <c r="L5561" s="151" t="s">
        <v>9022</v>
      </c>
    </row>
    <row r="5562" spans="8:12" x14ac:dyDescent="0.25">
      <c r="H5562" s="151" t="s">
        <v>2543</v>
      </c>
      <c r="I5562" s="151" t="s">
        <v>6962</v>
      </c>
      <c r="J5562" s="151" t="s">
        <v>6962</v>
      </c>
      <c r="K5562" s="151">
        <f t="shared" si="116"/>
        <v>0</v>
      </c>
      <c r="L5562" s="151" t="s">
        <v>9022</v>
      </c>
    </row>
    <row r="5563" spans="8:12" x14ac:dyDescent="0.25">
      <c r="H5563" s="151" t="s">
        <v>2544</v>
      </c>
      <c r="I5563" s="151" t="s">
        <v>6962</v>
      </c>
      <c r="J5563" s="151" t="s">
        <v>6962</v>
      </c>
      <c r="K5563" s="151">
        <f t="shared" si="116"/>
        <v>0</v>
      </c>
      <c r="L5563" s="151" t="s">
        <v>9022</v>
      </c>
    </row>
    <row r="5564" spans="8:12" x14ac:dyDescent="0.25">
      <c r="H5564" s="151" t="s">
        <v>2545</v>
      </c>
      <c r="I5564" s="151" t="s">
        <v>6962</v>
      </c>
      <c r="J5564" s="151" t="s">
        <v>6962</v>
      </c>
      <c r="K5564" s="151">
        <f t="shared" si="116"/>
        <v>0</v>
      </c>
      <c r="L5564" s="151" t="s">
        <v>9022</v>
      </c>
    </row>
    <row r="5565" spans="8:12" x14ac:dyDescent="0.25">
      <c r="H5565" s="151" t="s">
        <v>2546</v>
      </c>
      <c r="I5565" s="151" t="s">
        <v>6962</v>
      </c>
      <c r="J5565" s="151" t="s">
        <v>6962</v>
      </c>
      <c r="K5565" s="151">
        <f t="shared" si="116"/>
        <v>0</v>
      </c>
      <c r="L5565" s="151" t="s">
        <v>9022</v>
      </c>
    </row>
    <row r="5566" spans="8:12" x14ac:dyDescent="0.25">
      <c r="H5566" s="151" t="s">
        <v>2547</v>
      </c>
      <c r="I5566" s="151" t="s">
        <v>6962</v>
      </c>
      <c r="J5566" s="151" t="s">
        <v>6962</v>
      </c>
      <c r="K5566" s="151">
        <f t="shared" si="116"/>
        <v>0</v>
      </c>
      <c r="L5566" s="151" t="s">
        <v>9022</v>
      </c>
    </row>
    <row r="5567" spans="8:12" x14ac:dyDescent="0.25">
      <c r="H5567" s="151" t="s">
        <v>2548</v>
      </c>
      <c r="I5567" s="151" t="s">
        <v>6962</v>
      </c>
      <c r="J5567" s="151" t="s">
        <v>6962</v>
      </c>
      <c r="K5567" s="151">
        <f t="shared" si="116"/>
        <v>0</v>
      </c>
      <c r="L5567" s="151" t="s">
        <v>9022</v>
      </c>
    </row>
    <row r="5568" spans="8:12" x14ac:dyDescent="0.25">
      <c r="H5568" s="151" t="s">
        <v>2549</v>
      </c>
      <c r="I5568" s="151" t="s">
        <v>6962</v>
      </c>
      <c r="J5568" s="151" t="s">
        <v>6962</v>
      </c>
      <c r="K5568" s="151">
        <f t="shared" si="116"/>
        <v>0</v>
      </c>
      <c r="L5568" s="151" t="s">
        <v>9022</v>
      </c>
    </row>
    <row r="5569" spans="8:12" x14ac:dyDescent="0.25">
      <c r="H5569" s="151" t="s">
        <v>2550</v>
      </c>
      <c r="I5569" s="151" t="s">
        <v>6962</v>
      </c>
      <c r="J5569" s="151" t="s">
        <v>6962</v>
      </c>
      <c r="K5569" s="151">
        <f t="shared" si="116"/>
        <v>0</v>
      </c>
      <c r="L5569" s="151" t="s">
        <v>9022</v>
      </c>
    </row>
    <row r="5570" spans="8:12" x14ac:dyDescent="0.25">
      <c r="H5570" s="151" t="s">
        <v>2551</v>
      </c>
      <c r="I5570" s="151" t="s">
        <v>6962</v>
      </c>
      <c r="J5570" s="151" t="s">
        <v>6962</v>
      </c>
      <c r="K5570" s="151">
        <f t="shared" si="116"/>
        <v>0</v>
      </c>
      <c r="L5570" s="151" t="s">
        <v>9022</v>
      </c>
    </row>
    <row r="5571" spans="8:12" x14ac:dyDescent="0.25">
      <c r="H5571" s="151" t="s">
        <v>2552</v>
      </c>
      <c r="I5571" s="151" t="s">
        <v>6962</v>
      </c>
      <c r="J5571" s="151" t="s">
        <v>6962</v>
      </c>
      <c r="K5571" s="151">
        <f t="shared" ref="K5571:K5634" si="117">+IFERROR(J5571*1,0)</f>
        <v>0</v>
      </c>
      <c r="L5571" s="151" t="s">
        <v>9022</v>
      </c>
    </row>
    <row r="5572" spans="8:12" x14ac:dyDescent="0.25">
      <c r="H5572" s="151" t="s">
        <v>2553</v>
      </c>
      <c r="I5572" s="151" t="s">
        <v>6962</v>
      </c>
      <c r="J5572" s="151" t="s">
        <v>6962</v>
      </c>
      <c r="K5572" s="151">
        <f t="shared" si="117"/>
        <v>0</v>
      </c>
      <c r="L5572" s="151" t="s">
        <v>9022</v>
      </c>
    </row>
    <row r="5573" spans="8:12" x14ac:dyDescent="0.25">
      <c r="H5573" s="151" t="s">
        <v>2554</v>
      </c>
      <c r="I5573" s="151" t="s">
        <v>6962</v>
      </c>
      <c r="J5573" s="151" t="s">
        <v>6962</v>
      </c>
      <c r="K5573" s="151">
        <f t="shared" si="117"/>
        <v>0</v>
      </c>
      <c r="L5573" s="151" t="s">
        <v>9022</v>
      </c>
    </row>
    <row r="5574" spans="8:12" x14ac:dyDescent="0.25">
      <c r="H5574" s="151" t="s">
        <v>2555</v>
      </c>
      <c r="I5574" s="151" t="s">
        <v>6962</v>
      </c>
      <c r="J5574" s="151" t="s">
        <v>6962</v>
      </c>
      <c r="K5574" s="151">
        <f t="shared" si="117"/>
        <v>0</v>
      </c>
      <c r="L5574" s="151" t="s">
        <v>9022</v>
      </c>
    </row>
    <row r="5575" spans="8:12" x14ac:dyDescent="0.25">
      <c r="H5575" s="151" t="s">
        <v>2556</v>
      </c>
      <c r="I5575" s="151" t="s">
        <v>6962</v>
      </c>
      <c r="J5575" s="151" t="s">
        <v>6962</v>
      </c>
      <c r="K5575" s="151">
        <f t="shared" si="117"/>
        <v>0</v>
      </c>
      <c r="L5575" s="151" t="s">
        <v>9022</v>
      </c>
    </row>
    <row r="5576" spans="8:12" x14ac:dyDescent="0.25">
      <c r="H5576" s="151" t="s">
        <v>2557</v>
      </c>
      <c r="I5576" s="151" t="s">
        <v>6962</v>
      </c>
      <c r="J5576" s="151" t="s">
        <v>6962</v>
      </c>
      <c r="K5576" s="151">
        <f t="shared" si="117"/>
        <v>0</v>
      </c>
      <c r="L5576" s="151" t="s">
        <v>9022</v>
      </c>
    </row>
    <row r="5577" spans="8:12" x14ac:dyDescent="0.25">
      <c r="H5577" s="151" t="s">
        <v>2558</v>
      </c>
      <c r="I5577" s="151" t="s">
        <v>6962</v>
      </c>
      <c r="J5577" s="151" t="s">
        <v>6962</v>
      </c>
      <c r="K5577" s="151">
        <f t="shared" si="117"/>
        <v>0</v>
      </c>
      <c r="L5577" s="151" t="s">
        <v>9022</v>
      </c>
    </row>
    <row r="5578" spans="8:12" x14ac:dyDescent="0.25">
      <c r="H5578" s="151" t="s">
        <v>2559</v>
      </c>
      <c r="I5578" s="151" t="s">
        <v>6962</v>
      </c>
      <c r="J5578" s="151" t="s">
        <v>6962</v>
      </c>
      <c r="K5578" s="151">
        <f t="shared" si="117"/>
        <v>0</v>
      </c>
      <c r="L5578" s="151" t="s">
        <v>9022</v>
      </c>
    </row>
    <row r="5579" spans="8:12" x14ac:dyDescent="0.25">
      <c r="H5579" s="151" t="s">
        <v>2560</v>
      </c>
      <c r="I5579" s="151" t="s">
        <v>6962</v>
      </c>
      <c r="J5579" s="151" t="s">
        <v>6962</v>
      </c>
      <c r="K5579" s="151">
        <f t="shared" si="117"/>
        <v>0</v>
      </c>
      <c r="L5579" s="151" t="s">
        <v>9022</v>
      </c>
    </row>
    <row r="5580" spans="8:12" x14ac:dyDescent="0.25">
      <c r="H5580" s="151" t="s">
        <v>2561</v>
      </c>
      <c r="I5580" s="151" t="s">
        <v>6962</v>
      </c>
      <c r="J5580" s="151" t="s">
        <v>6962</v>
      </c>
      <c r="K5580" s="151">
        <f t="shared" si="117"/>
        <v>0</v>
      </c>
      <c r="L5580" s="151" t="s">
        <v>9022</v>
      </c>
    </row>
    <row r="5581" spans="8:12" x14ac:dyDescent="0.25">
      <c r="H5581" s="151" t="s">
        <v>2562</v>
      </c>
      <c r="I5581" s="151" t="s">
        <v>6962</v>
      </c>
      <c r="J5581" s="151" t="s">
        <v>6962</v>
      </c>
      <c r="K5581" s="151">
        <f t="shared" si="117"/>
        <v>0</v>
      </c>
      <c r="L5581" s="151" t="s">
        <v>9022</v>
      </c>
    </row>
    <row r="5582" spans="8:12" x14ac:dyDescent="0.25">
      <c r="H5582" s="151" t="s">
        <v>2563</v>
      </c>
      <c r="I5582" s="151" t="s">
        <v>6962</v>
      </c>
      <c r="J5582" s="151" t="s">
        <v>6962</v>
      </c>
      <c r="K5582" s="151">
        <f t="shared" si="117"/>
        <v>0</v>
      </c>
      <c r="L5582" s="151" t="s">
        <v>9022</v>
      </c>
    </row>
    <row r="5583" spans="8:12" x14ac:dyDescent="0.25">
      <c r="H5583" s="151" t="s">
        <v>2564</v>
      </c>
      <c r="I5583" s="151" t="s">
        <v>6962</v>
      </c>
      <c r="J5583" s="151" t="s">
        <v>6962</v>
      </c>
      <c r="K5583" s="151">
        <f t="shared" si="117"/>
        <v>0</v>
      </c>
      <c r="L5583" s="151" t="s">
        <v>9022</v>
      </c>
    </row>
    <row r="5584" spans="8:12" x14ac:dyDescent="0.25">
      <c r="H5584" s="151" t="s">
        <v>2565</v>
      </c>
      <c r="I5584" s="151" t="s">
        <v>6962</v>
      </c>
      <c r="J5584" s="151" t="s">
        <v>6962</v>
      </c>
      <c r="K5584" s="151">
        <f t="shared" si="117"/>
        <v>0</v>
      </c>
      <c r="L5584" s="151" t="s">
        <v>9022</v>
      </c>
    </row>
    <row r="5585" spans="8:12" x14ac:dyDescent="0.25">
      <c r="H5585" s="151" t="s">
        <v>2566</v>
      </c>
      <c r="I5585" s="151" t="s">
        <v>6962</v>
      </c>
      <c r="J5585" s="151" t="s">
        <v>6962</v>
      </c>
      <c r="K5585" s="151">
        <f t="shared" si="117"/>
        <v>0</v>
      </c>
      <c r="L5585" s="151" t="s">
        <v>9022</v>
      </c>
    </row>
    <row r="5586" spans="8:12" x14ac:dyDescent="0.25">
      <c r="H5586" s="151" t="s">
        <v>2567</v>
      </c>
      <c r="I5586" s="151" t="s">
        <v>6962</v>
      </c>
      <c r="J5586" s="151" t="s">
        <v>6962</v>
      </c>
      <c r="K5586" s="151">
        <f t="shared" si="117"/>
        <v>0</v>
      </c>
      <c r="L5586" s="151" t="s">
        <v>9022</v>
      </c>
    </row>
    <row r="5587" spans="8:12" x14ac:dyDescent="0.25">
      <c r="H5587" s="151" t="s">
        <v>2568</v>
      </c>
      <c r="I5587" s="151" t="s">
        <v>6962</v>
      </c>
      <c r="J5587" s="151" t="s">
        <v>6962</v>
      </c>
      <c r="K5587" s="151">
        <f t="shared" si="117"/>
        <v>0</v>
      </c>
      <c r="L5587" s="151" t="s">
        <v>9022</v>
      </c>
    </row>
    <row r="5588" spans="8:12" x14ac:dyDescent="0.25">
      <c r="H5588" s="151" t="s">
        <v>2569</v>
      </c>
      <c r="I5588" s="151" t="s">
        <v>6962</v>
      </c>
      <c r="J5588" s="151" t="s">
        <v>6962</v>
      </c>
      <c r="K5588" s="151">
        <f t="shared" si="117"/>
        <v>0</v>
      </c>
      <c r="L5588" s="151" t="s">
        <v>9022</v>
      </c>
    </row>
    <row r="5589" spans="8:12" x14ac:dyDescent="0.25">
      <c r="H5589" s="151" t="s">
        <v>2570</v>
      </c>
      <c r="I5589" s="151" t="s">
        <v>6962</v>
      </c>
      <c r="J5589" s="151" t="s">
        <v>6962</v>
      </c>
      <c r="K5589" s="151">
        <f t="shared" si="117"/>
        <v>0</v>
      </c>
      <c r="L5589" s="151" t="s">
        <v>9022</v>
      </c>
    </row>
    <row r="5590" spans="8:12" x14ac:dyDescent="0.25">
      <c r="H5590" s="151" t="s">
        <v>2571</v>
      </c>
      <c r="I5590" s="151" t="s">
        <v>6962</v>
      </c>
      <c r="J5590" s="151" t="s">
        <v>6962</v>
      </c>
      <c r="K5590" s="151">
        <f t="shared" si="117"/>
        <v>0</v>
      </c>
      <c r="L5590" s="151" t="s">
        <v>9022</v>
      </c>
    </row>
    <row r="5591" spans="8:12" x14ac:dyDescent="0.25">
      <c r="H5591" s="151" t="s">
        <v>2572</v>
      </c>
      <c r="I5591" s="151" t="s">
        <v>6962</v>
      </c>
      <c r="J5591" s="151" t="s">
        <v>6962</v>
      </c>
      <c r="K5591" s="151">
        <f t="shared" si="117"/>
        <v>0</v>
      </c>
      <c r="L5591" s="151" t="s">
        <v>9022</v>
      </c>
    </row>
    <row r="5592" spans="8:12" x14ac:dyDescent="0.25">
      <c r="H5592" s="151" t="s">
        <v>2573</v>
      </c>
      <c r="I5592" s="151" t="s">
        <v>6962</v>
      </c>
      <c r="J5592" s="151" t="s">
        <v>6962</v>
      </c>
      <c r="K5592" s="151">
        <f t="shared" si="117"/>
        <v>0</v>
      </c>
      <c r="L5592" s="151" t="s">
        <v>9022</v>
      </c>
    </row>
    <row r="5593" spans="8:12" x14ac:dyDescent="0.25">
      <c r="H5593" s="151" t="s">
        <v>2574</v>
      </c>
      <c r="I5593" s="151" t="s">
        <v>6962</v>
      </c>
      <c r="J5593" s="151" t="s">
        <v>6962</v>
      </c>
      <c r="K5593" s="151">
        <f t="shared" si="117"/>
        <v>0</v>
      </c>
      <c r="L5593" s="151" t="s">
        <v>9022</v>
      </c>
    </row>
    <row r="5594" spans="8:12" x14ac:dyDescent="0.25">
      <c r="H5594" s="151" t="s">
        <v>2575</v>
      </c>
      <c r="I5594" s="151" t="s">
        <v>6962</v>
      </c>
      <c r="J5594" s="151" t="s">
        <v>6962</v>
      </c>
      <c r="K5594" s="151">
        <f t="shared" si="117"/>
        <v>0</v>
      </c>
      <c r="L5594" s="151" t="s">
        <v>9022</v>
      </c>
    </row>
    <row r="5595" spans="8:12" x14ac:dyDescent="0.25">
      <c r="H5595" s="151" t="s">
        <v>2576</v>
      </c>
      <c r="I5595" s="151" t="s">
        <v>6962</v>
      </c>
      <c r="J5595" s="151" t="s">
        <v>6962</v>
      </c>
      <c r="K5595" s="151">
        <f t="shared" si="117"/>
        <v>0</v>
      </c>
      <c r="L5595" s="151" t="s">
        <v>9022</v>
      </c>
    </row>
    <row r="5596" spans="8:12" x14ac:dyDescent="0.25">
      <c r="H5596" s="151" t="s">
        <v>2577</v>
      </c>
      <c r="I5596" s="151" t="s">
        <v>6962</v>
      </c>
      <c r="J5596" s="151" t="s">
        <v>6962</v>
      </c>
      <c r="K5596" s="151">
        <f t="shared" si="117"/>
        <v>0</v>
      </c>
      <c r="L5596" s="151" t="s">
        <v>9022</v>
      </c>
    </row>
    <row r="5597" spans="8:12" x14ac:dyDescent="0.25">
      <c r="H5597" s="151" t="s">
        <v>2578</v>
      </c>
      <c r="I5597" s="151" t="s">
        <v>6962</v>
      </c>
      <c r="J5597" s="151" t="s">
        <v>6962</v>
      </c>
      <c r="K5597" s="151">
        <f t="shared" si="117"/>
        <v>0</v>
      </c>
      <c r="L5597" s="151" t="s">
        <v>9022</v>
      </c>
    </row>
    <row r="5598" spans="8:12" x14ac:dyDescent="0.25">
      <c r="H5598" s="151" t="s">
        <v>2579</v>
      </c>
      <c r="I5598" s="151" t="s">
        <v>6962</v>
      </c>
      <c r="J5598" s="151" t="s">
        <v>6962</v>
      </c>
      <c r="K5598" s="151">
        <f t="shared" si="117"/>
        <v>0</v>
      </c>
      <c r="L5598" s="151" t="s">
        <v>9022</v>
      </c>
    </row>
    <row r="5599" spans="8:12" x14ac:dyDescent="0.25">
      <c r="H5599" s="151" t="s">
        <v>2580</v>
      </c>
      <c r="I5599" s="151" t="s">
        <v>6962</v>
      </c>
      <c r="J5599" s="151" t="s">
        <v>6962</v>
      </c>
      <c r="K5599" s="151">
        <f t="shared" si="117"/>
        <v>0</v>
      </c>
      <c r="L5599" s="151" t="s">
        <v>9022</v>
      </c>
    </row>
    <row r="5600" spans="8:12" x14ac:dyDescent="0.25">
      <c r="H5600" s="151" t="s">
        <v>2581</v>
      </c>
      <c r="I5600" s="151" t="s">
        <v>6962</v>
      </c>
      <c r="J5600" s="151" t="s">
        <v>6962</v>
      </c>
      <c r="K5600" s="151">
        <f t="shared" si="117"/>
        <v>0</v>
      </c>
      <c r="L5600" s="151" t="s">
        <v>9022</v>
      </c>
    </row>
    <row r="5601" spans="8:12" x14ac:dyDescent="0.25">
      <c r="H5601" s="151" t="s">
        <v>2582</v>
      </c>
      <c r="I5601" s="151" t="s">
        <v>6962</v>
      </c>
      <c r="J5601" s="151" t="s">
        <v>6962</v>
      </c>
      <c r="K5601" s="151">
        <f t="shared" si="117"/>
        <v>0</v>
      </c>
      <c r="L5601" s="151" t="s">
        <v>9022</v>
      </c>
    </row>
    <row r="5602" spans="8:12" x14ac:dyDescent="0.25">
      <c r="H5602" s="151" t="s">
        <v>2583</v>
      </c>
      <c r="I5602" s="151" t="s">
        <v>6962</v>
      </c>
      <c r="J5602" s="151" t="s">
        <v>6962</v>
      </c>
      <c r="K5602" s="151">
        <f t="shared" si="117"/>
        <v>0</v>
      </c>
      <c r="L5602" s="151" t="s">
        <v>9022</v>
      </c>
    </row>
    <row r="5603" spans="8:12" x14ac:dyDescent="0.25">
      <c r="H5603" s="151" t="s">
        <v>2584</v>
      </c>
      <c r="I5603" s="151" t="s">
        <v>6962</v>
      </c>
      <c r="J5603" s="151" t="s">
        <v>6962</v>
      </c>
      <c r="K5603" s="151">
        <f t="shared" si="117"/>
        <v>0</v>
      </c>
      <c r="L5603" s="151" t="s">
        <v>9022</v>
      </c>
    </row>
    <row r="5604" spans="8:12" x14ac:dyDescent="0.25">
      <c r="H5604" s="151" t="s">
        <v>2585</v>
      </c>
      <c r="I5604" s="151" t="s">
        <v>6962</v>
      </c>
      <c r="J5604" s="151" t="s">
        <v>6962</v>
      </c>
      <c r="K5604" s="151">
        <f t="shared" si="117"/>
        <v>0</v>
      </c>
      <c r="L5604" s="151" t="s">
        <v>9022</v>
      </c>
    </row>
    <row r="5605" spans="8:12" x14ac:dyDescent="0.25">
      <c r="H5605" s="151" t="s">
        <v>2586</v>
      </c>
      <c r="I5605" s="151" t="s">
        <v>6962</v>
      </c>
      <c r="J5605" s="151" t="s">
        <v>6962</v>
      </c>
      <c r="K5605" s="151">
        <f t="shared" si="117"/>
        <v>0</v>
      </c>
      <c r="L5605" s="151" t="s">
        <v>9022</v>
      </c>
    </row>
    <row r="5606" spans="8:12" x14ac:dyDescent="0.25">
      <c r="H5606" s="151" t="s">
        <v>2587</v>
      </c>
      <c r="I5606" s="151" t="s">
        <v>6962</v>
      </c>
      <c r="J5606" s="151" t="s">
        <v>6962</v>
      </c>
      <c r="K5606" s="151">
        <f t="shared" si="117"/>
        <v>0</v>
      </c>
      <c r="L5606" s="151" t="s">
        <v>9022</v>
      </c>
    </row>
    <row r="5607" spans="8:12" x14ac:dyDescent="0.25">
      <c r="H5607" s="151" t="s">
        <v>2588</v>
      </c>
      <c r="I5607" s="151" t="s">
        <v>6962</v>
      </c>
      <c r="J5607" s="151" t="s">
        <v>6962</v>
      </c>
      <c r="K5607" s="151">
        <f t="shared" si="117"/>
        <v>0</v>
      </c>
      <c r="L5607" s="151" t="s">
        <v>9022</v>
      </c>
    </row>
    <row r="5608" spans="8:12" x14ac:dyDescent="0.25">
      <c r="H5608" s="151" t="s">
        <v>2589</v>
      </c>
      <c r="I5608" s="151" t="s">
        <v>6962</v>
      </c>
      <c r="J5608" s="151" t="s">
        <v>6962</v>
      </c>
      <c r="K5608" s="151">
        <f t="shared" si="117"/>
        <v>0</v>
      </c>
      <c r="L5608" s="151" t="s">
        <v>9022</v>
      </c>
    </row>
    <row r="5609" spans="8:12" x14ac:dyDescent="0.25">
      <c r="H5609" s="151" t="s">
        <v>2590</v>
      </c>
      <c r="I5609" s="151" t="s">
        <v>6962</v>
      </c>
      <c r="J5609" s="151" t="s">
        <v>6962</v>
      </c>
      <c r="K5609" s="151">
        <f t="shared" si="117"/>
        <v>0</v>
      </c>
      <c r="L5609" s="151" t="s">
        <v>9022</v>
      </c>
    </row>
    <row r="5610" spans="8:12" x14ac:dyDescent="0.25">
      <c r="H5610" s="151" t="s">
        <v>2591</v>
      </c>
      <c r="I5610" s="151" t="s">
        <v>6962</v>
      </c>
      <c r="J5610" s="151" t="s">
        <v>6962</v>
      </c>
      <c r="K5610" s="151">
        <f t="shared" si="117"/>
        <v>0</v>
      </c>
      <c r="L5610" s="151" t="s">
        <v>9022</v>
      </c>
    </row>
    <row r="5611" spans="8:12" x14ac:dyDescent="0.25">
      <c r="H5611" s="151" t="s">
        <v>2592</v>
      </c>
      <c r="I5611" s="151" t="s">
        <v>6962</v>
      </c>
      <c r="J5611" s="151" t="s">
        <v>6962</v>
      </c>
      <c r="K5611" s="151">
        <f t="shared" si="117"/>
        <v>0</v>
      </c>
      <c r="L5611" s="151" t="s">
        <v>9022</v>
      </c>
    </row>
    <row r="5612" spans="8:12" x14ac:dyDescent="0.25">
      <c r="H5612" s="151" t="s">
        <v>2593</v>
      </c>
      <c r="I5612" s="151" t="s">
        <v>6962</v>
      </c>
      <c r="J5612" s="151" t="s">
        <v>6962</v>
      </c>
      <c r="K5612" s="151">
        <f t="shared" si="117"/>
        <v>0</v>
      </c>
      <c r="L5612" s="151" t="s">
        <v>9022</v>
      </c>
    </row>
    <row r="5613" spans="8:12" x14ac:dyDescent="0.25">
      <c r="H5613" s="151" t="s">
        <v>2594</v>
      </c>
      <c r="I5613" s="151" t="s">
        <v>6962</v>
      </c>
      <c r="J5613" s="151" t="s">
        <v>6962</v>
      </c>
      <c r="K5613" s="151">
        <f t="shared" si="117"/>
        <v>0</v>
      </c>
      <c r="L5613" s="151" t="s">
        <v>9022</v>
      </c>
    </row>
    <row r="5614" spans="8:12" x14ac:dyDescent="0.25">
      <c r="H5614" s="151" t="s">
        <v>2595</v>
      </c>
      <c r="I5614" s="151" t="s">
        <v>6962</v>
      </c>
      <c r="J5614" s="151" t="s">
        <v>6962</v>
      </c>
      <c r="K5614" s="151">
        <f t="shared" si="117"/>
        <v>0</v>
      </c>
      <c r="L5614" s="151" t="s">
        <v>9022</v>
      </c>
    </row>
    <row r="5615" spans="8:12" x14ac:dyDescent="0.25">
      <c r="H5615" s="151" t="s">
        <v>2596</v>
      </c>
      <c r="I5615" s="151" t="s">
        <v>6962</v>
      </c>
      <c r="J5615" s="151" t="s">
        <v>6962</v>
      </c>
      <c r="K5615" s="151">
        <f t="shared" si="117"/>
        <v>0</v>
      </c>
      <c r="L5615" s="151" t="s">
        <v>9022</v>
      </c>
    </row>
    <row r="5616" spans="8:12" x14ac:dyDescent="0.25">
      <c r="H5616" s="151" t="s">
        <v>2597</v>
      </c>
      <c r="I5616" s="151" t="s">
        <v>6962</v>
      </c>
      <c r="J5616" s="151" t="s">
        <v>6962</v>
      </c>
      <c r="K5616" s="151">
        <f t="shared" si="117"/>
        <v>0</v>
      </c>
      <c r="L5616" s="151" t="s">
        <v>9022</v>
      </c>
    </row>
    <row r="5617" spans="8:12" x14ac:dyDescent="0.25">
      <c r="H5617" s="151" t="s">
        <v>2598</v>
      </c>
      <c r="I5617" s="151" t="s">
        <v>6962</v>
      </c>
      <c r="J5617" s="151" t="s">
        <v>6962</v>
      </c>
      <c r="K5617" s="151">
        <f t="shared" si="117"/>
        <v>0</v>
      </c>
      <c r="L5617" s="151" t="s">
        <v>9022</v>
      </c>
    </row>
    <row r="5618" spans="8:12" x14ac:dyDescent="0.25">
      <c r="H5618" s="151" t="s">
        <v>2599</v>
      </c>
      <c r="I5618" s="151" t="s">
        <v>6962</v>
      </c>
      <c r="J5618" s="151" t="s">
        <v>6962</v>
      </c>
      <c r="K5618" s="151">
        <f t="shared" si="117"/>
        <v>0</v>
      </c>
      <c r="L5618" s="151" t="s">
        <v>9022</v>
      </c>
    </row>
    <row r="5619" spans="8:12" x14ac:dyDescent="0.25">
      <c r="H5619" s="151" t="s">
        <v>2600</v>
      </c>
      <c r="I5619" s="151" t="s">
        <v>6962</v>
      </c>
      <c r="J5619" s="151" t="s">
        <v>6962</v>
      </c>
      <c r="K5619" s="151">
        <f t="shared" si="117"/>
        <v>0</v>
      </c>
      <c r="L5619" s="151" t="s">
        <v>9022</v>
      </c>
    </row>
    <row r="5620" spans="8:12" x14ac:dyDescent="0.25">
      <c r="H5620" s="151" t="s">
        <v>2601</v>
      </c>
      <c r="I5620" s="151" t="s">
        <v>6962</v>
      </c>
      <c r="J5620" s="151" t="s">
        <v>6962</v>
      </c>
      <c r="K5620" s="151">
        <f t="shared" si="117"/>
        <v>0</v>
      </c>
      <c r="L5620" s="151" t="s">
        <v>9022</v>
      </c>
    </row>
    <row r="5621" spans="8:12" x14ac:dyDescent="0.25">
      <c r="H5621" s="151" t="s">
        <v>2602</v>
      </c>
      <c r="I5621" s="151" t="s">
        <v>6962</v>
      </c>
      <c r="J5621" s="151" t="s">
        <v>6962</v>
      </c>
      <c r="K5621" s="151">
        <f t="shared" si="117"/>
        <v>0</v>
      </c>
      <c r="L5621" s="151" t="s">
        <v>9022</v>
      </c>
    </row>
    <row r="5622" spans="8:12" x14ac:dyDescent="0.25">
      <c r="H5622" s="151" t="s">
        <v>2603</v>
      </c>
      <c r="I5622" s="151" t="s">
        <v>6962</v>
      </c>
      <c r="J5622" s="151" t="s">
        <v>6962</v>
      </c>
      <c r="K5622" s="151">
        <f t="shared" si="117"/>
        <v>0</v>
      </c>
      <c r="L5622" s="151" t="s">
        <v>9022</v>
      </c>
    </row>
    <row r="5623" spans="8:12" x14ac:dyDescent="0.25">
      <c r="H5623" s="151" t="s">
        <v>2604</v>
      </c>
      <c r="I5623" s="151" t="s">
        <v>6962</v>
      </c>
      <c r="J5623" s="151" t="s">
        <v>6962</v>
      </c>
      <c r="K5623" s="151">
        <f t="shared" si="117"/>
        <v>0</v>
      </c>
      <c r="L5623" s="151" t="s">
        <v>9022</v>
      </c>
    </row>
    <row r="5624" spans="8:12" x14ac:dyDescent="0.25">
      <c r="H5624" s="151" t="s">
        <v>2605</v>
      </c>
      <c r="I5624" s="151" t="s">
        <v>6962</v>
      </c>
      <c r="J5624" s="151" t="s">
        <v>6962</v>
      </c>
      <c r="K5624" s="151">
        <f t="shared" si="117"/>
        <v>0</v>
      </c>
      <c r="L5624" s="151" t="s">
        <v>9022</v>
      </c>
    </row>
    <row r="5625" spans="8:12" x14ac:dyDescent="0.25">
      <c r="H5625" s="151" t="s">
        <v>2606</v>
      </c>
      <c r="I5625" s="151" t="s">
        <v>6962</v>
      </c>
      <c r="J5625" s="151" t="s">
        <v>6962</v>
      </c>
      <c r="K5625" s="151">
        <f t="shared" si="117"/>
        <v>0</v>
      </c>
      <c r="L5625" s="151" t="s">
        <v>9022</v>
      </c>
    </row>
    <row r="5626" spans="8:12" x14ac:dyDescent="0.25">
      <c r="H5626" s="151" t="s">
        <v>2607</v>
      </c>
      <c r="I5626" s="151" t="s">
        <v>6962</v>
      </c>
      <c r="J5626" s="151" t="s">
        <v>6962</v>
      </c>
      <c r="K5626" s="151">
        <f t="shared" si="117"/>
        <v>0</v>
      </c>
      <c r="L5626" s="151" t="s">
        <v>9022</v>
      </c>
    </row>
    <row r="5627" spans="8:12" x14ac:dyDescent="0.25">
      <c r="H5627" s="151" t="s">
        <v>2608</v>
      </c>
      <c r="I5627" s="151" t="s">
        <v>6962</v>
      </c>
      <c r="J5627" s="151" t="s">
        <v>6962</v>
      </c>
      <c r="K5627" s="151">
        <f t="shared" si="117"/>
        <v>0</v>
      </c>
      <c r="L5627" s="151" t="s">
        <v>9022</v>
      </c>
    </row>
    <row r="5628" spans="8:12" x14ac:dyDescent="0.25">
      <c r="H5628" s="151" t="s">
        <v>2609</v>
      </c>
      <c r="I5628" s="151" t="s">
        <v>6962</v>
      </c>
      <c r="J5628" s="151" t="s">
        <v>6962</v>
      </c>
      <c r="K5628" s="151">
        <f t="shared" si="117"/>
        <v>0</v>
      </c>
      <c r="L5628" s="151" t="s">
        <v>9022</v>
      </c>
    </row>
    <row r="5629" spans="8:12" x14ac:dyDescent="0.25">
      <c r="H5629" s="151" t="s">
        <v>2610</v>
      </c>
      <c r="I5629" s="151" t="s">
        <v>6962</v>
      </c>
      <c r="J5629" s="151" t="s">
        <v>6962</v>
      </c>
      <c r="K5629" s="151">
        <f t="shared" si="117"/>
        <v>0</v>
      </c>
      <c r="L5629" s="151" t="s">
        <v>9022</v>
      </c>
    </row>
    <row r="5630" spans="8:12" x14ac:dyDescent="0.25">
      <c r="H5630" s="151" t="s">
        <v>2611</v>
      </c>
      <c r="I5630" s="151" t="s">
        <v>6962</v>
      </c>
      <c r="J5630" s="151" t="s">
        <v>6962</v>
      </c>
      <c r="K5630" s="151">
        <f t="shared" si="117"/>
        <v>0</v>
      </c>
      <c r="L5630" s="151" t="s">
        <v>9022</v>
      </c>
    </row>
    <row r="5631" spans="8:12" x14ac:dyDescent="0.25">
      <c r="H5631" s="151" t="s">
        <v>2612</v>
      </c>
      <c r="I5631" s="151" t="s">
        <v>6962</v>
      </c>
      <c r="J5631" s="151" t="s">
        <v>6962</v>
      </c>
      <c r="K5631" s="151">
        <f t="shared" si="117"/>
        <v>0</v>
      </c>
      <c r="L5631" s="151" t="s">
        <v>9022</v>
      </c>
    </row>
    <row r="5632" spans="8:12" x14ac:dyDescent="0.25">
      <c r="H5632" s="151" t="s">
        <v>2613</v>
      </c>
      <c r="I5632" s="151" t="s">
        <v>6962</v>
      </c>
      <c r="J5632" s="151" t="s">
        <v>6962</v>
      </c>
      <c r="K5632" s="151">
        <f t="shared" si="117"/>
        <v>0</v>
      </c>
      <c r="L5632" s="151" t="s">
        <v>9022</v>
      </c>
    </row>
    <row r="5633" spans="8:12" x14ac:dyDescent="0.25">
      <c r="H5633" s="151" t="s">
        <v>2614</v>
      </c>
      <c r="I5633" s="151" t="s">
        <v>6962</v>
      </c>
      <c r="J5633" s="151" t="s">
        <v>6962</v>
      </c>
      <c r="K5633" s="151">
        <f t="shared" si="117"/>
        <v>0</v>
      </c>
      <c r="L5633" s="151" t="s">
        <v>9022</v>
      </c>
    </row>
    <row r="5634" spans="8:12" x14ac:dyDescent="0.25">
      <c r="H5634" s="151" t="s">
        <v>2615</v>
      </c>
      <c r="I5634" s="151" t="s">
        <v>6962</v>
      </c>
      <c r="J5634" s="151" t="s">
        <v>6962</v>
      </c>
      <c r="K5634" s="151">
        <f t="shared" si="117"/>
        <v>0</v>
      </c>
      <c r="L5634" s="151" t="s">
        <v>9022</v>
      </c>
    </row>
    <row r="5635" spans="8:12" x14ac:dyDescent="0.25">
      <c r="H5635" s="151" t="s">
        <v>2616</v>
      </c>
      <c r="I5635" s="151" t="s">
        <v>6962</v>
      </c>
      <c r="J5635" s="151" t="s">
        <v>6962</v>
      </c>
      <c r="K5635" s="151">
        <f t="shared" ref="K5635:K5698" si="118">+IFERROR(J5635*1,0)</f>
        <v>0</v>
      </c>
      <c r="L5635" s="151" t="s">
        <v>9022</v>
      </c>
    </row>
    <row r="5636" spans="8:12" x14ac:dyDescent="0.25">
      <c r="H5636" s="151" t="s">
        <v>2617</v>
      </c>
      <c r="I5636" s="151" t="s">
        <v>6962</v>
      </c>
      <c r="J5636" s="151" t="s">
        <v>6962</v>
      </c>
      <c r="K5636" s="151">
        <f t="shared" si="118"/>
        <v>0</v>
      </c>
      <c r="L5636" s="151" t="s">
        <v>9022</v>
      </c>
    </row>
    <row r="5637" spans="8:12" x14ac:dyDescent="0.25">
      <c r="H5637" s="151" t="s">
        <v>2618</v>
      </c>
      <c r="I5637" s="151" t="s">
        <v>6962</v>
      </c>
      <c r="J5637" s="151" t="s">
        <v>6962</v>
      </c>
      <c r="K5637" s="151">
        <f t="shared" si="118"/>
        <v>0</v>
      </c>
      <c r="L5637" s="151" t="s">
        <v>9022</v>
      </c>
    </row>
    <row r="5638" spans="8:12" x14ac:dyDescent="0.25">
      <c r="H5638" s="151" t="s">
        <v>2619</v>
      </c>
      <c r="I5638" s="151" t="s">
        <v>6962</v>
      </c>
      <c r="J5638" s="151" t="s">
        <v>6962</v>
      </c>
      <c r="K5638" s="151">
        <f t="shared" si="118"/>
        <v>0</v>
      </c>
      <c r="L5638" s="151" t="s">
        <v>9022</v>
      </c>
    </row>
    <row r="5639" spans="8:12" x14ac:dyDescent="0.25">
      <c r="H5639" s="151" t="s">
        <v>2620</v>
      </c>
      <c r="I5639" s="151" t="s">
        <v>6962</v>
      </c>
      <c r="J5639" s="151" t="s">
        <v>6962</v>
      </c>
      <c r="K5639" s="151">
        <f t="shared" si="118"/>
        <v>0</v>
      </c>
      <c r="L5639" s="151" t="s">
        <v>9022</v>
      </c>
    </row>
    <row r="5640" spans="8:12" x14ac:dyDescent="0.25">
      <c r="H5640" s="151" t="s">
        <v>2621</v>
      </c>
      <c r="I5640" s="151" t="s">
        <v>6962</v>
      </c>
      <c r="J5640" s="151" t="s">
        <v>6962</v>
      </c>
      <c r="K5640" s="151">
        <f t="shared" si="118"/>
        <v>0</v>
      </c>
      <c r="L5640" s="151" t="s">
        <v>9022</v>
      </c>
    </row>
    <row r="5641" spans="8:12" x14ac:dyDescent="0.25">
      <c r="H5641" s="151" t="s">
        <v>2622</v>
      </c>
      <c r="I5641" s="151" t="s">
        <v>6962</v>
      </c>
      <c r="J5641" s="151" t="s">
        <v>6962</v>
      </c>
      <c r="K5641" s="151">
        <f t="shared" si="118"/>
        <v>0</v>
      </c>
      <c r="L5641" s="151" t="s">
        <v>9022</v>
      </c>
    </row>
    <row r="5642" spans="8:12" x14ac:dyDescent="0.25">
      <c r="H5642" s="151" t="s">
        <v>2623</v>
      </c>
      <c r="I5642" s="151" t="s">
        <v>6962</v>
      </c>
      <c r="J5642" s="151" t="s">
        <v>6962</v>
      </c>
      <c r="K5642" s="151">
        <f t="shared" si="118"/>
        <v>0</v>
      </c>
      <c r="L5642" s="151" t="s">
        <v>9022</v>
      </c>
    </row>
    <row r="5643" spans="8:12" x14ac:dyDescent="0.25">
      <c r="H5643" s="151" t="s">
        <v>2624</v>
      </c>
      <c r="I5643" s="151" t="s">
        <v>6962</v>
      </c>
      <c r="J5643" s="151" t="s">
        <v>6962</v>
      </c>
      <c r="K5643" s="151">
        <f t="shared" si="118"/>
        <v>0</v>
      </c>
      <c r="L5643" s="151" t="s">
        <v>9022</v>
      </c>
    </row>
    <row r="5644" spans="8:12" x14ac:dyDescent="0.25">
      <c r="H5644" s="151" t="s">
        <v>2625</v>
      </c>
      <c r="I5644" s="151" t="s">
        <v>6962</v>
      </c>
      <c r="J5644" s="151" t="s">
        <v>6962</v>
      </c>
      <c r="K5644" s="151">
        <f t="shared" si="118"/>
        <v>0</v>
      </c>
      <c r="L5644" s="151" t="s">
        <v>9022</v>
      </c>
    </row>
    <row r="5645" spans="8:12" x14ac:dyDescent="0.25">
      <c r="H5645" s="151" t="s">
        <v>2626</v>
      </c>
      <c r="I5645" s="151" t="s">
        <v>6962</v>
      </c>
      <c r="J5645" s="151" t="s">
        <v>6962</v>
      </c>
      <c r="K5645" s="151">
        <f t="shared" si="118"/>
        <v>0</v>
      </c>
      <c r="L5645" s="151" t="s">
        <v>9022</v>
      </c>
    </row>
    <row r="5646" spans="8:12" x14ac:dyDescent="0.25">
      <c r="H5646" s="151" t="s">
        <v>2627</v>
      </c>
      <c r="I5646" s="151" t="s">
        <v>6962</v>
      </c>
      <c r="J5646" s="151" t="s">
        <v>6962</v>
      </c>
      <c r="K5646" s="151">
        <f t="shared" si="118"/>
        <v>0</v>
      </c>
      <c r="L5646" s="151" t="s">
        <v>9022</v>
      </c>
    </row>
    <row r="5647" spans="8:12" x14ac:dyDescent="0.25">
      <c r="H5647" s="151" t="s">
        <v>2628</v>
      </c>
      <c r="I5647" s="151" t="s">
        <v>6962</v>
      </c>
      <c r="J5647" s="151" t="s">
        <v>6962</v>
      </c>
      <c r="K5647" s="151">
        <f t="shared" si="118"/>
        <v>0</v>
      </c>
      <c r="L5647" s="151" t="s">
        <v>9022</v>
      </c>
    </row>
    <row r="5648" spans="8:12" x14ac:dyDescent="0.25">
      <c r="H5648" s="151" t="s">
        <v>2629</v>
      </c>
      <c r="I5648" s="151" t="s">
        <v>6962</v>
      </c>
      <c r="J5648" s="151" t="s">
        <v>6962</v>
      </c>
      <c r="K5648" s="151">
        <f t="shared" si="118"/>
        <v>0</v>
      </c>
      <c r="L5648" s="151" t="s">
        <v>9022</v>
      </c>
    </row>
    <row r="5649" spans="8:12" x14ac:dyDescent="0.25">
      <c r="H5649" s="151" t="s">
        <v>2630</v>
      </c>
      <c r="I5649" s="151" t="s">
        <v>6962</v>
      </c>
      <c r="J5649" s="151" t="s">
        <v>6962</v>
      </c>
      <c r="K5649" s="151">
        <f t="shared" si="118"/>
        <v>0</v>
      </c>
      <c r="L5649" s="151" t="s">
        <v>9022</v>
      </c>
    </row>
    <row r="5650" spans="8:12" x14ac:dyDescent="0.25">
      <c r="H5650" s="151" t="s">
        <v>2631</v>
      </c>
      <c r="I5650" s="151" t="s">
        <v>6962</v>
      </c>
      <c r="J5650" s="151" t="s">
        <v>6962</v>
      </c>
      <c r="K5650" s="151">
        <f t="shared" si="118"/>
        <v>0</v>
      </c>
      <c r="L5650" s="151" t="s">
        <v>9022</v>
      </c>
    </row>
    <row r="5651" spans="8:12" x14ac:dyDescent="0.25">
      <c r="H5651" s="151" t="s">
        <v>2632</v>
      </c>
      <c r="I5651" s="151" t="s">
        <v>6962</v>
      </c>
      <c r="J5651" s="151" t="s">
        <v>6962</v>
      </c>
      <c r="K5651" s="151">
        <f t="shared" si="118"/>
        <v>0</v>
      </c>
      <c r="L5651" s="151" t="s">
        <v>9022</v>
      </c>
    </row>
    <row r="5652" spans="8:12" x14ac:dyDescent="0.25">
      <c r="H5652" s="151" t="s">
        <v>2633</v>
      </c>
      <c r="I5652" s="151" t="s">
        <v>6962</v>
      </c>
      <c r="J5652" s="151" t="s">
        <v>6962</v>
      </c>
      <c r="K5652" s="151">
        <f t="shared" si="118"/>
        <v>0</v>
      </c>
      <c r="L5652" s="151" t="s">
        <v>9022</v>
      </c>
    </row>
    <row r="5653" spans="8:12" x14ac:dyDescent="0.25">
      <c r="H5653" s="151" t="s">
        <v>2634</v>
      </c>
      <c r="I5653" s="151" t="s">
        <v>6962</v>
      </c>
      <c r="J5653" s="151" t="s">
        <v>6962</v>
      </c>
      <c r="K5653" s="151">
        <f t="shared" si="118"/>
        <v>0</v>
      </c>
      <c r="L5653" s="151" t="s">
        <v>9022</v>
      </c>
    </row>
    <row r="5654" spans="8:12" x14ac:dyDescent="0.25">
      <c r="H5654" s="151" t="s">
        <v>2635</v>
      </c>
      <c r="I5654" s="151" t="s">
        <v>6962</v>
      </c>
      <c r="J5654" s="151" t="s">
        <v>6962</v>
      </c>
      <c r="K5654" s="151">
        <f t="shared" si="118"/>
        <v>0</v>
      </c>
      <c r="L5654" s="151" t="s">
        <v>9022</v>
      </c>
    </row>
    <row r="5655" spans="8:12" x14ac:dyDescent="0.25">
      <c r="H5655" s="151" t="s">
        <v>2636</v>
      </c>
      <c r="I5655" s="151" t="s">
        <v>6962</v>
      </c>
      <c r="J5655" s="151" t="s">
        <v>6962</v>
      </c>
      <c r="K5655" s="151">
        <f t="shared" si="118"/>
        <v>0</v>
      </c>
      <c r="L5655" s="151" t="s">
        <v>9022</v>
      </c>
    </row>
    <row r="5656" spans="8:12" x14ac:dyDescent="0.25">
      <c r="H5656" s="151" t="s">
        <v>2637</v>
      </c>
      <c r="I5656" s="151" t="s">
        <v>6962</v>
      </c>
      <c r="J5656" s="151" t="s">
        <v>6962</v>
      </c>
      <c r="K5656" s="151">
        <f t="shared" si="118"/>
        <v>0</v>
      </c>
      <c r="L5656" s="151" t="s">
        <v>9022</v>
      </c>
    </row>
    <row r="5657" spans="8:12" x14ac:dyDescent="0.25">
      <c r="H5657" s="151" t="s">
        <v>2638</v>
      </c>
      <c r="I5657" s="151" t="s">
        <v>6962</v>
      </c>
      <c r="J5657" s="151" t="s">
        <v>6962</v>
      </c>
      <c r="K5657" s="151">
        <f t="shared" si="118"/>
        <v>0</v>
      </c>
      <c r="L5657" s="151" t="s">
        <v>9022</v>
      </c>
    </row>
    <row r="5658" spans="8:12" x14ac:dyDescent="0.25">
      <c r="H5658" s="151" t="s">
        <v>2639</v>
      </c>
      <c r="I5658" s="151" t="s">
        <v>6962</v>
      </c>
      <c r="J5658" s="151" t="s">
        <v>6962</v>
      </c>
      <c r="K5658" s="151">
        <f t="shared" si="118"/>
        <v>0</v>
      </c>
      <c r="L5658" s="151" t="s">
        <v>9022</v>
      </c>
    </row>
    <row r="5659" spans="8:12" x14ac:dyDescent="0.25">
      <c r="H5659" s="151" t="s">
        <v>2640</v>
      </c>
      <c r="I5659" s="151" t="s">
        <v>6962</v>
      </c>
      <c r="J5659" s="151" t="s">
        <v>6962</v>
      </c>
      <c r="K5659" s="151">
        <f t="shared" si="118"/>
        <v>0</v>
      </c>
      <c r="L5659" s="151" t="s">
        <v>9022</v>
      </c>
    </row>
    <row r="5660" spans="8:12" x14ac:dyDescent="0.25">
      <c r="H5660" s="151" t="s">
        <v>2641</v>
      </c>
      <c r="I5660" s="151" t="s">
        <v>6962</v>
      </c>
      <c r="J5660" s="151" t="s">
        <v>6962</v>
      </c>
      <c r="K5660" s="151">
        <f t="shared" si="118"/>
        <v>0</v>
      </c>
      <c r="L5660" s="151" t="s">
        <v>9022</v>
      </c>
    </row>
    <row r="5661" spans="8:12" x14ac:dyDescent="0.25">
      <c r="H5661" s="151" t="s">
        <v>2642</v>
      </c>
      <c r="I5661" s="151" t="s">
        <v>6962</v>
      </c>
      <c r="J5661" s="151" t="s">
        <v>6962</v>
      </c>
      <c r="K5661" s="151">
        <f t="shared" si="118"/>
        <v>0</v>
      </c>
      <c r="L5661" s="151" t="s">
        <v>9022</v>
      </c>
    </row>
    <row r="5662" spans="8:12" x14ac:dyDescent="0.25">
      <c r="H5662" s="151" t="s">
        <v>2643</v>
      </c>
      <c r="I5662" s="151" t="s">
        <v>6962</v>
      </c>
      <c r="J5662" s="151" t="s">
        <v>6962</v>
      </c>
      <c r="K5662" s="151">
        <f t="shared" si="118"/>
        <v>0</v>
      </c>
      <c r="L5662" s="151" t="s">
        <v>9022</v>
      </c>
    </row>
    <row r="5663" spans="8:12" x14ac:dyDescent="0.25">
      <c r="H5663" s="151" t="s">
        <v>2644</v>
      </c>
      <c r="I5663" s="151" t="s">
        <v>6962</v>
      </c>
      <c r="J5663" s="151" t="s">
        <v>6962</v>
      </c>
      <c r="K5663" s="151">
        <f t="shared" si="118"/>
        <v>0</v>
      </c>
      <c r="L5663" s="151" t="s">
        <v>9022</v>
      </c>
    </row>
    <row r="5664" spans="8:12" x14ac:dyDescent="0.25">
      <c r="H5664" s="151" t="s">
        <v>2645</v>
      </c>
      <c r="I5664" s="151" t="s">
        <v>6962</v>
      </c>
      <c r="J5664" s="151" t="s">
        <v>6962</v>
      </c>
      <c r="K5664" s="151">
        <f t="shared" si="118"/>
        <v>0</v>
      </c>
      <c r="L5664" s="151" t="s">
        <v>9022</v>
      </c>
    </row>
    <row r="5665" spans="8:12" x14ac:dyDescent="0.25">
      <c r="H5665" s="151" t="s">
        <v>2646</v>
      </c>
      <c r="I5665" s="151" t="s">
        <v>6962</v>
      </c>
      <c r="J5665" s="151" t="s">
        <v>6962</v>
      </c>
      <c r="K5665" s="151">
        <f t="shared" si="118"/>
        <v>0</v>
      </c>
      <c r="L5665" s="151" t="s">
        <v>9022</v>
      </c>
    </row>
    <row r="5666" spans="8:12" x14ac:dyDescent="0.25">
      <c r="H5666" s="151" t="s">
        <v>2647</v>
      </c>
      <c r="I5666" s="151" t="s">
        <v>6962</v>
      </c>
      <c r="J5666" s="151" t="s">
        <v>6962</v>
      </c>
      <c r="K5666" s="151">
        <f t="shared" si="118"/>
        <v>0</v>
      </c>
      <c r="L5666" s="151" t="s">
        <v>9022</v>
      </c>
    </row>
    <row r="5667" spans="8:12" x14ac:dyDescent="0.25">
      <c r="H5667" s="151" t="s">
        <v>2648</v>
      </c>
      <c r="I5667" s="151" t="s">
        <v>6962</v>
      </c>
      <c r="J5667" s="151" t="s">
        <v>6962</v>
      </c>
      <c r="K5667" s="151">
        <f t="shared" si="118"/>
        <v>0</v>
      </c>
      <c r="L5667" s="151" t="s">
        <v>9022</v>
      </c>
    </row>
    <row r="5668" spans="8:12" x14ac:dyDescent="0.25">
      <c r="H5668" s="151" t="s">
        <v>2649</v>
      </c>
      <c r="I5668" s="151" t="s">
        <v>6962</v>
      </c>
      <c r="J5668" s="151" t="s">
        <v>6962</v>
      </c>
      <c r="K5668" s="151">
        <f t="shared" si="118"/>
        <v>0</v>
      </c>
      <c r="L5668" s="151" t="s">
        <v>9022</v>
      </c>
    </row>
    <row r="5669" spans="8:12" x14ac:dyDescent="0.25">
      <c r="H5669" s="151" t="s">
        <v>2650</v>
      </c>
      <c r="I5669" s="151" t="s">
        <v>6962</v>
      </c>
      <c r="J5669" s="151" t="s">
        <v>6962</v>
      </c>
      <c r="K5669" s="151">
        <f t="shared" si="118"/>
        <v>0</v>
      </c>
      <c r="L5669" s="151" t="s">
        <v>9022</v>
      </c>
    </row>
    <row r="5670" spans="8:12" x14ac:dyDescent="0.25">
      <c r="H5670" s="151" t="s">
        <v>2651</v>
      </c>
      <c r="I5670" s="151" t="s">
        <v>6962</v>
      </c>
      <c r="J5670" s="151" t="s">
        <v>6962</v>
      </c>
      <c r="K5670" s="151">
        <f t="shared" si="118"/>
        <v>0</v>
      </c>
      <c r="L5670" s="151" t="s">
        <v>9022</v>
      </c>
    </row>
    <row r="5671" spans="8:12" x14ac:dyDescent="0.25">
      <c r="H5671" s="151" t="s">
        <v>2652</v>
      </c>
      <c r="I5671" s="151" t="s">
        <v>6962</v>
      </c>
      <c r="J5671" s="151" t="s">
        <v>6962</v>
      </c>
      <c r="K5671" s="151">
        <f t="shared" si="118"/>
        <v>0</v>
      </c>
      <c r="L5671" s="151" t="s">
        <v>9022</v>
      </c>
    </row>
    <row r="5672" spans="8:12" x14ac:dyDescent="0.25">
      <c r="H5672" s="151" t="s">
        <v>2653</v>
      </c>
      <c r="I5672" s="151" t="s">
        <v>6962</v>
      </c>
      <c r="J5672" s="151" t="s">
        <v>6962</v>
      </c>
      <c r="K5672" s="151">
        <f t="shared" si="118"/>
        <v>0</v>
      </c>
      <c r="L5672" s="151" t="s">
        <v>9022</v>
      </c>
    </row>
    <row r="5673" spans="8:12" x14ac:dyDescent="0.25">
      <c r="H5673" s="151" t="s">
        <v>2654</v>
      </c>
      <c r="I5673" s="151" t="s">
        <v>6962</v>
      </c>
      <c r="J5673" s="151" t="s">
        <v>6962</v>
      </c>
      <c r="K5673" s="151">
        <f t="shared" si="118"/>
        <v>0</v>
      </c>
      <c r="L5673" s="151" t="s">
        <v>9022</v>
      </c>
    </row>
    <row r="5674" spans="8:12" x14ac:dyDescent="0.25">
      <c r="H5674" s="151" t="s">
        <v>2655</v>
      </c>
      <c r="I5674" s="151" t="s">
        <v>6962</v>
      </c>
      <c r="J5674" s="151" t="s">
        <v>6962</v>
      </c>
      <c r="K5674" s="151">
        <f t="shared" si="118"/>
        <v>0</v>
      </c>
      <c r="L5674" s="151" t="s">
        <v>9022</v>
      </c>
    </row>
    <row r="5675" spans="8:12" x14ac:dyDescent="0.25">
      <c r="H5675" s="151" t="s">
        <v>2656</v>
      </c>
      <c r="I5675" s="151" t="s">
        <v>6962</v>
      </c>
      <c r="J5675" s="151" t="s">
        <v>6962</v>
      </c>
      <c r="K5675" s="151">
        <f t="shared" si="118"/>
        <v>0</v>
      </c>
      <c r="L5675" s="151" t="s">
        <v>9022</v>
      </c>
    </row>
    <row r="5676" spans="8:12" x14ac:dyDescent="0.25">
      <c r="H5676" s="151" t="s">
        <v>2657</v>
      </c>
      <c r="I5676" s="151" t="s">
        <v>6962</v>
      </c>
      <c r="J5676" s="151" t="s">
        <v>6962</v>
      </c>
      <c r="K5676" s="151">
        <f t="shared" si="118"/>
        <v>0</v>
      </c>
      <c r="L5676" s="151" t="s">
        <v>9022</v>
      </c>
    </row>
    <row r="5677" spans="8:12" x14ac:dyDescent="0.25">
      <c r="H5677" s="151" t="s">
        <v>2658</v>
      </c>
      <c r="I5677" s="151" t="s">
        <v>6962</v>
      </c>
      <c r="J5677" s="151" t="s">
        <v>6962</v>
      </c>
      <c r="K5677" s="151">
        <f t="shared" si="118"/>
        <v>0</v>
      </c>
      <c r="L5677" s="151" t="s">
        <v>9022</v>
      </c>
    </row>
    <row r="5678" spans="8:12" x14ac:dyDescent="0.25">
      <c r="H5678" s="151" t="s">
        <v>2659</v>
      </c>
      <c r="I5678" s="151" t="s">
        <v>6962</v>
      </c>
      <c r="J5678" s="151" t="s">
        <v>6962</v>
      </c>
      <c r="K5678" s="151">
        <f t="shared" si="118"/>
        <v>0</v>
      </c>
      <c r="L5678" s="151" t="s">
        <v>9022</v>
      </c>
    </row>
    <row r="5679" spans="8:12" x14ac:dyDescent="0.25">
      <c r="H5679" s="151" t="s">
        <v>2660</v>
      </c>
      <c r="I5679" s="151" t="s">
        <v>6962</v>
      </c>
      <c r="J5679" s="151" t="s">
        <v>6962</v>
      </c>
      <c r="K5679" s="151">
        <f t="shared" si="118"/>
        <v>0</v>
      </c>
      <c r="L5679" s="151" t="s">
        <v>9022</v>
      </c>
    </row>
    <row r="5680" spans="8:12" x14ac:dyDescent="0.25">
      <c r="H5680" s="151" t="s">
        <v>2661</v>
      </c>
      <c r="I5680" s="151" t="s">
        <v>6962</v>
      </c>
      <c r="J5680" s="151" t="s">
        <v>6962</v>
      </c>
      <c r="K5680" s="151">
        <f t="shared" si="118"/>
        <v>0</v>
      </c>
      <c r="L5680" s="151" t="s">
        <v>9022</v>
      </c>
    </row>
    <row r="5681" spans="8:12" x14ac:dyDescent="0.25">
      <c r="H5681" s="151" t="s">
        <v>2662</v>
      </c>
      <c r="I5681" s="151" t="s">
        <v>6962</v>
      </c>
      <c r="J5681" s="151" t="s">
        <v>6962</v>
      </c>
      <c r="K5681" s="151">
        <f t="shared" si="118"/>
        <v>0</v>
      </c>
      <c r="L5681" s="151" t="s">
        <v>9022</v>
      </c>
    </row>
    <row r="5682" spans="8:12" x14ac:dyDescent="0.25">
      <c r="H5682" s="151" t="s">
        <v>2663</v>
      </c>
      <c r="I5682" s="151" t="s">
        <v>6962</v>
      </c>
      <c r="J5682" s="151" t="s">
        <v>6962</v>
      </c>
      <c r="K5682" s="151">
        <f t="shared" si="118"/>
        <v>0</v>
      </c>
      <c r="L5682" s="151" t="s">
        <v>9022</v>
      </c>
    </row>
    <row r="5683" spans="8:12" x14ac:dyDescent="0.25">
      <c r="H5683" s="151" t="s">
        <v>2664</v>
      </c>
      <c r="I5683" s="151" t="s">
        <v>6962</v>
      </c>
      <c r="J5683" s="151" t="s">
        <v>6962</v>
      </c>
      <c r="K5683" s="151">
        <f t="shared" si="118"/>
        <v>0</v>
      </c>
      <c r="L5683" s="151" t="s">
        <v>9022</v>
      </c>
    </row>
    <row r="5684" spans="8:12" x14ac:dyDescent="0.25">
      <c r="H5684" s="151" t="s">
        <v>2665</v>
      </c>
      <c r="I5684" s="151" t="s">
        <v>6962</v>
      </c>
      <c r="J5684" s="151" t="s">
        <v>6962</v>
      </c>
      <c r="K5684" s="151">
        <f t="shared" si="118"/>
        <v>0</v>
      </c>
      <c r="L5684" s="151" t="s">
        <v>9022</v>
      </c>
    </row>
    <row r="5685" spans="8:12" x14ac:dyDescent="0.25">
      <c r="H5685" s="151" t="s">
        <v>2666</v>
      </c>
      <c r="I5685" s="151" t="s">
        <v>6962</v>
      </c>
      <c r="J5685" s="151" t="s">
        <v>6962</v>
      </c>
      <c r="K5685" s="151">
        <f t="shared" si="118"/>
        <v>0</v>
      </c>
      <c r="L5685" s="151" t="s">
        <v>9022</v>
      </c>
    </row>
    <row r="5686" spans="8:12" x14ac:dyDescent="0.25">
      <c r="H5686" s="151" t="s">
        <v>2667</v>
      </c>
      <c r="I5686" s="151" t="s">
        <v>6962</v>
      </c>
      <c r="J5686" s="151" t="s">
        <v>6962</v>
      </c>
      <c r="K5686" s="151">
        <f t="shared" si="118"/>
        <v>0</v>
      </c>
      <c r="L5686" s="151" t="s">
        <v>9022</v>
      </c>
    </row>
    <row r="5687" spans="8:12" x14ac:dyDescent="0.25">
      <c r="H5687" s="151" t="s">
        <v>2668</v>
      </c>
      <c r="I5687" s="151" t="s">
        <v>6962</v>
      </c>
      <c r="J5687" s="151" t="s">
        <v>6962</v>
      </c>
      <c r="K5687" s="151">
        <f t="shared" si="118"/>
        <v>0</v>
      </c>
      <c r="L5687" s="151" t="s">
        <v>9022</v>
      </c>
    </row>
    <row r="5688" spans="8:12" x14ac:dyDescent="0.25">
      <c r="H5688" s="151" t="s">
        <v>2669</v>
      </c>
      <c r="I5688" s="151" t="s">
        <v>6962</v>
      </c>
      <c r="J5688" s="151" t="s">
        <v>6962</v>
      </c>
      <c r="K5688" s="151">
        <f t="shared" si="118"/>
        <v>0</v>
      </c>
      <c r="L5688" s="151" t="s">
        <v>9022</v>
      </c>
    </row>
    <row r="5689" spans="8:12" x14ac:dyDescent="0.25">
      <c r="H5689" s="151" t="s">
        <v>2670</v>
      </c>
      <c r="I5689" s="151" t="s">
        <v>6962</v>
      </c>
      <c r="J5689" s="151" t="s">
        <v>6962</v>
      </c>
      <c r="K5689" s="151">
        <f t="shared" si="118"/>
        <v>0</v>
      </c>
      <c r="L5689" s="151" t="s">
        <v>9022</v>
      </c>
    </row>
    <row r="5690" spans="8:12" x14ac:dyDescent="0.25">
      <c r="H5690" s="151" t="s">
        <v>2671</v>
      </c>
      <c r="I5690" s="151" t="s">
        <v>6962</v>
      </c>
      <c r="J5690" s="151" t="s">
        <v>6962</v>
      </c>
      <c r="K5690" s="151">
        <f t="shared" si="118"/>
        <v>0</v>
      </c>
      <c r="L5690" s="151" t="s">
        <v>9022</v>
      </c>
    </row>
    <row r="5691" spans="8:12" x14ac:dyDescent="0.25">
      <c r="H5691" s="151" t="s">
        <v>2672</v>
      </c>
      <c r="I5691" s="151" t="s">
        <v>6962</v>
      </c>
      <c r="J5691" s="151" t="s">
        <v>6962</v>
      </c>
      <c r="K5691" s="151">
        <f t="shared" si="118"/>
        <v>0</v>
      </c>
      <c r="L5691" s="151" t="s">
        <v>9022</v>
      </c>
    </row>
    <row r="5692" spans="8:12" x14ac:dyDescent="0.25">
      <c r="H5692" s="151" t="s">
        <v>2673</v>
      </c>
      <c r="I5692" s="151" t="s">
        <v>6962</v>
      </c>
      <c r="J5692" s="151" t="s">
        <v>6962</v>
      </c>
      <c r="K5692" s="151">
        <f t="shared" si="118"/>
        <v>0</v>
      </c>
      <c r="L5692" s="151" t="s">
        <v>9022</v>
      </c>
    </row>
    <row r="5693" spans="8:12" x14ac:dyDescent="0.25">
      <c r="H5693" s="151" t="s">
        <v>2674</v>
      </c>
      <c r="I5693" s="151" t="s">
        <v>6962</v>
      </c>
      <c r="J5693" s="151" t="s">
        <v>6962</v>
      </c>
      <c r="K5693" s="151">
        <f t="shared" si="118"/>
        <v>0</v>
      </c>
      <c r="L5693" s="151" t="s">
        <v>9022</v>
      </c>
    </row>
    <row r="5694" spans="8:12" x14ac:dyDescent="0.25">
      <c r="H5694" s="151" t="s">
        <v>2675</v>
      </c>
      <c r="I5694" s="151" t="s">
        <v>6962</v>
      </c>
      <c r="J5694" s="151" t="s">
        <v>6962</v>
      </c>
      <c r="K5694" s="151">
        <f t="shared" si="118"/>
        <v>0</v>
      </c>
      <c r="L5694" s="151" t="s">
        <v>9022</v>
      </c>
    </row>
    <row r="5695" spans="8:12" x14ac:dyDescent="0.25">
      <c r="H5695" s="151" t="s">
        <v>2676</v>
      </c>
      <c r="I5695" s="151" t="s">
        <v>6962</v>
      </c>
      <c r="J5695" s="151" t="s">
        <v>6962</v>
      </c>
      <c r="K5695" s="151">
        <f t="shared" si="118"/>
        <v>0</v>
      </c>
      <c r="L5695" s="151" t="s">
        <v>9022</v>
      </c>
    </row>
    <row r="5696" spans="8:12" x14ac:dyDescent="0.25">
      <c r="H5696" s="151" t="s">
        <v>2677</v>
      </c>
      <c r="I5696" s="151" t="s">
        <v>6962</v>
      </c>
      <c r="J5696" s="151" t="s">
        <v>6962</v>
      </c>
      <c r="K5696" s="151">
        <f t="shared" si="118"/>
        <v>0</v>
      </c>
      <c r="L5696" s="151" t="s">
        <v>9022</v>
      </c>
    </row>
    <row r="5697" spans="8:12" x14ac:dyDescent="0.25">
      <c r="H5697" s="151" t="s">
        <v>2678</v>
      </c>
      <c r="I5697" s="151" t="s">
        <v>6962</v>
      </c>
      <c r="J5697" s="151" t="s">
        <v>6962</v>
      </c>
      <c r="K5697" s="151">
        <f t="shared" si="118"/>
        <v>0</v>
      </c>
      <c r="L5697" s="151" t="s">
        <v>9022</v>
      </c>
    </row>
    <row r="5698" spans="8:12" x14ac:dyDescent="0.25">
      <c r="H5698" s="151" t="s">
        <v>2679</v>
      </c>
      <c r="I5698" s="151" t="s">
        <v>6962</v>
      </c>
      <c r="J5698" s="151" t="s">
        <v>6962</v>
      </c>
      <c r="K5698" s="151">
        <f t="shared" si="118"/>
        <v>0</v>
      </c>
      <c r="L5698" s="151" t="s">
        <v>9022</v>
      </c>
    </row>
    <row r="5699" spans="8:12" x14ac:dyDescent="0.25">
      <c r="H5699" s="151" t="s">
        <v>2680</v>
      </c>
      <c r="I5699" s="151" t="s">
        <v>6962</v>
      </c>
      <c r="J5699" s="151" t="s">
        <v>6962</v>
      </c>
      <c r="K5699" s="151">
        <f t="shared" ref="K5699:K5762" si="119">+IFERROR(J5699*1,0)</f>
        <v>0</v>
      </c>
      <c r="L5699" s="151" t="s">
        <v>9022</v>
      </c>
    </row>
    <row r="5700" spans="8:12" x14ac:dyDescent="0.25">
      <c r="H5700" s="151" t="s">
        <v>2681</v>
      </c>
      <c r="I5700" s="151" t="s">
        <v>6962</v>
      </c>
      <c r="J5700" s="151" t="s">
        <v>6962</v>
      </c>
      <c r="K5700" s="151">
        <f t="shared" si="119"/>
        <v>0</v>
      </c>
      <c r="L5700" s="151" t="s">
        <v>9022</v>
      </c>
    </row>
    <row r="5701" spans="8:12" x14ac:dyDescent="0.25">
      <c r="H5701" s="151" t="s">
        <v>2682</v>
      </c>
      <c r="I5701" s="151" t="s">
        <v>6962</v>
      </c>
      <c r="J5701" s="151" t="s">
        <v>6962</v>
      </c>
      <c r="K5701" s="151">
        <f t="shared" si="119"/>
        <v>0</v>
      </c>
      <c r="L5701" s="151" t="s">
        <v>9022</v>
      </c>
    </row>
    <row r="5702" spans="8:12" x14ac:dyDescent="0.25">
      <c r="H5702" s="151" t="s">
        <v>2683</v>
      </c>
      <c r="I5702" s="151" t="s">
        <v>6962</v>
      </c>
      <c r="J5702" s="151" t="s">
        <v>6962</v>
      </c>
      <c r="K5702" s="151">
        <f t="shared" si="119"/>
        <v>0</v>
      </c>
      <c r="L5702" s="151" t="s">
        <v>9022</v>
      </c>
    </row>
    <row r="5703" spans="8:12" x14ac:dyDescent="0.25">
      <c r="H5703" s="151" t="s">
        <v>2684</v>
      </c>
      <c r="I5703" s="151" t="s">
        <v>6962</v>
      </c>
      <c r="J5703" s="151" t="s">
        <v>6962</v>
      </c>
      <c r="K5703" s="151">
        <f t="shared" si="119"/>
        <v>0</v>
      </c>
      <c r="L5703" s="151" t="s">
        <v>9022</v>
      </c>
    </row>
    <row r="5704" spans="8:12" x14ac:dyDescent="0.25">
      <c r="H5704" s="151" t="s">
        <v>2685</v>
      </c>
      <c r="I5704" s="151" t="s">
        <v>6962</v>
      </c>
      <c r="J5704" s="151" t="s">
        <v>6962</v>
      </c>
      <c r="K5704" s="151">
        <f t="shared" si="119"/>
        <v>0</v>
      </c>
      <c r="L5704" s="151" t="s">
        <v>9022</v>
      </c>
    </row>
    <row r="5705" spans="8:12" x14ac:dyDescent="0.25">
      <c r="H5705" s="151" t="s">
        <v>2686</v>
      </c>
      <c r="I5705" s="151" t="s">
        <v>6962</v>
      </c>
      <c r="J5705" s="151" t="s">
        <v>6962</v>
      </c>
      <c r="K5705" s="151">
        <f t="shared" si="119"/>
        <v>0</v>
      </c>
      <c r="L5705" s="151" t="s">
        <v>9022</v>
      </c>
    </row>
    <row r="5706" spans="8:12" x14ac:dyDescent="0.25">
      <c r="H5706" s="151" t="s">
        <v>2687</v>
      </c>
      <c r="I5706" s="151" t="s">
        <v>6962</v>
      </c>
      <c r="J5706" s="151" t="s">
        <v>6962</v>
      </c>
      <c r="K5706" s="151">
        <f t="shared" si="119"/>
        <v>0</v>
      </c>
      <c r="L5706" s="151" t="s">
        <v>9022</v>
      </c>
    </row>
    <row r="5707" spans="8:12" x14ac:dyDescent="0.25">
      <c r="H5707" s="151" t="s">
        <v>2688</v>
      </c>
      <c r="I5707" s="151" t="s">
        <v>6962</v>
      </c>
      <c r="J5707" s="151" t="s">
        <v>6962</v>
      </c>
      <c r="K5707" s="151">
        <f t="shared" si="119"/>
        <v>0</v>
      </c>
      <c r="L5707" s="151" t="s">
        <v>9022</v>
      </c>
    </row>
    <row r="5708" spans="8:12" x14ac:dyDescent="0.25">
      <c r="H5708" s="151" t="s">
        <v>2689</v>
      </c>
      <c r="I5708" s="151" t="s">
        <v>6962</v>
      </c>
      <c r="J5708" s="151" t="s">
        <v>6962</v>
      </c>
      <c r="K5708" s="151">
        <f t="shared" si="119"/>
        <v>0</v>
      </c>
      <c r="L5708" s="151" t="s">
        <v>9022</v>
      </c>
    </row>
    <row r="5709" spans="8:12" x14ac:dyDescent="0.25">
      <c r="H5709" s="151" t="s">
        <v>2690</v>
      </c>
      <c r="I5709" s="151" t="s">
        <v>6962</v>
      </c>
      <c r="J5709" s="151" t="s">
        <v>6962</v>
      </c>
      <c r="K5709" s="151">
        <f t="shared" si="119"/>
        <v>0</v>
      </c>
      <c r="L5709" s="151" t="s">
        <v>9022</v>
      </c>
    </row>
    <row r="5710" spans="8:12" x14ac:dyDescent="0.25">
      <c r="H5710" s="151" t="s">
        <v>2691</v>
      </c>
      <c r="I5710" s="151" t="s">
        <v>6962</v>
      </c>
      <c r="J5710" s="151" t="s">
        <v>6962</v>
      </c>
      <c r="K5710" s="151">
        <f t="shared" si="119"/>
        <v>0</v>
      </c>
      <c r="L5710" s="151" t="s">
        <v>9022</v>
      </c>
    </row>
    <row r="5711" spans="8:12" x14ac:dyDescent="0.25">
      <c r="H5711" s="151" t="s">
        <v>2692</v>
      </c>
      <c r="I5711" s="151" t="s">
        <v>6962</v>
      </c>
      <c r="J5711" s="151" t="s">
        <v>6962</v>
      </c>
      <c r="K5711" s="151">
        <f t="shared" si="119"/>
        <v>0</v>
      </c>
      <c r="L5711" s="151" t="s">
        <v>9022</v>
      </c>
    </row>
    <row r="5712" spans="8:12" x14ac:dyDescent="0.25">
      <c r="H5712" s="151" t="s">
        <v>2693</v>
      </c>
      <c r="I5712" s="151" t="s">
        <v>6962</v>
      </c>
      <c r="J5712" s="151" t="s">
        <v>6962</v>
      </c>
      <c r="K5712" s="151">
        <f t="shared" si="119"/>
        <v>0</v>
      </c>
      <c r="L5712" s="151" t="s">
        <v>9022</v>
      </c>
    </row>
    <row r="5713" spans="8:12" x14ac:dyDescent="0.25">
      <c r="H5713" s="151" t="s">
        <v>2694</v>
      </c>
      <c r="I5713" s="151" t="s">
        <v>6962</v>
      </c>
      <c r="J5713" s="151" t="s">
        <v>6962</v>
      </c>
      <c r="K5713" s="151">
        <f t="shared" si="119"/>
        <v>0</v>
      </c>
      <c r="L5713" s="151" t="s">
        <v>9022</v>
      </c>
    </row>
    <row r="5714" spans="8:12" x14ac:dyDescent="0.25">
      <c r="H5714" s="151" t="s">
        <v>2694</v>
      </c>
      <c r="I5714" s="151" t="s">
        <v>391</v>
      </c>
      <c r="J5714" s="151" t="s">
        <v>9058</v>
      </c>
      <c r="K5714" s="151">
        <f t="shared" si="119"/>
        <v>650000000002218</v>
      </c>
      <c r="L5714" s="151" t="s">
        <v>9022</v>
      </c>
    </row>
    <row r="5715" spans="8:12" x14ac:dyDescent="0.25">
      <c r="H5715" s="151" t="s">
        <v>2695</v>
      </c>
      <c r="I5715" s="151" t="s">
        <v>6962</v>
      </c>
      <c r="J5715" s="151" t="s">
        <v>6962</v>
      </c>
      <c r="K5715" s="151">
        <f t="shared" si="119"/>
        <v>0</v>
      </c>
      <c r="L5715" s="151" t="s">
        <v>9022</v>
      </c>
    </row>
    <row r="5716" spans="8:12" x14ac:dyDescent="0.25">
      <c r="H5716" s="151" t="s">
        <v>2695</v>
      </c>
      <c r="I5716" s="151" t="s">
        <v>391</v>
      </c>
      <c r="J5716" s="151" t="s">
        <v>9059</v>
      </c>
      <c r="K5716" s="151">
        <f t="shared" si="119"/>
        <v>650000000002219</v>
      </c>
      <c r="L5716" s="151" t="s">
        <v>9022</v>
      </c>
    </row>
    <row r="5717" spans="8:12" x14ac:dyDescent="0.25">
      <c r="H5717" s="151" t="s">
        <v>2696</v>
      </c>
      <c r="I5717" s="151" t="s">
        <v>6962</v>
      </c>
      <c r="J5717" s="151" t="s">
        <v>6962</v>
      </c>
      <c r="K5717" s="151">
        <f t="shared" si="119"/>
        <v>0</v>
      </c>
      <c r="L5717" s="151" t="s">
        <v>9022</v>
      </c>
    </row>
    <row r="5718" spans="8:12" x14ac:dyDescent="0.25">
      <c r="H5718" s="151" t="s">
        <v>2696</v>
      </c>
      <c r="I5718" s="151" t="s">
        <v>391</v>
      </c>
      <c r="J5718" s="151" t="s">
        <v>9060</v>
      </c>
      <c r="K5718" s="151">
        <f t="shared" si="119"/>
        <v>650000000002220</v>
      </c>
      <c r="L5718" s="151" t="s">
        <v>9022</v>
      </c>
    </row>
    <row r="5719" spans="8:12" x14ac:dyDescent="0.25">
      <c r="H5719" s="151" t="s">
        <v>2697</v>
      </c>
      <c r="I5719" s="151" t="s">
        <v>6962</v>
      </c>
      <c r="J5719" s="151" t="s">
        <v>6962</v>
      </c>
      <c r="K5719" s="151">
        <f t="shared" si="119"/>
        <v>0</v>
      </c>
      <c r="L5719" s="151" t="s">
        <v>9023</v>
      </c>
    </row>
    <row r="5720" spans="8:12" x14ac:dyDescent="0.25">
      <c r="H5720" s="151" t="s">
        <v>2697</v>
      </c>
      <c r="I5720" s="151" t="s">
        <v>391</v>
      </c>
      <c r="J5720" s="151" t="s">
        <v>9061</v>
      </c>
      <c r="K5720" s="151">
        <f t="shared" si="119"/>
        <v>650000000002221</v>
      </c>
      <c r="L5720" s="151" t="s">
        <v>9023</v>
      </c>
    </row>
    <row r="5721" spans="8:12" x14ac:dyDescent="0.25">
      <c r="H5721" s="151" t="s">
        <v>2698</v>
      </c>
      <c r="I5721" s="151" t="s">
        <v>6962</v>
      </c>
      <c r="J5721" s="151" t="s">
        <v>6962</v>
      </c>
      <c r="K5721" s="151">
        <f t="shared" si="119"/>
        <v>0</v>
      </c>
      <c r="L5721" s="151" t="s">
        <v>9022</v>
      </c>
    </row>
    <row r="5722" spans="8:12" x14ac:dyDescent="0.25">
      <c r="H5722" s="151" t="s">
        <v>2699</v>
      </c>
      <c r="I5722" s="151" t="s">
        <v>6962</v>
      </c>
      <c r="J5722" s="151" t="s">
        <v>6962</v>
      </c>
      <c r="K5722" s="151">
        <f t="shared" si="119"/>
        <v>0</v>
      </c>
      <c r="L5722" s="151" t="s">
        <v>9022</v>
      </c>
    </row>
    <row r="5723" spans="8:12" x14ac:dyDescent="0.25">
      <c r="H5723" s="151" t="s">
        <v>2700</v>
      </c>
      <c r="I5723" s="151" t="s">
        <v>6962</v>
      </c>
      <c r="J5723" s="151" t="s">
        <v>6962</v>
      </c>
      <c r="K5723" s="151">
        <f t="shared" si="119"/>
        <v>0</v>
      </c>
      <c r="L5723" s="151" t="s">
        <v>9022</v>
      </c>
    </row>
    <row r="5724" spans="8:12" x14ac:dyDescent="0.25">
      <c r="H5724" s="151" t="s">
        <v>2701</v>
      </c>
      <c r="I5724" s="151" t="s">
        <v>6962</v>
      </c>
      <c r="J5724" s="151" t="s">
        <v>6962</v>
      </c>
      <c r="K5724" s="151">
        <f t="shared" si="119"/>
        <v>0</v>
      </c>
      <c r="L5724" s="151" t="s">
        <v>9022</v>
      </c>
    </row>
    <row r="5725" spans="8:12" x14ac:dyDescent="0.25">
      <c r="H5725" s="151" t="s">
        <v>2702</v>
      </c>
      <c r="I5725" s="151" t="s">
        <v>6962</v>
      </c>
      <c r="J5725" s="151" t="s">
        <v>6962</v>
      </c>
      <c r="K5725" s="151">
        <f t="shared" si="119"/>
        <v>0</v>
      </c>
      <c r="L5725" s="151" t="s">
        <v>9022</v>
      </c>
    </row>
    <row r="5726" spans="8:12" x14ac:dyDescent="0.25">
      <c r="H5726" s="151" t="s">
        <v>2703</v>
      </c>
      <c r="I5726" s="151" t="s">
        <v>6962</v>
      </c>
      <c r="J5726" s="151" t="s">
        <v>6962</v>
      </c>
      <c r="K5726" s="151">
        <f t="shared" si="119"/>
        <v>0</v>
      </c>
      <c r="L5726" s="151" t="s">
        <v>9022</v>
      </c>
    </row>
    <row r="5727" spans="8:12" x14ac:dyDescent="0.25">
      <c r="H5727" s="151" t="s">
        <v>2704</v>
      </c>
      <c r="I5727" s="151" t="s">
        <v>6962</v>
      </c>
      <c r="J5727" s="151" t="s">
        <v>6962</v>
      </c>
      <c r="K5727" s="151">
        <f t="shared" si="119"/>
        <v>0</v>
      </c>
      <c r="L5727" s="151" t="s">
        <v>9024</v>
      </c>
    </row>
    <row r="5728" spans="8:12" x14ac:dyDescent="0.25">
      <c r="H5728" s="151" t="s">
        <v>2704</v>
      </c>
      <c r="I5728" s="151" t="s">
        <v>391</v>
      </c>
      <c r="J5728" s="151" t="s">
        <v>9060</v>
      </c>
      <c r="K5728" s="151">
        <f t="shared" si="119"/>
        <v>650000000002220</v>
      </c>
      <c r="L5728" s="151" t="s">
        <v>9024</v>
      </c>
    </row>
    <row r="5729" spans="8:12" x14ac:dyDescent="0.25">
      <c r="H5729" s="151" t="s">
        <v>2705</v>
      </c>
      <c r="I5729" s="151" t="s">
        <v>6962</v>
      </c>
      <c r="J5729" s="151" t="s">
        <v>6962</v>
      </c>
      <c r="K5729" s="151">
        <f t="shared" si="119"/>
        <v>0</v>
      </c>
      <c r="L5729" s="151" t="s">
        <v>9025</v>
      </c>
    </row>
    <row r="5730" spans="8:12" x14ac:dyDescent="0.25">
      <c r="H5730" s="151" t="s">
        <v>2705</v>
      </c>
      <c r="I5730" s="151" t="s">
        <v>391</v>
      </c>
      <c r="J5730" s="151" t="s">
        <v>9060</v>
      </c>
      <c r="K5730" s="151">
        <f t="shared" si="119"/>
        <v>650000000002220</v>
      </c>
      <c r="L5730" s="151" t="s">
        <v>9025</v>
      </c>
    </row>
    <row r="5731" spans="8:12" x14ac:dyDescent="0.25">
      <c r="H5731" s="151" t="s">
        <v>2706</v>
      </c>
      <c r="I5731" s="151" t="s">
        <v>6962</v>
      </c>
      <c r="J5731" s="151" t="s">
        <v>6962</v>
      </c>
      <c r="K5731" s="151">
        <f t="shared" si="119"/>
        <v>0</v>
      </c>
      <c r="L5731" s="151" t="s">
        <v>9025</v>
      </c>
    </row>
    <row r="5732" spans="8:12" x14ac:dyDescent="0.25">
      <c r="H5732" s="151" t="s">
        <v>2707</v>
      </c>
      <c r="I5732" s="151" t="s">
        <v>6962</v>
      </c>
      <c r="J5732" s="151" t="s">
        <v>6962</v>
      </c>
      <c r="K5732" s="151">
        <f t="shared" si="119"/>
        <v>0</v>
      </c>
      <c r="L5732" s="151" t="s">
        <v>9022</v>
      </c>
    </row>
    <row r="5733" spans="8:12" x14ac:dyDescent="0.25">
      <c r="H5733" s="151" t="s">
        <v>2707</v>
      </c>
      <c r="I5733" s="151" t="s">
        <v>391</v>
      </c>
      <c r="J5733" s="151" t="s">
        <v>9062</v>
      </c>
      <c r="K5733" s="151">
        <f t="shared" si="119"/>
        <v>650000000002241</v>
      </c>
      <c r="L5733" s="151" t="s">
        <v>9022</v>
      </c>
    </row>
    <row r="5734" spans="8:12" x14ac:dyDescent="0.25">
      <c r="H5734" s="151" t="s">
        <v>2708</v>
      </c>
      <c r="I5734" s="151" t="s">
        <v>6962</v>
      </c>
      <c r="J5734" s="151" t="s">
        <v>6962</v>
      </c>
      <c r="K5734" s="151">
        <f t="shared" si="119"/>
        <v>0</v>
      </c>
      <c r="L5734" s="151" t="s">
        <v>9024</v>
      </c>
    </row>
    <row r="5735" spans="8:12" x14ac:dyDescent="0.25">
      <c r="H5735" s="151" t="s">
        <v>2708</v>
      </c>
      <c r="I5735" s="151" t="s">
        <v>391</v>
      </c>
      <c r="J5735" s="151" t="s">
        <v>9063</v>
      </c>
      <c r="K5735" s="151">
        <f t="shared" si="119"/>
        <v>650000000002236</v>
      </c>
      <c r="L5735" s="151" t="s">
        <v>9024</v>
      </c>
    </row>
    <row r="5736" spans="8:12" x14ac:dyDescent="0.25">
      <c r="H5736" s="151" t="s">
        <v>2709</v>
      </c>
      <c r="I5736" s="151" t="s">
        <v>6962</v>
      </c>
      <c r="J5736" s="151" t="s">
        <v>6962</v>
      </c>
      <c r="K5736" s="151">
        <f t="shared" si="119"/>
        <v>0</v>
      </c>
      <c r="L5736" s="151" t="s">
        <v>9025</v>
      </c>
    </row>
    <row r="5737" spans="8:12" x14ac:dyDescent="0.25">
      <c r="H5737" s="151" t="s">
        <v>2709</v>
      </c>
      <c r="I5737" s="151" t="s">
        <v>391</v>
      </c>
      <c r="J5737" s="151" t="s">
        <v>9064</v>
      </c>
      <c r="K5737" s="151">
        <f t="shared" si="119"/>
        <v>650000000002237</v>
      </c>
      <c r="L5737" s="151" t="s">
        <v>9025</v>
      </c>
    </row>
    <row r="5738" spans="8:12" x14ac:dyDescent="0.25">
      <c r="H5738" s="151" t="s">
        <v>2710</v>
      </c>
      <c r="I5738" s="151" t="s">
        <v>6962</v>
      </c>
      <c r="J5738" s="151" t="s">
        <v>6962</v>
      </c>
      <c r="K5738" s="151">
        <f t="shared" si="119"/>
        <v>0</v>
      </c>
      <c r="L5738" s="151" t="s">
        <v>9023</v>
      </c>
    </row>
    <row r="5739" spans="8:12" x14ac:dyDescent="0.25">
      <c r="H5739" s="151" t="s">
        <v>2711</v>
      </c>
      <c r="I5739" s="151" t="s">
        <v>6962</v>
      </c>
      <c r="J5739" s="151" t="s">
        <v>6962</v>
      </c>
      <c r="K5739" s="151">
        <f t="shared" si="119"/>
        <v>0</v>
      </c>
      <c r="L5739" s="151" t="s">
        <v>9024</v>
      </c>
    </row>
    <row r="5740" spans="8:12" x14ac:dyDescent="0.25">
      <c r="H5740" s="151" t="s">
        <v>2711</v>
      </c>
      <c r="I5740" s="151" t="s">
        <v>391</v>
      </c>
      <c r="J5740" s="151" t="s">
        <v>9065</v>
      </c>
      <c r="K5740" s="151">
        <f t="shared" si="119"/>
        <v>650000000002245</v>
      </c>
      <c r="L5740" s="151" t="s">
        <v>9024</v>
      </c>
    </row>
    <row r="5741" spans="8:12" x14ac:dyDescent="0.25">
      <c r="H5741" s="151" t="s">
        <v>2712</v>
      </c>
      <c r="I5741" s="151" t="s">
        <v>6962</v>
      </c>
      <c r="J5741" s="151" t="s">
        <v>6962</v>
      </c>
      <c r="K5741" s="151">
        <f t="shared" si="119"/>
        <v>0</v>
      </c>
      <c r="L5741" s="151" t="s">
        <v>9025</v>
      </c>
    </row>
    <row r="5742" spans="8:12" x14ac:dyDescent="0.25">
      <c r="H5742" s="151" t="s">
        <v>2712</v>
      </c>
      <c r="I5742" s="151" t="s">
        <v>391</v>
      </c>
      <c r="J5742" s="151" t="s">
        <v>9066</v>
      </c>
      <c r="K5742" s="151">
        <f t="shared" si="119"/>
        <v>650000000002246</v>
      </c>
      <c r="L5742" s="151" t="s">
        <v>9025</v>
      </c>
    </row>
    <row r="5743" spans="8:12" x14ac:dyDescent="0.25">
      <c r="H5743" s="151" t="s">
        <v>2713</v>
      </c>
      <c r="I5743" s="151" t="s">
        <v>6962</v>
      </c>
      <c r="J5743" s="151" t="s">
        <v>6962</v>
      </c>
      <c r="K5743" s="151">
        <f t="shared" si="119"/>
        <v>0</v>
      </c>
      <c r="L5743" s="151" t="s">
        <v>9022</v>
      </c>
    </row>
    <row r="5744" spans="8:12" x14ac:dyDescent="0.25">
      <c r="H5744" s="151" t="s">
        <v>2713</v>
      </c>
      <c r="I5744" s="151" t="s">
        <v>391</v>
      </c>
      <c r="J5744" s="151" t="s">
        <v>9067</v>
      </c>
      <c r="K5744" s="151">
        <f t="shared" si="119"/>
        <v>650000000002247</v>
      </c>
      <c r="L5744" s="151" t="s">
        <v>9022</v>
      </c>
    </row>
    <row r="5745" spans="8:12" x14ac:dyDescent="0.25">
      <c r="H5745" s="151" t="s">
        <v>2714</v>
      </c>
      <c r="I5745" s="151" t="s">
        <v>6962</v>
      </c>
      <c r="J5745" s="151" t="s">
        <v>6962</v>
      </c>
      <c r="K5745" s="151">
        <f t="shared" si="119"/>
        <v>0</v>
      </c>
      <c r="L5745" s="151" t="s">
        <v>9023</v>
      </c>
    </row>
    <row r="5746" spans="8:12" x14ac:dyDescent="0.25">
      <c r="H5746" s="151" t="s">
        <v>2714</v>
      </c>
      <c r="I5746" s="151" t="s">
        <v>391</v>
      </c>
      <c r="J5746" s="151" t="s">
        <v>9068</v>
      </c>
      <c r="K5746" s="151">
        <f t="shared" si="119"/>
        <v>650000000002228</v>
      </c>
      <c r="L5746" s="151" t="s">
        <v>9023</v>
      </c>
    </row>
    <row r="5747" spans="8:12" x14ac:dyDescent="0.25">
      <c r="H5747" s="151" t="s">
        <v>2715</v>
      </c>
      <c r="I5747" s="151" t="s">
        <v>6962</v>
      </c>
      <c r="J5747" s="151" t="s">
        <v>6962</v>
      </c>
      <c r="K5747" s="151">
        <f t="shared" si="119"/>
        <v>0</v>
      </c>
      <c r="L5747" s="151" t="s">
        <v>9024</v>
      </c>
    </row>
    <row r="5748" spans="8:12" x14ac:dyDescent="0.25">
      <c r="H5748" s="151" t="s">
        <v>2715</v>
      </c>
      <c r="I5748" s="151" t="s">
        <v>391</v>
      </c>
      <c r="J5748" s="151" t="s">
        <v>9069</v>
      </c>
      <c r="K5748" s="151">
        <f t="shared" si="119"/>
        <v>650000000002229</v>
      </c>
      <c r="L5748" s="151" t="s">
        <v>9024</v>
      </c>
    </row>
    <row r="5749" spans="8:12" x14ac:dyDescent="0.25">
      <c r="H5749" s="151" t="s">
        <v>2716</v>
      </c>
      <c r="I5749" s="151" t="s">
        <v>6962</v>
      </c>
      <c r="J5749" s="151" t="s">
        <v>6962</v>
      </c>
      <c r="K5749" s="151">
        <f t="shared" si="119"/>
        <v>0</v>
      </c>
      <c r="L5749" s="151" t="s">
        <v>9025</v>
      </c>
    </row>
    <row r="5750" spans="8:12" x14ac:dyDescent="0.25">
      <c r="H5750" s="151" t="s">
        <v>2716</v>
      </c>
      <c r="I5750" s="151" t="s">
        <v>391</v>
      </c>
      <c r="J5750" s="151" t="s">
        <v>9070</v>
      </c>
      <c r="K5750" s="151">
        <f t="shared" si="119"/>
        <v>650000000002230</v>
      </c>
      <c r="L5750" s="151" t="s">
        <v>9025</v>
      </c>
    </row>
    <row r="5751" spans="8:12" x14ac:dyDescent="0.25">
      <c r="H5751" s="151" t="s">
        <v>2717</v>
      </c>
      <c r="I5751" s="151" t="s">
        <v>6962</v>
      </c>
      <c r="J5751" s="151" t="s">
        <v>6962</v>
      </c>
      <c r="K5751" s="151">
        <f t="shared" si="119"/>
        <v>0</v>
      </c>
      <c r="L5751" s="151" t="s">
        <v>9022</v>
      </c>
    </row>
    <row r="5752" spans="8:12" x14ac:dyDescent="0.25">
      <c r="H5752" s="151" t="s">
        <v>2717</v>
      </c>
      <c r="I5752" s="151" t="s">
        <v>391</v>
      </c>
      <c r="J5752" s="151" t="s">
        <v>9071</v>
      </c>
      <c r="K5752" s="151">
        <f t="shared" si="119"/>
        <v>650000000002231</v>
      </c>
      <c r="L5752" s="151" t="s">
        <v>9022</v>
      </c>
    </row>
    <row r="5753" spans="8:12" x14ac:dyDescent="0.25">
      <c r="H5753" s="151" t="s">
        <v>2718</v>
      </c>
      <c r="I5753" s="151" t="s">
        <v>6962</v>
      </c>
      <c r="J5753" s="151" t="s">
        <v>6962</v>
      </c>
      <c r="K5753" s="151">
        <f t="shared" si="119"/>
        <v>0</v>
      </c>
      <c r="L5753" s="151" t="s">
        <v>9024</v>
      </c>
    </row>
    <row r="5754" spans="8:12" x14ac:dyDescent="0.25">
      <c r="H5754" s="151" t="s">
        <v>2718</v>
      </c>
      <c r="I5754" s="151" t="s">
        <v>391</v>
      </c>
      <c r="J5754" s="151" t="s">
        <v>9072</v>
      </c>
      <c r="K5754" s="151">
        <f t="shared" si="119"/>
        <v>650000000002232</v>
      </c>
      <c r="L5754" s="151" t="s">
        <v>9024</v>
      </c>
    </row>
    <row r="5755" spans="8:12" x14ac:dyDescent="0.25">
      <c r="H5755" s="151" t="s">
        <v>2719</v>
      </c>
      <c r="I5755" s="151" t="s">
        <v>6962</v>
      </c>
      <c r="J5755" s="151" t="s">
        <v>6962</v>
      </c>
      <c r="K5755" s="151">
        <f t="shared" si="119"/>
        <v>0</v>
      </c>
      <c r="L5755" s="151" t="s">
        <v>9025</v>
      </c>
    </row>
    <row r="5756" spans="8:12" x14ac:dyDescent="0.25">
      <c r="H5756" s="151" t="s">
        <v>2719</v>
      </c>
      <c r="I5756" s="151" t="s">
        <v>391</v>
      </c>
      <c r="J5756" s="151" t="s">
        <v>9073</v>
      </c>
      <c r="K5756" s="151">
        <f t="shared" si="119"/>
        <v>650000000002233</v>
      </c>
      <c r="L5756" s="151" t="s">
        <v>9025</v>
      </c>
    </row>
    <row r="5757" spans="8:12" x14ac:dyDescent="0.25">
      <c r="H5757" s="151" t="s">
        <v>2720</v>
      </c>
      <c r="I5757" s="151" t="s">
        <v>6962</v>
      </c>
      <c r="J5757" s="151" t="s">
        <v>6962</v>
      </c>
      <c r="K5757" s="151">
        <f t="shared" si="119"/>
        <v>0</v>
      </c>
      <c r="L5757" s="151" t="s">
        <v>9022</v>
      </c>
    </row>
    <row r="5758" spans="8:12" x14ac:dyDescent="0.25">
      <c r="H5758" s="151" t="s">
        <v>2721</v>
      </c>
      <c r="I5758" s="151" t="s">
        <v>6962</v>
      </c>
      <c r="J5758" s="151" t="s">
        <v>6962</v>
      </c>
      <c r="K5758" s="151">
        <f t="shared" si="119"/>
        <v>0</v>
      </c>
      <c r="L5758" s="151" t="s">
        <v>9023</v>
      </c>
    </row>
    <row r="5759" spans="8:12" x14ac:dyDescent="0.25">
      <c r="H5759" s="151" t="s">
        <v>2722</v>
      </c>
      <c r="I5759" s="151" t="s">
        <v>6962</v>
      </c>
      <c r="J5759" s="151" t="s">
        <v>6962</v>
      </c>
      <c r="K5759" s="151">
        <f t="shared" si="119"/>
        <v>0</v>
      </c>
      <c r="L5759" s="151" t="s">
        <v>9022</v>
      </c>
    </row>
    <row r="5760" spans="8:12" x14ac:dyDescent="0.25">
      <c r="H5760" s="151" t="s">
        <v>2723</v>
      </c>
      <c r="I5760" s="151" t="s">
        <v>6962</v>
      </c>
      <c r="J5760" s="151" t="s">
        <v>6962</v>
      </c>
      <c r="K5760" s="151">
        <f t="shared" si="119"/>
        <v>0</v>
      </c>
      <c r="L5760" s="151" t="s">
        <v>9022</v>
      </c>
    </row>
    <row r="5761" spans="8:12" x14ac:dyDescent="0.25">
      <c r="H5761" s="151" t="s">
        <v>2724</v>
      </c>
      <c r="I5761" s="151" t="s">
        <v>6962</v>
      </c>
      <c r="J5761" s="151" t="s">
        <v>6962</v>
      </c>
      <c r="K5761" s="151">
        <f t="shared" si="119"/>
        <v>0</v>
      </c>
      <c r="L5761" s="151" t="s">
        <v>9022</v>
      </c>
    </row>
    <row r="5762" spans="8:12" x14ac:dyDescent="0.25">
      <c r="H5762" s="151" t="s">
        <v>2725</v>
      </c>
      <c r="I5762" s="151" t="s">
        <v>6962</v>
      </c>
      <c r="J5762" s="151" t="s">
        <v>6962</v>
      </c>
      <c r="K5762" s="151">
        <f t="shared" si="119"/>
        <v>0</v>
      </c>
      <c r="L5762" s="151" t="s">
        <v>9022</v>
      </c>
    </row>
    <row r="5763" spans="8:12" x14ac:dyDescent="0.25">
      <c r="H5763" s="151" t="s">
        <v>2726</v>
      </c>
      <c r="I5763" s="151" t="s">
        <v>6962</v>
      </c>
      <c r="J5763" s="151" t="s">
        <v>6962</v>
      </c>
      <c r="K5763" s="151">
        <f t="shared" ref="K5763:K5826" si="120">+IFERROR(J5763*1,0)</f>
        <v>0</v>
      </c>
      <c r="L5763" s="151" t="s">
        <v>9022</v>
      </c>
    </row>
    <row r="5764" spans="8:12" x14ac:dyDescent="0.25">
      <c r="H5764" s="151" t="s">
        <v>2727</v>
      </c>
      <c r="I5764" s="151" t="s">
        <v>6962</v>
      </c>
      <c r="J5764" s="151" t="s">
        <v>6962</v>
      </c>
      <c r="K5764" s="151">
        <f t="shared" si="120"/>
        <v>0</v>
      </c>
      <c r="L5764" s="151" t="s">
        <v>9022</v>
      </c>
    </row>
    <row r="5765" spans="8:12" x14ac:dyDescent="0.25">
      <c r="H5765" s="151" t="s">
        <v>2728</v>
      </c>
      <c r="I5765" s="151" t="s">
        <v>6962</v>
      </c>
      <c r="J5765" s="151" t="s">
        <v>6962</v>
      </c>
      <c r="K5765" s="151">
        <f t="shared" si="120"/>
        <v>0</v>
      </c>
      <c r="L5765" s="151" t="s">
        <v>9022</v>
      </c>
    </row>
    <row r="5766" spans="8:12" x14ac:dyDescent="0.25">
      <c r="H5766" s="151" t="s">
        <v>2729</v>
      </c>
      <c r="I5766" s="151" t="s">
        <v>6962</v>
      </c>
      <c r="J5766" s="151" t="s">
        <v>6962</v>
      </c>
      <c r="K5766" s="151">
        <f t="shared" si="120"/>
        <v>0</v>
      </c>
      <c r="L5766" s="151" t="s">
        <v>9022</v>
      </c>
    </row>
    <row r="5767" spans="8:12" x14ac:dyDescent="0.25">
      <c r="H5767" s="151" t="s">
        <v>2729</v>
      </c>
      <c r="I5767" s="151" t="s">
        <v>391</v>
      </c>
      <c r="J5767" s="151" t="s">
        <v>9074</v>
      </c>
      <c r="K5767" s="151">
        <f t="shared" si="120"/>
        <v>650000000002256</v>
      </c>
      <c r="L5767" s="151" t="s">
        <v>9022</v>
      </c>
    </row>
    <row r="5768" spans="8:12" x14ac:dyDescent="0.25">
      <c r="H5768" s="151" t="s">
        <v>2730</v>
      </c>
      <c r="I5768" s="151" t="s">
        <v>6962</v>
      </c>
      <c r="J5768" s="151" t="s">
        <v>6962</v>
      </c>
      <c r="K5768" s="151">
        <f t="shared" si="120"/>
        <v>0</v>
      </c>
      <c r="L5768" s="151" t="s">
        <v>9022</v>
      </c>
    </row>
    <row r="5769" spans="8:12" x14ac:dyDescent="0.25">
      <c r="H5769" s="151" t="s">
        <v>2731</v>
      </c>
      <c r="I5769" s="151" t="s">
        <v>6962</v>
      </c>
      <c r="J5769" s="151" t="s">
        <v>6962</v>
      </c>
      <c r="K5769" s="151">
        <f t="shared" si="120"/>
        <v>0</v>
      </c>
      <c r="L5769" s="151" t="s">
        <v>9022</v>
      </c>
    </row>
    <row r="5770" spans="8:12" x14ac:dyDescent="0.25">
      <c r="H5770" s="151" t="s">
        <v>2732</v>
      </c>
      <c r="I5770" s="151" t="s">
        <v>6962</v>
      </c>
      <c r="J5770" s="151" t="s">
        <v>6962</v>
      </c>
      <c r="K5770" s="151">
        <f t="shared" si="120"/>
        <v>0</v>
      </c>
      <c r="L5770" s="151" t="s">
        <v>9022</v>
      </c>
    </row>
    <row r="5771" spans="8:12" x14ac:dyDescent="0.25">
      <c r="H5771" s="151" t="s">
        <v>2733</v>
      </c>
      <c r="I5771" s="151" t="s">
        <v>6962</v>
      </c>
      <c r="J5771" s="151" t="s">
        <v>6962</v>
      </c>
      <c r="K5771" s="151">
        <f t="shared" si="120"/>
        <v>0</v>
      </c>
      <c r="L5771" s="151" t="s">
        <v>9022</v>
      </c>
    </row>
    <row r="5772" spans="8:12" x14ac:dyDescent="0.25">
      <c r="H5772" s="151" t="s">
        <v>2734</v>
      </c>
      <c r="I5772" s="151" t="s">
        <v>6962</v>
      </c>
      <c r="J5772" s="151" t="s">
        <v>6962</v>
      </c>
      <c r="K5772" s="151">
        <f t="shared" si="120"/>
        <v>0</v>
      </c>
      <c r="L5772" s="151" t="s">
        <v>9022</v>
      </c>
    </row>
    <row r="5773" spans="8:12" x14ac:dyDescent="0.25">
      <c r="H5773" s="151" t="s">
        <v>2735</v>
      </c>
      <c r="I5773" s="151" t="s">
        <v>6962</v>
      </c>
      <c r="J5773" s="151" t="s">
        <v>6962</v>
      </c>
      <c r="K5773" s="151">
        <f t="shared" si="120"/>
        <v>0</v>
      </c>
      <c r="L5773" s="151" t="s">
        <v>9022</v>
      </c>
    </row>
    <row r="5774" spans="8:12" x14ac:dyDescent="0.25">
      <c r="H5774" s="151" t="s">
        <v>2736</v>
      </c>
      <c r="I5774" s="151" t="s">
        <v>6962</v>
      </c>
      <c r="J5774" s="151" t="s">
        <v>6962</v>
      </c>
      <c r="K5774" s="151">
        <f t="shared" si="120"/>
        <v>0</v>
      </c>
      <c r="L5774" s="151" t="s">
        <v>9022</v>
      </c>
    </row>
    <row r="5775" spans="8:12" x14ac:dyDescent="0.25">
      <c r="H5775" s="151" t="s">
        <v>2737</v>
      </c>
      <c r="I5775" s="151" t="s">
        <v>6962</v>
      </c>
      <c r="J5775" s="151" t="s">
        <v>6962</v>
      </c>
      <c r="K5775" s="151">
        <f t="shared" si="120"/>
        <v>0</v>
      </c>
      <c r="L5775" s="151" t="s">
        <v>9022</v>
      </c>
    </row>
    <row r="5776" spans="8:12" x14ac:dyDescent="0.25">
      <c r="H5776" s="151" t="s">
        <v>2738</v>
      </c>
      <c r="I5776" s="151" t="s">
        <v>6962</v>
      </c>
      <c r="J5776" s="151" t="s">
        <v>6962</v>
      </c>
      <c r="K5776" s="151">
        <f t="shared" si="120"/>
        <v>0</v>
      </c>
      <c r="L5776" s="151" t="s">
        <v>9022</v>
      </c>
    </row>
    <row r="5777" spans="8:12" x14ac:dyDescent="0.25">
      <c r="H5777" s="151" t="s">
        <v>2739</v>
      </c>
      <c r="I5777" s="151" t="s">
        <v>6962</v>
      </c>
      <c r="J5777" s="151" t="s">
        <v>6962</v>
      </c>
      <c r="K5777" s="151">
        <f t="shared" si="120"/>
        <v>0</v>
      </c>
      <c r="L5777" s="151" t="s">
        <v>9022</v>
      </c>
    </row>
    <row r="5778" spans="8:12" x14ac:dyDescent="0.25">
      <c r="H5778" s="151" t="s">
        <v>2740</v>
      </c>
      <c r="I5778" s="151" t="s">
        <v>6962</v>
      </c>
      <c r="J5778" s="151" t="s">
        <v>6962</v>
      </c>
      <c r="K5778" s="151">
        <f t="shared" si="120"/>
        <v>0</v>
      </c>
      <c r="L5778" s="151" t="s">
        <v>9022</v>
      </c>
    </row>
    <row r="5779" spans="8:12" x14ac:dyDescent="0.25">
      <c r="H5779" s="151" t="s">
        <v>2741</v>
      </c>
      <c r="I5779" s="151" t="s">
        <v>6962</v>
      </c>
      <c r="J5779" s="151" t="s">
        <v>6962</v>
      </c>
      <c r="K5779" s="151">
        <f t="shared" si="120"/>
        <v>0</v>
      </c>
      <c r="L5779" s="151" t="s">
        <v>9022</v>
      </c>
    </row>
    <row r="5780" spans="8:12" x14ac:dyDescent="0.25">
      <c r="H5780" s="151" t="s">
        <v>2742</v>
      </c>
      <c r="I5780" s="151" t="s">
        <v>6962</v>
      </c>
      <c r="J5780" s="151" t="s">
        <v>6962</v>
      </c>
      <c r="K5780" s="151">
        <f t="shared" si="120"/>
        <v>0</v>
      </c>
      <c r="L5780" s="151" t="s">
        <v>9022</v>
      </c>
    </row>
    <row r="5781" spans="8:12" x14ac:dyDescent="0.25">
      <c r="H5781" s="151" t="s">
        <v>2743</v>
      </c>
      <c r="I5781" s="151" t="s">
        <v>6962</v>
      </c>
      <c r="J5781" s="151" t="s">
        <v>6962</v>
      </c>
      <c r="K5781" s="151">
        <f t="shared" si="120"/>
        <v>0</v>
      </c>
      <c r="L5781" s="151" t="s">
        <v>9022</v>
      </c>
    </row>
    <row r="5782" spans="8:12" x14ac:dyDescent="0.25">
      <c r="H5782" s="151" t="s">
        <v>2744</v>
      </c>
      <c r="I5782" s="151" t="s">
        <v>6962</v>
      </c>
      <c r="J5782" s="151" t="s">
        <v>6962</v>
      </c>
      <c r="K5782" s="151">
        <f t="shared" si="120"/>
        <v>0</v>
      </c>
      <c r="L5782" s="151" t="s">
        <v>9022</v>
      </c>
    </row>
    <row r="5783" spans="8:12" x14ac:dyDescent="0.25">
      <c r="H5783" s="151" t="s">
        <v>2744</v>
      </c>
      <c r="I5783" s="151" t="s">
        <v>391</v>
      </c>
      <c r="J5783" s="151" t="s">
        <v>9075</v>
      </c>
      <c r="K5783" s="151">
        <f t="shared" si="120"/>
        <v>650000000002266</v>
      </c>
      <c r="L5783" s="151" t="s">
        <v>9022</v>
      </c>
    </row>
    <row r="5784" spans="8:12" x14ac:dyDescent="0.25">
      <c r="H5784" s="151" t="s">
        <v>2745</v>
      </c>
      <c r="I5784" s="151" t="s">
        <v>6962</v>
      </c>
      <c r="J5784" s="151" t="s">
        <v>6962</v>
      </c>
      <c r="K5784" s="151">
        <f t="shared" si="120"/>
        <v>0</v>
      </c>
      <c r="L5784" s="151" t="s">
        <v>9022</v>
      </c>
    </row>
    <row r="5785" spans="8:12" x14ac:dyDescent="0.25">
      <c r="H5785" s="151" t="s">
        <v>2746</v>
      </c>
      <c r="I5785" s="151" t="s">
        <v>6962</v>
      </c>
      <c r="J5785" s="151" t="s">
        <v>6962</v>
      </c>
      <c r="K5785" s="151">
        <f t="shared" si="120"/>
        <v>0</v>
      </c>
      <c r="L5785" s="151" t="s">
        <v>9022</v>
      </c>
    </row>
    <row r="5786" spans="8:12" x14ac:dyDescent="0.25">
      <c r="H5786" s="151" t="s">
        <v>2747</v>
      </c>
      <c r="I5786" s="151" t="s">
        <v>6962</v>
      </c>
      <c r="J5786" s="151" t="s">
        <v>6962</v>
      </c>
      <c r="K5786" s="151">
        <f t="shared" si="120"/>
        <v>0</v>
      </c>
      <c r="L5786" s="151" t="s">
        <v>9022</v>
      </c>
    </row>
    <row r="5787" spans="8:12" x14ac:dyDescent="0.25">
      <c r="H5787" s="151" t="s">
        <v>2748</v>
      </c>
      <c r="I5787" s="151" t="s">
        <v>6962</v>
      </c>
      <c r="J5787" s="151" t="s">
        <v>6962</v>
      </c>
      <c r="K5787" s="151">
        <f t="shared" si="120"/>
        <v>0</v>
      </c>
      <c r="L5787" s="151" t="s">
        <v>9022</v>
      </c>
    </row>
    <row r="5788" spans="8:12" x14ac:dyDescent="0.25">
      <c r="H5788" s="151" t="s">
        <v>2749</v>
      </c>
      <c r="I5788" s="151" t="s">
        <v>6962</v>
      </c>
      <c r="J5788" s="151" t="s">
        <v>6962</v>
      </c>
      <c r="K5788" s="151">
        <f t="shared" si="120"/>
        <v>0</v>
      </c>
      <c r="L5788" s="151" t="s">
        <v>9022</v>
      </c>
    </row>
    <row r="5789" spans="8:12" x14ac:dyDescent="0.25">
      <c r="H5789" s="151" t="s">
        <v>2750</v>
      </c>
      <c r="I5789" s="151" t="s">
        <v>6962</v>
      </c>
      <c r="J5789" s="151" t="s">
        <v>6962</v>
      </c>
      <c r="K5789" s="151">
        <f t="shared" si="120"/>
        <v>0</v>
      </c>
      <c r="L5789" s="151" t="s">
        <v>9022</v>
      </c>
    </row>
    <row r="5790" spans="8:12" x14ac:dyDescent="0.25">
      <c r="H5790" s="151" t="s">
        <v>2751</v>
      </c>
      <c r="I5790" s="151" t="s">
        <v>6962</v>
      </c>
      <c r="J5790" s="151" t="s">
        <v>6962</v>
      </c>
      <c r="K5790" s="151">
        <f t="shared" si="120"/>
        <v>0</v>
      </c>
      <c r="L5790" s="151" t="s">
        <v>9022</v>
      </c>
    </row>
    <row r="5791" spans="8:12" x14ac:dyDescent="0.25">
      <c r="H5791" s="151" t="s">
        <v>2752</v>
      </c>
      <c r="I5791" s="151" t="s">
        <v>6962</v>
      </c>
      <c r="J5791" s="151" t="s">
        <v>6962</v>
      </c>
      <c r="K5791" s="151">
        <f t="shared" si="120"/>
        <v>0</v>
      </c>
      <c r="L5791" s="151" t="s">
        <v>9022</v>
      </c>
    </row>
    <row r="5792" spans="8:12" x14ac:dyDescent="0.25">
      <c r="H5792" s="151" t="s">
        <v>2753</v>
      </c>
      <c r="I5792" s="151" t="s">
        <v>6962</v>
      </c>
      <c r="J5792" s="151" t="s">
        <v>6962</v>
      </c>
      <c r="K5792" s="151">
        <f t="shared" si="120"/>
        <v>0</v>
      </c>
      <c r="L5792" s="151" t="s">
        <v>9022</v>
      </c>
    </row>
    <row r="5793" spans="8:12" x14ac:dyDescent="0.25">
      <c r="H5793" s="151" t="s">
        <v>2754</v>
      </c>
      <c r="I5793" s="151" t="s">
        <v>6962</v>
      </c>
      <c r="J5793" s="151" t="s">
        <v>6962</v>
      </c>
      <c r="K5793" s="151">
        <f t="shared" si="120"/>
        <v>0</v>
      </c>
      <c r="L5793" s="151" t="s">
        <v>9022</v>
      </c>
    </row>
    <row r="5794" spans="8:12" x14ac:dyDescent="0.25">
      <c r="H5794" s="151" t="s">
        <v>2755</v>
      </c>
      <c r="I5794" s="151" t="s">
        <v>6962</v>
      </c>
      <c r="J5794" s="151" t="s">
        <v>6962</v>
      </c>
      <c r="K5794" s="151">
        <f t="shared" si="120"/>
        <v>0</v>
      </c>
      <c r="L5794" s="151" t="s">
        <v>9022</v>
      </c>
    </row>
    <row r="5795" spans="8:12" x14ac:dyDescent="0.25">
      <c r="H5795" s="151" t="s">
        <v>2756</v>
      </c>
      <c r="I5795" s="151" t="s">
        <v>6962</v>
      </c>
      <c r="J5795" s="151" t="s">
        <v>6962</v>
      </c>
      <c r="K5795" s="151">
        <f t="shared" si="120"/>
        <v>0</v>
      </c>
      <c r="L5795" s="151" t="s">
        <v>9022</v>
      </c>
    </row>
    <row r="5796" spans="8:12" x14ac:dyDescent="0.25">
      <c r="H5796" s="151" t="s">
        <v>2757</v>
      </c>
      <c r="I5796" s="151" t="s">
        <v>6962</v>
      </c>
      <c r="J5796" s="151" t="s">
        <v>6962</v>
      </c>
      <c r="K5796" s="151">
        <f t="shared" si="120"/>
        <v>0</v>
      </c>
      <c r="L5796" s="151" t="s">
        <v>9022</v>
      </c>
    </row>
    <row r="5797" spans="8:12" x14ac:dyDescent="0.25">
      <c r="H5797" s="151" t="s">
        <v>2758</v>
      </c>
      <c r="I5797" s="151" t="s">
        <v>6962</v>
      </c>
      <c r="J5797" s="151" t="s">
        <v>6962</v>
      </c>
      <c r="K5797" s="151">
        <f t="shared" si="120"/>
        <v>0</v>
      </c>
      <c r="L5797" s="151" t="s">
        <v>9022</v>
      </c>
    </row>
    <row r="5798" spans="8:12" x14ac:dyDescent="0.25">
      <c r="H5798" s="151" t="s">
        <v>2759</v>
      </c>
      <c r="I5798" s="151" t="s">
        <v>6962</v>
      </c>
      <c r="J5798" s="151" t="s">
        <v>6962</v>
      </c>
      <c r="K5798" s="151">
        <f t="shared" si="120"/>
        <v>0</v>
      </c>
      <c r="L5798" s="151" t="s">
        <v>9022</v>
      </c>
    </row>
    <row r="5799" spans="8:12" x14ac:dyDescent="0.25">
      <c r="H5799" s="151" t="s">
        <v>2760</v>
      </c>
      <c r="I5799" s="151" t="s">
        <v>6962</v>
      </c>
      <c r="J5799" s="151" t="s">
        <v>6962</v>
      </c>
      <c r="K5799" s="151">
        <f t="shared" si="120"/>
        <v>0</v>
      </c>
      <c r="L5799" s="151" t="s">
        <v>9022</v>
      </c>
    </row>
    <row r="5800" spans="8:12" x14ac:dyDescent="0.25">
      <c r="H5800" s="151" t="s">
        <v>2761</v>
      </c>
      <c r="I5800" s="151" t="s">
        <v>6962</v>
      </c>
      <c r="J5800" s="151" t="s">
        <v>6962</v>
      </c>
      <c r="K5800" s="151">
        <f t="shared" si="120"/>
        <v>0</v>
      </c>
      <c r="L5800" s="151" t="s">
        <v>9022</v>
      </c>
    </row>
    <row r="5801" spans="8:12" x14ac:dyDescent="0.25">
      <c r="H5801" s="151" t="s">
        <v>2762</v>
      </c>
      <c r="I5801" s="151" t="s">
        <v>6962</v>
      </c>
      <c r="J5801" s="151" t="s">
        <v>6962</v>
      </c>
      <c r="K5801" s="151">
        <f t="shared" si="120"/>
        <v>0</v>
      </c>
      <c r="L5801" s="151" t="s">
        <v>9022</v>
      </c>
    </row>
    <row r="5802" spans="8:12" x14ac:dyDescent="0.25">
      <c r="H5802" s="151" t="s">
        <v>2763</v>
      </c>
      <c r="I5802" s="151" t="s">
        <v>6962</v>
      </c>
      <c r="J5802" s="151" t="s">
        <v>6962</v>
      </c>
      <c r="K5802" s="151">
        <f t="shared" si="120"/>
        <v>0</v>
      </c>
      <c r="L5802" s="151" t="s">
        <v>9022</v>
      </c>
    </row>
    <row r="5803" spans="8:12" x14ac:dyDescent="0.25">
      <c r="H5803" s="151" t="s">
        <v>2764</v>
      </c>
      <c r="I5803" s="151" t="s">
        <v>6962</v>
      </c>
      <c r="J5803" s="151" t="s">
        <v>6962</v>
      </c>
      <c r="K5803" s="151">
        <f t="shared" si="120"/>
        <v>0</v>
      </c>
      <c r="L5803" s="151" t="s">
        <v>9022</v>
      </c>
    </row>
    <row r="5804" spans="8:12" x14ac:dyDescent="0.25">
      <c r="H5804" s="151" t="s">
        <v>2765</v>
      </c>
      <c r="I5804" s="151" t="s">
        <v>6962</v>
      </c>
      <c r="J5804" s="151" t="s">
        <v>6962</v>
      </c>
      <c r="K5804" s="151">
        <f t="shared" si="120"/>
        <v>0</v>
      </c>
      <c r="L5804" s="151" t="s">
        <v>9022</v>
      </c>
    </row>
    <row r="5805" spans="8:12" x14ac:dyDescent="0.25">
      <c r="H5805" s="151" t="s">
        <v>2766</v>
      </c>
      <c r="I5805" s="151" t="s">
        <v>6962</v>
      </c>
      <c r="J5805" s="151" t="s">
        <v>6962</v>
      </c>
      <c r="K5805" s="151">
        <f t="shared" si="120"/>
        <v>0</v>
      </c>
      <c r="L5805" s="151" t="s">
        <v>9022</v>
      </c>
    </row>
    <row r="5806" spans="8:12" x14ac:dyDescent="0.25">
      <c r="H5806" s="151" t="s">
        <v>2767</v>
      </c>
      <c r="I5806" s="151" t="s">
        <v>6962</v>
      </c>
      <c r="J5806" s="151" t="s">
        <v>6962</v>
      </c>
      <c r="K5806" s="151">
        <f t="shared" si="120"/>
        <v>0</v>
      </c>
      <c r="L5806" s="151" t="s">
        <v>9022</v>
      </c>
    </row>
    <row r="5807" spans="8:12" x14ac:dyDescent="0.25">
      <c r="H5807" s="151" t="s">
        <v>2768</v>
      </c>
      <c r="I5807" s="151" t="s">
        <v>6962</v>
      </c>
      <c r="J5807" s="151" t="s">
        <v>6962</v>
      </c>
      <c r="K5807" s="151">
        <f t="shared" si="120"/>
        <v>0</v>
      </c>
      <c r="L5807" s="151" t="s">
        <v>9022</v>
      </c>
    </row>
    <row r="5808" spans="8:12" x14ac:dyDescent="0.25">
      <c r="H5808" s="151" t="s">
        <v>2769</v>
      </c>
      <c r="I5808" s="151" t="s">
        <v>6962</v>
      </c>
      <c r="J5808" s="151" t="s">
        <v>6962</v>
      </c>
      <c r="K5808" s="151">
        <f t="shared" si="120"/>
        <v>0</v>
      </c>
      <c r="L5808" s="151" t="s">
        <v>9022</v>
      </c>
    </row>
    <row r="5809" spans="8:12" x14ac:dyDescent="0.25">
      <c r="H5809" s="151" t="s">
        <v>2770</v>
      </c>
      <c r="I5809" s="151" t="s">
        <v>6962</v>
      </c>
      <c r="J5809" s="151" t="s">
        <v>6962</v>
      </c>
      <c r="K5809" s="151">
        <f t="shared" si="120"/>
        <v>0</v>
      </c>
      <c r="L5809" s="151" t="s">
        <v>9022</v>
      </c>
    </row>
    <row r="5810" spans="8:12" x14ac:dyDescent="0.25">
      <c r="H5810" s="151" t="s">
        <v>2771</v>
      </c>
      <c r="I5810" s="151" t="s">
        <v>6962</v>
      </c>
      <c r="J5810" s="151" t="s">
        <v>6962</v>
      </c>
      <c r="K5810" s="151">
        <f t="shared" si="120"/>
        <v>0</v>
      </c>
      <c r="L5810" s="151" t="s">
        <v>9022</v>
      </c>
    </row>
    <row r="5811" spans="8:12" x14ac:dyDescent="0.25">
      <c r="H5811" s="151" t="s">
        <v>2772</v>
      </c>
      <c r="I5811" s="151" t="s">
        <v>6962</v>
      </c>
      <c r="J5811" s="151" t="s">
        <v>6962</v>
      </c>
      <c r="K5811" s="151">
        <f t="shared" si="120"/>
        <v>0</v>
      </c>
      <c r="L5811" s="151" t="s">
        <v>9022</v>
      </c>
    </row>
    <row r="5812" spans="8:12" x14ac:dyDescent="0.25">
      <c r="H5812" s="151" t="s">
        <v>2773</v>
      </c>
      <c r="I5812" s="151" t="s">
        <v>6962</v>
      </c>
      <c r="J5812" s="151" t="s">
        <v>6962</v>
      </c>
      <c r="K5812" s="151">
        <f t="shared" si="120"/>
        <v>0</v>
      </c>
      <c r="L5812" s="151" t="s">
        <v>9022</v>
      </c>
    </row>
    <row r="5813" spans="8:12" x14ac:dyDescent="0.25">
      <c r="H5813" s="151" t="s">
        <v>2774</v>
      </c>
      <c r="I5813" s="151" t="s">
        <v>6962</v>
      </c>
      <c r="J5813" s="151" t="s">
        <v>6962</v>
      </c>
      <c r="K5813" s="151">
        <f t="shared" si="120"/>
        <v>0</v>
      </c>
      <c r="L5813" s="151" t="s">
        <v>9022</v>
      </c>
    </row>
    <row r="5814" spans="8:12" x14ac:dyDescent="0.25">
      <c r="H5814" s="151" t="s">
        <v>2775</v>
      </c>
      <c r="I5814" s="151" t="s">
        <v>6962</v>
      </c>
      <c r="J5814" s="151" t="s">
        <v>6962</v>
      </c>
      <c r="K5814" s="151">
        <f t="shared" si="120"/>
        <v>0</v>
      </c>
      <c r="L5814" s="151" t="s">
        <v>9022</v>
      </c>
    </row>
    <row r="5815" spans="8:12" x14ac:dyDescent="0.25">
      <c r="H5815" s="151" t="s">
        <v>2776</v>
      </c>
      <c r="I5815" s="151" t="s">
        <v>6962</v>
      </c>
      <c r="J5815" s="151" t="s">
        <v>6962</v>
      </c>
      <c r="K5815" s="151">
        <f t="shared" si="120"/>
        <v>0</v>
      </c>
      <c r="L5815" s="151" t="s">
        <v>9022</v>
      </c>
    </row>
    <row r="5816" spans="8:12" x14ac:dyDescent="0.25">
      <c r="H5816" s="151" t="s">
        <v>2777</v>
      </c>
      <c r="I5816" s="151" t="s">
        <v>6962</v>
      </c>
      <c r="J5816" s="151" t="s">
        <v>6962</v>
      </c>
      <c r="K5816" s="151">
        <f t="shared" si="120"/>
        <v>0</v>
      </c>
      <c r="L5816" s="151" t="s">
        <v>9022</v>
      </c>
    </row>
    <row r="5817" spans="8:12" x14ac:dyDescent="0.25">
      <c r="H5817" s="151" t="s">
        <v>2778</v>
      </c>
      <c r="I5817" s="151" t="s">
        <v>6962</v>
      </c>
      <c r="J5817" s="151" t="s">
        <v>6962</v>
      </c>
      <c r="K5817" s="151">
        <f t="shared" si="120"/>
        <v>0</v>
      </c>
      <c r="L5817" s="151" t="s">
        <v>9022</v>
      </c>
    </row>
    <row r="5818" spans="8:12" x14ac:dyDescent="0.25">
      <c r="H5818" s="151" t="s">
        <v>2779</v>
      </c>
      <c r="I5818" s="151" t="s">
        <v>6962</v>
      </c>
      <c r="J5818" s="151" t="s">
        <v>6962</v>
      </c>
      <c r="K5818" s="151">
        <f t="shared" si="120"/>
        <v>0</v>
      </c>
      <c r="L5818" s="151" t="s">
        <v>9022</v>
      </c>
    </row>
    <row r="5819" spans="8:12" x14ac:dyDescent="0.25">
      <c r="H5819" s="151" t="s">
        <v>2780</v>
      </c>
      <c r="I5819" s="151" t="s">
        <v>6962</v>
      </c>
      <c r="J5819" s="151" t="s">
        <v>6962</v>
      </c>
      <c r="K5819" s="151">
        <f t="shared" si="120"/>
        <v>0</v>
      </c>
      <c r="L5819" s="151" t="s">
        <v>9022</v>
      </c>
    </row>
    <row r="5820" spans="8:12" x14ac:dyDescent="0.25">
      <c r="H5820" s="151" t="s">
        <v>2781</v>
      </c>
      <c r="I5820" s="151" t="s">
        <v>6962</v>
      </c>
      <c r="J5820" s="151" t="s">
        <v>6962</v>
      </c>
      <c r="K5820" s="151">
        <f t="shared" si="120"/>
        <v>0</v>
      </c>
      <c r="L5820" s="151" t="s">
        <v>9022</v>
      </c>
    </row>
    <row r="5821" spans="8:12" x14ac:dyDescent="0.25">
      <c r="H5821" s="151" t="s">
        <v>2782</v>
      </c>
      <c r="I5821" s="151" t="s">
        <v>6962</v>
      </c>
      <c r="J5821" s="151" t="s">
        <v>6962</v>
      </c>
      <c r="K5821" s="151">
        <f t="shared" si="120"/>
        <v>0</v>
      </c>
      <c r="L5821" s="151" t="s">
        <v>9022</v>
      </c>
    </row>
    <row r="5822" spans="8:12" x14ac:dyDescent="0.25">
      <c r="H5822" s="151" t="s">
        <v>2783</v>
      </c>
      <c r="I5822" s="151" t="s">
        <v>6962</v>
      </c>
      <c r="J5822" s="151" t="s">
        <v>6962</v>
      </c>
      <c r="K5822" s="151">
        <f t="shared" si="120"/>
        <v>0</v>
      </c>
      <c r="L5822" s="151" t="s">
        <v>9022</v>
      </c>
    </row>
    <row r="5823" spans="8:12" x14ac:dyDescent="0.25">
      <c r="H5823" s="151" t="s">
        <v>2784</v>
      </c>
      <c r="I5823" s="151" t="s">
        <v>6962</v>
      </c>
      <c r="J5823" s="151" t="s">
        <v>6962</v>
      </c>
      <c r="K5823" s="151">
        <f t="shared" si="120"/>
        <v>0</v>
      </c>
      <c r="L5823" s="151" t="s">
        <v>9022</v>
      </c>
    </row>
    <row r="5824" spans="8:12" x14ac:dyDescent="0.25">
      <c r="H5824" s="151" t="s">
        <v>2785</v>
      </c>
      <c r="I5824" s="151" t="s">
        <v>6962</v>
      </c>
      <c r="J5824" s="151" t="s">
        <v>6962</v>
      </c>
      <c r="K5824" s="151">
        <f t="shared" si="120"/>
        <v>0</v>
      </c>
      <c r="L5824" s="151" t="s">
        <v>9022</v>
      </c>
    </row>
    <row r="5825" spans="8:12" x14ac:dyDescent="0.25">
      <c r="H5825" s="151" t="s">
        <v>2786</v>
      </c>
      <c r="I5825" s="151" t="s">
        <v>6962</v>
      </c>
      <c r="J5825" s="151" t="s">
        <v>6962</v>
      </c>
      <c r="K5825" s="151">
        <f t="shared" si="120"/>
        <v>0</v>
      </c>
      <c r="L5825" s="151" t="s">
        <v>9022</v>
      </c>
    </row>
    <row r="5826" spans="8:12" x14ac:dyDescent="0.25">
      <c r="H5826" s="151" t="s">
        <v>2787</v>
      </c>
      <c r="I5826" s="151" t="s">
        <v>6962</v>
      </c>
      <c r="J5826" s="151" t="s">
        <v>6962</v>
      </c>
      <c r="K5826" s="151">
        <f t="shared" si="120"/>
        <v>0</v>
      </c>
      <c r="L5826" s="151" t="s">
        <v>9022</v>
      </c>
    </row>
    <row r="5827" spans="8:12" x14ac:dyDescent="0.25">
      <c r="H5827" s="151" t="s">
        <v>2788</v>
      </c>
      <c r="I5827" s="151" t="s">
        <v>6962</v>
      </c>
      <c r="J5827" s="151" t="s">
        <v>6962</v>
      </c>
      <c r="K5827" s="151">
        <f t="shared" ref="K5827:K5890" si="121">+IFERROR(J5827*1,0)</f>
        <v>0</v>
      </c>
      <c r="L5827" s="151" t="s">
        <v>9022</v>
      </c>
    </row>
    <row r="5828" spans="8:12" x14ac:dyDescent="0.25">
      <c r="H5828" s="151" t="s">
        <v>2789</v>
      </c>
      <c r="I5828" s="151" t="s">
        <v>6962</v>
      </c>
      <c r="J5828" s="151" t="s">
        <v>6962</v>
      </c>
      <c r="K5828" s="151">
        <f t="shared" si="121"/>
        <v>0</v>
      </c>
      <c r="L5828" s="151" t="s">
        <v>9022</v>
      </c>
    </row>
    <row r="5829" spans="8:12" x14ac:dyDescent="0.25">
      <c r="H5829" s="151" t="s">
        <v>2790</v>
      </c>
      <c r="I5829" s="151" t="s">
        <v>6962</v>
      </c>
      <c r="J5829" s="151" t="s">
        <v>6962</v>
      </c>
      <c r="K5829" s="151">
        <f t="shared" si="121"/>
        <v>0</v>
      </c>
      <c r="L5829" s="151" t="s">
        <v>9022</v>
      </c>
    </row>
    <row r="5830" spans="8:12" x14ac:dyDescent="0.25">
      <c r="H5830" s="151" t="s">
        <v>2791</v>
      </c>
      <c r="I5830" s="151" t="s">
        <v>6962</v>
      </c>
      <c r="J5830" s="151" t="s">
        <v>6962</v>
      </c>
      <c r="K5830" s="151">
        <f t="shared" si="121"/>
        <v>0</v>
      </c>
      <c r="L5830" s="151" t="s">
        <v>9022</v>
      </c>
    </row>
    <row r="5831" spans="8:12" x14ac:dyDescent="0.25">
      <c r="H5831" s="151" t="s">
        <v>2792</v>
      </c>
      <c r="I5831" s="151" t="s">
        <v>6962</v>
      </c>
      <c r="J5831" s="151" t="s">
        <v>6962</v>
      </c>
      <c r="K5831" s="151">
        <f t="shared" si="121"/>
        <v>0</v>
      </c>
      <c r="L5831" s="151" t="s">
        <v>9022</v>
      </c>
    </row>
    <row r="5832" spans="8:12" x14ac:dyDescent="0.25">
      <c r="H5832" s="151" t="s">
        <v>2793</v>
      </c>
      <c r="I5832" s="151" t="s">
        <v>6962</v>
      </c>
      <c r="J5832" s="151" t="s">
        <v>6962</v>
      </c>
      <c r="K5832" s="151">
        <f t="shared" si="121"/>
        <v>0</v>
      </c>
      <c r="L5832" s="151" t="s">
        <v>9022</v>
      </c>
    </row>
    <row r="5833" spans="8:12" x14ac:dyDescent="0.25">
      <c r="H5833" s="151" t="s">
        <v>2794</v>
      </c>
      <c r="I5833" s="151" t="s">
        <v>6962</v>
      </c>
      <c r="J5833" s="151" t="s">
        <v>6962</v>
      </c>
      <c r="K5833" s="151">
        <f t="shared" si="121"/>
        <v>0</v>
      </c>
      <c r="L5833" s="151" t="s">
        <v>9023</v>
      </c>
    </row>
    <row r="5834" spans="8:12" x14ac:dyDescent="0.25">
      <c r="H5834" s="151" t="s">
        <v>2795</v>
      </c>
      <c r="I5834" s="151" t="s">
        <v>6962</v>
      </c>
      <c r="J5834" s="151" t="s">
        <v>6962</v>
      </c>
      <c r="K5834" s="151">
        <f t="shared" si="121"/>
        <v>0</v>
      </c>
      <c r="L5834" s="151" t="s">
        <v>9022</v>
      </c>
    </row>
    <row r="5835" spans="8:12" x14ac:dyDescent="0.25">
      <c r="H5835" s="151" t="s">
        <v>2795</v>
      </c>
      <c r="I5835" s="151" t="s">
        <v>391</v>
      </c>
      <c r="J5835" s="151" t="s">
        <v>9076</v>
      </c>
      <c r="K5835" s="151">
        <f t="shared" si="121"/>
        <v>650000000002251</v>
      </c>
      <c r="L5835" s="151" t="s">
        <v>9022</v>
      </c>
    </row>
    <row r="5836" spans="8:12" x14ac:dyDescent="0.25">
      <c r="H5836" s="151" t="s">
        <v>2796</v>
      </c>
      <c r="I5836" s="151" t="s">
        <v>6962</v>
      </c>
      <c r="J5836" s="151" t="s">
        <v>6962</v>
      </c>
      <c r="K5836" s="151">
        <f t="shared" si="121"/>
        <v>0</v>
      </c>
      <c r="L5836" s="151" t="s">
        <v>9022</v>
      </c>
    </row>
    <row r="5837" spans="8:12" x14ac:dyDescent="0.25">
      <c r="H5837" s="151" t="s">
        <v>2796</v>
      </c>
      <c r="I5837" s="151" t="s">
        <v>391</v>
      </c>
      <c r="J5837" s="151" t="s">
        <v>9077</v>
      </c>
      <c r="K5837" s="151">
        <f t="shared" si="121"/>
        <v>650000000002252</v>
      </c>
      <c r="L5837" s="151" t="s">
        <v>9022</v>
      </c>
    </row>
    <row r="5838" spans="8:12" x14ac:dyDescent="0.25">
      <c r="H5838" s="151" t="s">
        <v>2797</v>
      </c>
      <c r="I5838" s="151" t="s">
        <v>6962</v>
      </c>
      <c r="J5838" s="151" t="s">
        <v>6962</v>
      </c>
      <c r="K5838" s="151">
        <f t="shared" si="121"/>
        <v>0</v>
      </c>
      <c r="L5838" s="151" t="s">
        <v>9023</v>
      </c>
    </row>
    <row r="5839" spans="8:12" x14ac:dyDescent="0.25">
      <c r="H5839" s="151" t="s">
        <v>2797</v>
      </c>
      <c r="I5839" s="151" t="s">
        <v>6962</v>
      </c>
      <c r="J5839" s="151" t="s">
        <v>9078</v>
      </c>
      <c r="K5839" s="151">
        <f t="shared" si="121"/>
        <v>650000000002222</v>
      </c>
      <c r="L5839" s="151" t="s">
        <v>9023</v>
      </c>
    </row>
    <row r="5840" spans="8:12" x14ac:dyDescent="0.25">
      <c r="H5840" s="151" t="s">
        <v>2798</v>
      </c>
      <c r="I5840" s="151" t="s">
        <v>6962</v>
      </c>
      <c r="J5840" s="151" t="s">
        <v>6962</v>
      </c>
      <c r="K5840" s="151">
        <f t="shared" si="121"/>
        <v>0</v>
      </c>
      <c r="L5840" s="151" t="s">
        <v>9022</v>
      </c>
    </row>
    <row r="5841" spans="8:12" x14ac:dyDescent="0.25">
      <c r="H5841" s="151" t="s">
        <v>2799</v>
      </c>
      <c r="I5841" s="151" t="s">
        <v>6962</v>
      </c>
      <c r="J5841" s="151" t="s">
        <v>6962</v>
      </c>
      <c r="K5841" s="151">
        <f t="shared" si="121"/>
        <v>0</v>
      </c>
      <c r="L5841" s="151" t="s">
        <v>9022</v>
      </c>
    </row>
    <row r="5842" spans="8:12" x14ac:dyDescent="0.25">
      <c r="H5842" s="151" t="s">
        <v>2800</v>
      </c>
      <c r="I5842" s="151" t="s">
        <v>6962</v>
      </c>
      <c r="J5842" s="151" t="s">
        <v>6962</v>
      </c>
      <c r="K5842" s="151">
        <f t="shared" si="121"/>
        <v>0</v>
      </c>
      <c r="L5842" s="151" t="s">
        <v>9022</v>
      </c>
    </row>
    <row r="5843" spans="8:12" x14ac:dyDescent="0.25">
      <c r="H5843" s="151" t="s">
        <v>2801</v>
      </c>
      <c r="I5843" s="151" t="s">
        <v>6962</v>
      </c>
      <c r="J5843" s="151" t="s">
        <v>6962</v>
      </c>
      <c r="K5843" s="151">
        <f t="shared" si="121"/>
        <v>0</v>
      </c>
      <c r="L5843" s="151" t="s">
        <v>9022</v>
      </c>
    </row>
    <row r="5844" spans="8:12" x14ac:dyDescent="0.25">
      <c r="H5844" s="151" t="s">
        <v>2802</v>
      </c>
      <c r="I5844" s="151" t="s">
        <v>6962</v>
      </c>
      <c r="J5844" s="151" t="s">
        <v>6962</v>
      </c>
      <c r="K5844" s="151">
        <f t="shared" si="121"/>
        <v>0</v>
      </c>
      <c r="L5844" s="151" t="s">
        <v>9022</v>
      </c>
    </row>
    <row r="5845" spans="8:12" x14ac:dyDescent="0.25">
      <c r="H5845" s="151" t="s">
        <v>2803</v>
      </c>
      <c r="I5845" s="151" t="s">
        <v>6962</v>
      </c>
      <c r="J5845" s="151" t="s">
        <v>6962</v>
      </c>
      <c r="K5845" s="151">
        <f t="shared" si="121"/>
        <v>0</v>
      </c>
      <c r="L5845" s="151" t="s">
        <v>9022</v>
      </c>
    </row>
    <row r="5846" spans="8:12" x14ac:dyDescent="0.25">
      <c r="H5846" s="151" t="s">
        <v>2804</v>
      </c>
      <c r="I5846" s="151" t="s">
        <v>6962</v>
      </c>
      <c r="J5846" s="151" t="s">
        <v>6962</v>
      </c>
      <c r="K5846" s="151">
        <f t="shared" si="121"/>
        <v>0</v>
      </c>
      <c r="L5846" s="151" t="s">
        <v>9022</v>
      </c>
    </row>
    <row r="5847" spans="8:12" x14ac:dyDescent="0.25">
      <c r="H5847" s="151" t="s">
        <v>2805</v>
      </c>
      <c r="I5847" s="151" t="s">
        <v>6962</v>
      </c>
      <c r="J5847" s="151" t="s">
        <v>6962</v>
      </c>
      <c r="K5847" s="151">
        <f t="shared" si="121"/>
        <v>0</v>
      </c>
      <c r="L5847" s="151" t="s">
        <v>9022</v>
      </c>
    </row>
    <row r="5848" spans="8:12" x14ac:dyDescent="0.25">
      <c r="H5848" s="151" t="s">
        <v>2806</v>
      </c>
      <c r="I5848" s="151" t="s">
        <v>6962</v>
      </c>
      <c r="J5848" s="151" t="s">
        <v>6962</v>
      </c>
      <c r="K5848" s="151">
        <f t="shared" si="121"/>
        <v>0</v>
      </c>
      <c r="L5848" s="151" t="s">
        <v>9022</v>
      </c>
    </row>
    <row r="5849" spans="8:12" x14ac:dyDescent="0.25">
      <c r="H5849" s="151" t="s">
        <v>2807</v>
      </c>
      <c r="I5849" s="151" t="s">
        <v>6962</v>
      </c>
      <c r="J5849" s="151" t="s">
        <v>6962</v>
      </c>
      <c r="K5849" s="151">
        <f t="shared" si="121"/>
        <v>0</v>
      </c>
      <c r="L5849" s="151" t="s">
        <v>9022</v>
      </c>
    </row>
    <row r="5850" spans="8:12" x14ac:dyDescent="0.25">
      <c r="H5850" s="151" t="s">
        <v>2808</v>
      </c>
      <c r="I5850" s="151" t="s">
        <v>6962</v>
      </c>
      <c r="J5850" s="151" t="s">
        <v>6962</v>
      </c>
      <c r="K5850" s="151">
        <f t="shared" si="121"/>
        <v>0</v>
      </c>
      <c r="L5850" s="151" t="s">
        <v>9022</v>
      </c>
    </row>
    <row r="5851" spans="8:12" x14ac:dyDescent="0.25">
      <c r="H5851" s="151" t="s">
        <v>2809</v>
      </c>
      <c r="I5851" s="151" t="s">
        <v>6962</v>
      </c>
      <c r="J5851" s="151" t="s">
        <v>6962</v>
      </c>
      <c r="K5851" s="151">
        <f t="shared" si="121"/>
        <v>0</v>
      </c>
      <c r="L5851" s="151" t="s">
        <v>9022</v>
      </c>
    </row>
    <row r="5852" spans="8:12" x14ac:dyDescent="0.25">
      <c r="H5852" s="151" t="s">
        <v>2810</v>
      </c>
      <c r="I5852" s="151" t="s">
        <v>6962</v>
      </c>
      <c r="J5852" s="151" t="s">
        <v>6962</v>
      </c>
      <c r="K5852" s="151">
        <f t="shared" si="121"/>
        <v>0</v>
      </c>
      <c r="L5852" s="151" t="s">
        <v>9022</v>
      </c>
    </row>
    <row r="5853" spans="8:12" x14ac:dyDescent="0.25">
      <c r="H5853" s="151" t="s">
        <v>2811</v>
      </c>
      <c r="I5853" s="151" t="s">
        <v>6962</v>
      </c>
      <c r="J5853" s="151" t="s">
        <v>6962</v>
      </c>
      <c r="K5853" s="151">
        <f t="shared" si="121"/>
        <v>0</v>
      </c>
      <c r="L5853" s="151" t="s">
        <v>9022</v>
      </c>
    </row>
    <row r="5854" spans="8:12" x14ac:dyDescent="0.25">
      <c r="H5854" s="151" t="s">
        <v>2812</v>
      </c>
      <c r="I5854" s="151" t="s">
        <v>6962</v>
      </c>
      <c r="J5854" s="151" t="s">
        <v>6962</v>
      </c>
      <c r="K5854" s="151">
        <f t="shared" si="121"/>
        <v>0</v>
      </c>
      <c r="L5854" s="151" t="s">
        <v>9022</v>
      </c>
    </row>
    <row r="5855" spans="8:12" x14ac:dyDescent="0.25">
      <c r="H5855" s="151" t="s">
        <v>2813</v>
      </c>
      <c r="I5855" s="151" t="s">
        <v>6962</v>
      </c>
      <c r="J5855" s="151" t="s">
        <v>6962</v>
      </c>
      <c r="K5855" s="151">
        <f t="shared" si="121"/>
        <v>0</v>
      </c>
      <c r="L5855" s="151" t="s">
        <v>9022</v>
      </c>
    </row>
    <row r="5856" spans="8:12" x14ac:dyDescent="0.25">
      <c r="H5856" s="151" t="s">
        <v>2814</v>
      </c>
      <c r="I5856" s="151" t="s">
        <v>6962</v>
      </c>
      <c r="J5856" s="151" t="s">
        <v>6962</v>
      </c>
      <c r="K5856" s="151">
        <f t="shared" si="121"/>
        <v>0</v>
      </c>
      <c r="L5856" s="151" t="s">
        <v>9022</v>
      </c>
    </row>
    <row r="5857" spans="8:12" x14ac:dyDescent="0.25">
      <c r="H5857" s="151" t="s">
        <v>2814</v>
      </c>
      <c r="I5857" s="151" t="s">
        <v>391</v>
      </c>
      <c r="J5857" s="151" t="s">
        <v>9079</v>
      </c>
      <c r="K5857" s="151">
        <f t="shared" si="121"/>
        <v>650000000002263</v>
      </c>
      <c r="L5857" s="151" t="s">
        <v>9022</v>
      </c>
    </row>
    <row r="5858" spans="8:12" x14ac:dyDescent="0.25">
      <c r="H5858" s="151" t="s">
        <v>2815</v>
      </c>
      <c r="I5858" s="151" t="s">
        <v>6962</v>
      </c>
      <c r="J5858" s="151" t="s">
        <v>6962</v>
      </c>
      <c r="K5858" s="151">
        <f t="shared" si="121"/>
        <v>0</v>
      </c>
      <c r="L5858" s="151" t="s">
        <v>9022</v>
      </c>
    </row>
    <row r="5859" spans="8:12" x14ac:dyDescent="0.25">
      <c r="H5859" s="151" t="s">
        <v>2816</v>
      </c>
      <c r="I5859" s="151" t="s">
        <v>6962</v>
      </c>
      <c r="J5859" s="151" t="s">
        <v>6962</v>
      </c>
      <c r="K5859" s="151">
        <f t="shared" si="121"/>
        <v>0</v>
      </c>
      <c r="L5859" s="151" t="s">
        <v>9022</v>
      </c>
    </row>
    <row r="5860" spans="8:12" x14ac:dyDescent="0.25">
      <c r="H5860" s="151" t="s">
        <v>2817</v>
      </c>
      <c r="I5860" s="151" t="s">
        <v>6962</v>
      </c>
      <c r="J5860" s="151" t="s">
        <v>6962</v>
      </c>
      <c r="K5860" s="151">
        <f t="shared" si="121"/>
        <v>0</v>
      </c>
      <c r="L5860" s="151" t="s">
        <v>9022</v>
      </c>
    </row>
    <row r="5861" spans="8:12" x14ac:dyDescent="0.25">
      <c r="H5861" s="151" t="s">
        <v>2818</v>
      </c>
      <c r="I5861" s="151" t="s">
        <v>6962</v>
      </c>
      <c r="J5861" s="151" t="s">
        <v>6962</v>
      </c>
      <c r="K5861" s="151">
        <f t="shared" si="121"/>
        <v>0</v>
      </c>
      <c r="L5861" s="151" t="s">
        <v>9022</v>
      </c>
    </row>
    <row r="5862" spans="8:12" x14ac:dyDescent="0.25">
      <c r="H5862" s="151" t="s">
        <v>2819</v>
      </c>
      <c r="I5862" s="151" t="s">
        <v>6962</v>
      </c>
      <c r="J5862" s="151" t="s">
        <v>6962</v>
      </c>
      <c r="K5862" s="151">
        <f t="shared" si="121"/>
        <v>0</v>
      </c>
      <c r="L5862" s="151" t="s">
        <v>9022</v>
      </c>
    </row>
    <row r="5863" spans="8:12" x14ac:dyDescent="0.25">
      <c r="H5863" s="151" t="s">
        <v>2820</v>
      </c>
      <c r="I5863" s="151" t="s">
        <v>6962</v>
      </c>
      <c r="J5863" s="151" t="s">
        <v>6962</v>
      </c>
      <c r="K5863" s="151">
        <f t="shared" si="121"/>
        <v>0</v>
      </c>
      <c r="L5863" s="151" t="s">
        <v>9022</v>
      </c>
    </row>
    <row r="5864" spans="8:12" x14ac:dyDescent="0.25">
      <c r="H5864" s="151" t="s">
        <v>2821</v>
      </c>
      <c r="I5864" s="151" t="s">
        <v>6962</v>
      </c>
      <c r="J5864" s="151" t="s">
        <v>6962</v>
      </c>
      <c r="K5864" s="151">
        <f t="shared" si="121"/>
        <v>0</v>
      </c>
      <c r="L5864" s="151" t="s">
        <v>9022</v>
      </c>
    </row>
    <row r="5865" spans="8:12" x14ac:dyDescent="0.25">
      <c r="H5865" s="151" t="s">
        <v>2822</v>
      </c>
      <c r="I5865" s="151" t="s">
        <v>6962</v>
      </c>
      <c r="J5865" s="151" t="s">
        <v>6962</v>
      </c>
      <c r="K5865" s="151">
        <f t="shared" si="121"/>
        <v>0</v>
      </c>
      <c r="L5865" s="151" t="s">
        <v>9022</v>
      </c>
    </row>
    <row r="5866" spans="8:12" x14ac:dyDescent="0.25">
      <c r="H5866" s="151" t="s">
        <v>2823</v>
      </c>
      <c r="I5866" s="151" t="s">
        <v>6962</v>
      </c>
      <c r="J5866" s="151" t="s">
        <v>6962</v>
      </c>
      <c r="K5866" s="151">
        <f t="shared" si="121"/>
        <v>0</v>
      </c>
      <c r="L5866" s="151" t="s">
        <v>9022</v>
      </c>
    </row>
    <row r="5867" spans="8:12" x14ac:dyDescent="0.25">
      <c r="H5867" s="151" t="s">
        <v>2824</v>
      </c>
      <c r="I5867" s="151" t="s">
        <v>6962</v>
      </c>
      <c r="J5867" s="151" t="s">
        <v>6962</v>
      </c>
      <c r="K5867" s="151">
        <f t="shared" si="121"/>
        <v>0</v>
      </c>
      <c r="L5867" s="151" t="s">
        <v>9022</v>
      </c>
    </row>
    <row r="5868" spans="8:12" x14ac:dyDescent="0.25">
      <c r="H5868" s="151" t="s">
        <v>2825</v>
      </c>
      <c r="I5868" s="151" t="s">
        <v>6962</v>
      </c>
      <c r="J5868" s="151" t="s">
        <v>6962</v>
      </c>
      <c r="K5868" s="151">
        <f t="shared" si="121"/>
        <v>0</v>
      </c>
      <c r="L5868" s="151" t="s">
        <v>9022</v>
      </c>
    </row>
    <row r="5869" spans="8:12" x14ac:dyDescent="0.25">
      <c r="H5869" s="151" t="s">
        <v>2826</v>
      </c>
      <c r="I5869" s="151" t="s">
        <v>6962</v>
      </c>
      <c r="J5869" s="151" t="s">
        <v>6962</v>
      </c>
      <c r="K5869" s="151">
        <f t="shared" si="121"/>
        <v>0</v>
      </c>
      <c r="L5869" s="151" t="s">
        <v>9022</v>
      </c>
    </row>
    <row r="5870" spans="8:12" x14ac:dyDescent="0.25">
      <c r="H5870" s="151" t="s">
        <v>2827</v>
      </c>
      <c r="I5870" s="151" t="s">
        <v>6962</v>
      </c>
      <c r="J5870" s="151" t="s">
        <v>6962</v>
      </c>
      <c r="K5870" s="151">
        <f t="shared" si="121"/>
        <v>0</v>
      </c>
      <c r="L5870" s="151" t="s">
        <v>9022</v>
      </c>
    </row>
    <row r="5871" spans="8:12" x14ac:dyDescent="0.25">
      <c r="H5871" s="151" t="s">
        <v>2828</v>
      </c>
      <c r="I5871" s="151" t="s">
        <v>6962</v>
      </c>
      <c r="J5871" s="151" t="s">
        <v>6962</v>
      </c>
      <c r="K5871" s="151">
        <f t="shared" si="121"/>
        <v>0</v>
      </c>
      <c r="L5871" s="151" t="s">
        <v>9022</v>
      </c>
    </row>
    <row r="5872" spans="8:12" x14ac:dyDescent="0.25">
      <c r="H5872" s="151" t="s">
        <v>2829</v>
      </c>
      <c r="I5872" s="151" t="s">
        <v>6962</v>
      </c>
      <c r="J5872" s="151" t="s">
        <v>6962</v>
      </c>
      <c r="K5872" s="151">
        <f t="shared" si="121"/>
        <v>0</v>
      </c>
      <c r="L5872" s="151" t="s">
        <v>9022</v>
      </c>
    </row>
    <row r="5873" spans="8:12" x14ac:dyDescent="0.25">
      <c r="H5873" s="151" t="s">
        <v>2830</v>
      </c>
      <c r="I5873" s="151" t="s">
        <v>6962</v>
      </c>
      <c r="J5873" s="151" t="s">
        <v>6962</v>
      </c>
      <c r="K5873" s="151">
        <f t="shared" si="121"/>
        <v>0</v>
      </c>
      <c r="L5873" s="151" t="s">
        <v>9022</v>
      </c>
    </row>
    <row r="5874" spans="8:12" x14ac:dyDescent="0.25">
      <c r="H5874" s="151" t="s">
        <v>2831</v>
      </c>
      <c r="I5874" s="151" t="s">
        <v>6962</v>
      </c>
      <c r="J5874" s="151" t="s">
        <v>6962</v>
      </c>
      <c r="K5874" s="151">
        <f t="shared" si="121"/>
        <v>0</v>
      </c>
      <c r="L5874" s="151" t="s">
        <v>9022</v>
      </c>
    </row>
    <row r="5875" spans="8:12" x14ac:dyDescent="0.25">
      <c r="H5875" s="151" t="s">
        <v>2832</v>
      </c>
      <c r="I5875" s="151" t="s">
        <v>6962</v>
      </c>
      <c r="J5875" s="151" t="s">
        <v>6962</v>
      </c>
      <c r="K5875" s="151">
        <f t="shared" si="121"/>
        <v>0</v>
      </c>
      <c r="L5875" s="151" t="s">
        <v>9022</v>
      </c>
    </row>
    <row r="5876" spans="8:12" x14ac:dyDescent="0.25">
      <c r="H5876" s="151" t="s">
        <v>2833</v>
      </c>
      <c r="I5876" s="151" t="s">
        <v>6962</v>
      </c>
      <c r="J5876" s="151" t="s">
        <v>6962</v>
      </c>
      <c r="K5876" s="151">
        <f t="shared" si="121"/>
        <v>0</v>
      </c>
      <c r="L5876" s="151" t="s">
        <v>9022</v>
      </c>
    </row>
    <row r="5877" spans="8:12" x14ac:dyDescent="0.25">
      <c r="H5877" s="151" t="s">
        <v>2834</v>
      </c>
      <c r="I5877" s="151" t="s">
        <v>6962</v>
      </c>
      <c r="J5877" s="151" t="s">
        <v>6962</v>
      </c>
      <c r="K5877" s="151">
        <f t="shared" si="121"/>
        <v>0</v>
      </c>
      <c r="L5877" s="151" t="s">
        <v>9022</v>
      </c>
    </row>
    <row r="5878" spans="8:12" x14ac:dyDescent="0.25">
      <c r="H5878" s="151" t="s">
        <v>2835</v>
      </c>
      <c r="I5878" s="151" t="s">
        <v>6962</v>
      </c>
      <c r="J5878" s="151" t="s">
        <v>6962</v>
      </c>
      <c r="K5878" s="151">
        <f t="shared" si="121"/>
        <v>0</v>
      </c>
      <c r="L5878" s="151" t="s">
        <v>9022</v>
      </c>
    </row>
    <row r="5879" spans="8:12" x14ac:dyDescent="0.25">
      <c r="H5879" s="151" t="s">
        <v>2836</v>
      </c>
      <c r="I5879" s="151" t="s">
        <v>6962</v>
      </c>
      <c r="J5879" s="151" t="s">
        <v>6962</v>
      </c>
      <c r="K5879" s="151">
        <f t="shared" si="121"/>
        <v>0</v>
      </c>
      <c r="L5879" s="151" t="s">
        <v>9022</v>
      </c>
    </row>
    <row r="5880" spans="8:12" x14ac:dyDescent="0.25">
      <c r="H5880" s="151" t="s">
        <v>2837</v>
      </c>
      <c r="I5880" s="151" t="s">
        <v>6962</v>
      </c>
      <c r="J5880" s="151" t="s">
        <v>6962</v>
      </c>
      <c r="K5880" s="151">
        <f t="shared" si="121"/>
        <v>0</v>
      </c>
      <c r="L5880" s="151" t="s">
        <v>9022</v>
      </c>
    </row>
    <row r="5881" spans="8:12" x14ac:dyDescent="0.25">
      <c r="H5881" s="151" t="s">
        <v>2838</v>
      </c>
      <c r="I5881" s="151" t="s">
        <v>6962</v>
      </c>
      <c r="J5881" s="151" t="s">
        <v>6962</v>
      </c>
      <c r="K5881" s="151">
        <f t="shared" si="121"/>
        <v>0</v>
      </c>
      <c r="L5881" s="151" t="s">
        <v>9022</v>
      </c>
    </row>
    <row r="5882" spans="8:12" x14ac:dyDescent="0.25">
      <c r="H5882" s="151" t="s">
        <v>2839</v>
      </c>
      <c r="I5882" s="151" t="s">
        <v>6962</v>
      </c>
      <c r="J5882" s="151" t="s">
        <v>6962</v>
      </c>
      <c r="K5882" s="151">
        <f t="shared" si="121"/>
        <v>0</v>
      </c>
      <c r="L5882" s="151" t="s">
        <v>9022</v>
      </c>
    </row>
    <row r="5883" spans="8:12" x14ac:dyDescent="0.25">
      <c r="H5883" s="151" t="s">
        <v>2840</v>
      </c>
      <c r="I5883" s="151" t="s">
        <v>6962</v>
      </c>
      <c r="J5883" s="151" t="s">
        <v>6962</v>
      </c>
      <c r="K5883" s="151">
        <f t="shared" si="121"/>
        <v>0</v>
      </c>
      <c r="L5883" s="151" t="s">
        <v>9022</v>
      </c>
    </row>
    <row r="5884" spans="8:12" x14ac:dyDescent="0.25">
      <c r="H5884" s="151" t="s">
        <v>2841</v>
      </c>
      <c r="I5884" s="151" t="s">
        <v>6962</v>
      </c>
      <c r="J5884" s="151" t="s">
        <v>6962</v>
      </c>
      <c r="K5884" s="151">
        <f t="shared" si="121"/>
        <v>0</v>
      </c>
      <c r="L5884" s="151" t="s">
        <v>9022</v>
      </c>
    </row>
    <row r="5885" spans="8:12" x14ac:dyDescent="0.25">
      <c r="H5885" s="151" t="s">
        <v>2842</v>
      </c>
      <c r="I5885" s="151" t="s">
        <v>6962</v>
      </c>
      <c r="J5885" s="151" t="s">
        <v>6962</v>
      </c>
      <c r="K5885" s="151">
        <f t="shared" si="121"/>
        <v>0</v>
      </c>
      <c r="L5885" s="151" t="s">
        <v>9022</v>
      </c>
    </row>
    <row r="5886" spans="8:12" x14ac:dyDescent="0.25">
      <c r="H5886" s="151" t="s">
        <v>2843</v>
      </c>
      <c r="I5886" s="151" t="s">
        <v>6962</v>
      </c>
      <c r="J5886" s="151" t="s">
        <v>6962</v>
      </c>
      <c r="K5886" s="151">
        <f t="shared" si="121"/>
        <v>0</v>
      </c>
      <c r="L5886" s="151" t="s">
        <v>9022</v>
      </c>
    </row>
    <row r="5887" spans="8:12" x14ac:dyDescent="0.25">
      <c r="H5887" s="151" t="s">
        <v>2844</v>
      </c>
      <c r="I5887" s="151" t="s">
        <v>6962</v>
      </c>
      <c r="J5887" s="151" t="s">
        <v>6962</v>
      </c>
      <c r="K5887" s="151">
        <f t="shared" si="121"/>
        <v>0</v>
      </c>
      <c r="L5887" s="151" t="s">
        <v>9022</v>
      </c>
    </row>
    <row r="5888" spans="8:12" x14ac:dyDescent="0.25">
      <c r="H5888" s="151" t="s">
        <v>2845</v>
      </c>
      <c r="I5888" s="151" t="s">
        <v>6962</v>
      </c>
      <c r="J5888" s="151" t="s">
        <v>6962</v>
      </c>
      <c r="K5888" s="151">
        <f t="shared" si="121"/>
        <v>0</v>
      </c>
      <c r="L5888" s="151" t="s">
        <v>9022</v>
      </c>
    </row>
    <row r="5889" spans="8:12" x14ac:dyDescent="0.25">
      <c r="H5889" s="151" t="s">
        <v>2846</v>
      </c>
      <c r="I5889" s="151" t="s">
        <v>6962</v>
      </c>
      <c r="J5889" s="151" t="s">
        <v>6962</v>
      </c>
      <c r="K5889" s="151">
        <f t="shared" si="121"/>
        <v>0</v>
      </c>
      <c r="L5889" s="151" t="s">
        <v>9022</v>
      </c>
    </row>
    <row r="5890" spans="8:12" x14ac:dyDescent="0.25">
      <c r="H5890" s="151" t="s">
        <v>2847</v>
      </c>
      <c r="I5890" s="151" t="s">
        <v>6962</v>
      </c>
      <c r="J5890" s="151" t="s">
        <v>6962</v>
      </c>
      <c r="K5890" s="151">
        <f t="shared" si="121"/>
        <v>0</v>
      </c>
      <c r="L5890" s="151" t="s">
        <v>9022</v>
      </c>
    </row>
    <row r="5891" spans="8:12" x14ac:dyDescent="0.25">
      <c r="H5891" s="151" t="s">
        <v>2848</v>
      </c>
      <c r="I5891" s="151" t="s">
        <v>6962</v>
      </c>
      <c r="J5891" s="151" t="s">
        <v>6962</v>
      </c>
      <c r="K5891" s="151">
        <f t="shared" ref="K5891:K5954" si="122">+IFERROR(J5891*1,0)</f>
        <v>0</v>
      </c>
      <c r="L5891" s="151" t="s">
        <v>9022</v>
      </c>
    </row>
    <row r="5892" spans="8:12" x14ac:dyDescent="0.25">
      <c r="H5892" s="151" t="s">
        <v>2849</v>
      </c>
      <c r="I5892" s="151" t="s">
        <v>6962</v>
      </c>
      <c r="J5892" s="151" t="s">
        <v>6962</v>
      </c>
      <c r="K5892" s="151">
        <f t="shared" si="122"/>
        <v>0</v>
      </c>
      <c r="L5892" s="151" t="s">
        <v>9022</v>
      </c>
    </row>
    <row r="5893" spans="8:12" x14ac:dyDescent="0.25">
      <c r="H5893" s="151" t="s">
        <v>2850</v>
      </c>
      <c r="I5893" s="151" t="s">
        <v>6962</v>
      </c>
      <c r="J5893" s="151" t="s">
        <v>6962</v>
      </c>
      <c r="K5893" s="151">
        <f t="shared" si="122"/>
        <v>0</v>
      </c>
      <c r="L5893" s="151" t="s">
        <v>9022</v>
      </c>
    </row>
    <row r="5894" spans="8:12" x14ac:dyDescent="0.25">
      <c r="H5894" s="151" t="s">
        <v>2851</v>
      </c>
      <c r="I5894" s="151" t="s">
        <v>6962</v>
      </c>
      <c r="J5894" s="151" t="s">
        <v>6962</v>
      </c>
      <c r="K5894" s="151">
        <f t="shared" si="122"/>
        <v>0</v>
      </c>
      <c r="L5894" s="151" t="s">
        <v>9022</v>
      </c>
    </row>
    <row r="5895" spans="8:12" x14ac:dyDescent="0.25">
      <c r="H5895" s="151" t="s">
        <v>2852</v>
      </c>
      <c r="I5895" s="151" t="s">
        <v>6962</v>
      </c>
      <c r="J5895" s="151" t="s">
        <v>6962</v>
      </c>
      <c r="K5895" s="151">
        <f t="shared" si="122"/>
        <v>0</v>
      </c>
      <c r="L5895" s="151" t="s">
        <v>9022</v>
      </c>
    </row>
    <row r="5896" spans="8:12" x14ac:dyDescent="0.25">
      <c r="H5896" s="151" t="s">
        <v>2853</v>
      </c>
      <c r="I5896" s="151" t="s">
        <v>6962</v>
      </c>
      <c r="J5896" s="151" t="s">
        <v>6962</v>
      </c>
      <c r="K5896" s="151">
        <f t="shared" si="122"/>
        <v>0</v>
      </c>
      <c r="L5896" s="151" t="s">
        <v>9022</v>
      </c>
    </row>
    <row r="5897" spans="8:12" x14ac:dyDescent="0.25">
      <c r="H5897" s="151" t="s">
        <v>2854</v>
      </c>
      <c r="I5897" s="151" t="s">
        <v>6962</v>
      </c>
      <c r="J5897" s="151" t="s">
        <v>6962</v>
      </c>
      <c r="K5897" s="151">
        <f t="shared" si="122"/>
        <v>0</v>
      </c>
      <c r="L5897" s="151" t="s">
        <v>9022</v>
      </c>
    </row>
    <row r="5898" spans="8:12" x14ac:dyDescent="0.25">
      <c r="H5898" s="151" t="s">
        <v>2855</v>
      </c>
      <c r="I5898" s="151" t="s">
        <v>6962</v>
      </c>
      <c r="J5898" s="151" t="s">
        <v>6962</v>
      </c>
      <c r="K5898" s="151">
        <f t="shared" si="122"/>
        <v>0</v>
      </c>
      <c r="L5898" s="151" t="s">
        <v>9022</v>
      </c>
    </row>
    <row r="5899" spans="8:12" x14ac:dyDescent="0.25">
      <c r="H5899" s="151" t="s">
        <v>2856</v>
      </c>
      <c r="I5899" s="151" t="s">
        <v>6962</v>
      </c>
      <c r="J5899" s="151" t="s">
        <v>6962</v>
      </c>
      <c r="K5899" s="151">
        <f t="shared" si="122"/>
        <v>0</v>
      </c>
      <c r="L5899" s="151" t="s">
        <v>9022</v>
      </c>
    </row>
    <row r="5900" spans="8:12" x14ac:dyDescent="0.25">
      <c r="H5900" s="151" t="s">
        <v>2857</v>
      </c>
      <c r="I5900" s="151" t="s">
        <v>6962</v>
      </c>
      <c r="J5900" s="151" t="s">
        <v>6962</v>
      </c>
      <c r="K5900" s="151">
        <f t="shared" si="122"/>
        <v>0</v>
      </c>
      <c r="L5900" s="151" t="s">
        <v>9022</v>
      </c>
    </row>
    <row r="5901" spans="8:12" x14ac:dyDescent="0.25">
      <c r="H5901" s="151" t="s">
        <v>2858</v>
      </c>
      <c r="I5901" s="151" t="s">
        <v>6962</v>
      </c>
      <c r="J5901" s="151" t="s">
        <v>6962</v>
      </c>
      <c r="K5901" s="151">
        <f t="shared" si="122"/>
        <v>0</v>
      </c>
      <c r="L5901" s="151" t="s">
        <v>9022</v>
      </c>
    </row>
    <row r="5902" spans="8:12" x14ac:dyDescent="0.25">
      <c r="H5902" s="151" t="s">
        <v>2859</v>
      </c>
      <c r="I5902" s="151" t="s">
        <v>6962</v>
      </c>
      <c r="J5902" s="151" t="s">
        <v>6962</v>
      </c>
      <c r="K5902" s="151">
        <f t="shared" si="122"/>
        <v>0</v>
      </c>
      <c r="L5902" s="151" t="s">
        <v>9022</v>
      </c>
    </row>
    <row r="5903" spans="8:12" x14ac:dyDescent="0.25">
      <c r="H5903" s="151" t="s">
        <v>2860</v>
      </c>
      <c r="I5903" s="151" t="s">
        <v>6962</v>
      </c>
      <c r="J5903" s="151" t="s">
        <v>6962</v>
      </c>
      <c r="K5903" s="151">
        <f t="shared" si="122"/>
        <v>0</v>
      </c>
      <c r="L5903" s="151" t="s">
        <v>9022</v>
      </c>
    </row>
    <row r="5904" spans="8:12" x14ac:dyDescent="0.25">
      <c r="H5904" s="151" t="s">
        <v>2861</v>
      </c>
      <c r="I5904" s="151" t="s">
        <v>6962</v>
      </c>
      <c r="J5904" s="151" t="s">
        <v>6962</v>
      </c>
      <c r="K5904" s="151">
        <f t="shared" si="122"/>
        <v>0</v>
      </c>
      <c r="L5904" s="151" t="s">
        <v>9022</v>
      </c>
    </row>
    <row r="5905" spans="8:12" x14ac:dyDescent="0.25">
      <c r="H5905" s="151" t="s">
        <v>2862</v>
      </c>
      <c r="I5905" s="151" t="s">
        <v>6962</v>
      </c>
      <c r="J5905" s="151" t="s">
        <v>6962</v>
      </c>
      <c r="K5905" s="151">
        <f t="shared" si="122"/>
        <v>0</v>
      </c>
      <c r="L5905" s="151" t="s">
        <v>9022</v>
      </c>
    </row>
    <row r="5906" spans="8:12" x14ac:dyDescent="0.25">
      <c r="H5906" s="151" t="s">
        <v>2863</v>
      </c>
      <c r="I5906" s="151" t="s">
        <v>6962</v>
      </c>
      <c r="J5906" s="151" t="s">
        <v>6962</v>
      </c>
      <c r="K5906" s="151">
        <f t="shared" si="122"/>
        <v>0</v>
      </c>
      <c r="L5906" s="151" t="s">
        <v>9022</v>
      </c>
    </row>
    <row r="5907" spans="8:12" x14ac:dyDescent="0.25">
      <c r="H5907" s="151" t="s">
        <v>2864</v>
      </c>
      <c r="I5907" s="151" t="s">
        <v>6962</v>
      </c>
      <c r="J5907" s="151" t="s">
        <v>6962</v>
      </c>
      <c r="K5907" s="151">
        <f t="shared" si="122"/>
        <v>0</v>
      </c>
      <c r="L5907" s="151" t="s">
        <v>9022</v>
      </c>
    </row>
    <row r="5908" spans="8:12" x14ac:dyDescent="0.25">
      <c r="H5908" s="151" t="s">
        <v>2865</v>
      </c>
      <c r="I5908" s="151" t="s">
        <v>6962</v>
      </c>
      <c r="J5908" s="151" t="s">
        <v>6962</v>
      </c>
      <c r="K5908" s="151">
        <f t="shared" si="122"/>
        <v>0</v>
      </c>
      <c r="L5908" s="151" t="s">
        <v>9022</v>
      </c>
    </row>
    <row r="5909" spans="8:12" x14ac:dyDescent="0.25">
      <c r="H5909" s="151" t="s">
        <v>2866</v>
      </c>
      <c r="I5909" s="151" t="s">
        <v>6962</v>
      </c>
      <c r="J5909" s="151" t="s">
        <v>6962</v>
      </c>
      <c r="K5909" s="151">
        <f t="shared" si="122"/>
        <v>0</v>
      </c>
      <c r="L5909" s="151" t="s">
        <v>9022</v>
      </c>
    </row>
    <row r="5910" spans="8:12" x14ac:dyDescent="0.25">
      <c r="H5910" s="151" t="s">
        <v>2867</v>
      </c>
      <c r="I5910" s="151" t="s">
        <v>6962</v>
      </c>
      <c r="J5910" s="151" t="s">
        <v>6962</v>
      </c>
      <c r="K5910" s="151">
        <f t="shared" si="122"/>
        <v>0</v>
      </c>
      <c r="L5910" s="151" t="s">
        <v>9022</v>
      </c>
    </row>
    <row r="5911" spans="8:12" x14ac:dyDescent="0.25">
      <c r="H5911" s="151" t="s">
        <v>2868</v>
      </c>
      <c r="I5911" s="151" t="s">
        <v>6962</v>
      </c>
      <c r="J5911" s="151" t="s">
        <v>6962</v>
      </c>
      <c r="K5911" s="151">
        <f t="shared" si="122"/>
        <v>0</v>
      </c>
      <c r="L5911" s="151" t="s">
        <v>9022</v>
      </c>
    </row>
    <row r="5912" spans="8:12" x14ac:dyDescent="0.25">
      <c r="H5912" s="151" t="s">
        <v>2869</v>
      </c>
      <c r="I5912" s="151" t="s">
        <v>6962</v>
      </c>
      <c r="J5912" s="151" t="s">
        <v>6962</v>
      </c>
      <c r="K5912" s="151">
        <f t="shared" si="122"/>
        <v>0</v>
      </c>
      <c r="L5912" s="151" t="s">
        <v>9022</v>
      </c>
    </row>
    <row r="5913" spans="8:12" x14ac:dyDescent="0.25">
      <c r="H5913" s="151" t="s">
        <v>2870</v>
      </c>
      <c r="I5913" s="151" t="s">
        <v>6962</v>
      </c>
      <c r="J5913" s="151" t="s">
        <v>6962</v>
      </c>
      <c r="K5913" s="151">
        <f t="shared" si="122"/>
        <v>0</v>
      </c>
      <c r="L5913" s="151" t="s">
        <v>9022</v>
      </c>
    </row>
    <row r="5914" spans="8:12" x14ac:dyDescent="0.25">
      <c r="H5914" s="151" t="s">
        <v>2871</v>
      </c>
      <c r="I5914" s="151" t="s">
        <v>6962</v>
      </c>
      <c r="J5914" s="151" t="s">
        <v>6962</v>
      </c>
      <c r="K5914" s="151">
        <f t="shared" si="122"/>
        <v>0</v>
      </c>
      <c r="L5914" s="151" t="s">
        <v>9022</v>
      </c>
    </row>
    <row r="5915" spans="8:12" x14ac:dyDescent="0.25">
      <c r="H5915" s="151" t="s">
        <v>2872</v>
      </c>
      <c r="I5915" s="151" t="s">
        <v>6962</v>
      </c>
      <c r="J5915" s="151" t="s">
        <v>6962</v>
      </c>
      <c r="K5915" s="151">
        <f t="shared" si="122"/>
        <v>0</v>
      </c>
      <c r="L5915" s="151" t="s">
        <v>9022</v>
      </c>
    </row>
    <row r="5916" spans="8:12" x14ac:dyDescent="0.25">
      <c r="H5916" s="151" t="s">
        <v>2873</v>
      </c>
      <c r="I5916" s="151" t="s">
        <v>6962</v>
      </c>
      <c r="J5916" s="151" t="s">
        <v>6962</v>
      </c>
      <c r="K5916" s="151">
        <f t="shared" si="122"/>
        <v>0</v>
      </c>
      <c r="L5916" s="151" t="s">
        <v>9022</v>
      </c>
    </row>
    <row r="5917" spans="8:12" x14ac:dyDescent="0.25">
      <c r="H5917" s="151" t="s">
        <v>2874</v>
      </c>
      <c r="I5917" s="151" t="s">
        <v>6962</v>
      </c>
      <c r="J5917" s="151" t="s">
        <v>6962</v>
      </c>
      <c r="K5917" s="151">
        <f t="shared" si="122"/>
        <v>0</v>
      </c>
      <c r="L5917" s="151" t="s">
        <v>9022</v>
      </c>
    </row>
    <row r="5918" spans="8:12" x14ac:dyDescent="0.25">
      <c r="H5918" s="151" t="s">
        <v>2875</v>
      </c>
      <c r="I5918" s="151" t="s">
        <v>6962</v>
      </c>
      <c r="J5918" s="151" t="s">
        <v>6962</v>
      </c>
      <c r="K5918" s="151">
        <f t="shared" si="122"/>
        <v>0</v>
      </c>
      <c r="L5918" s="151" t="s">
        <v>9022</v>
      </c>
    </row>
    <row r="5919" spans="8:12" x14ac:dyDescent="0.25">
      <c r="H5919" s="151" t="s">
        <v>2876</v>
      </c>
      <c r="I5919" s="151" t="s">
        <v>6962</v>
      </c>
      <c r="J5919" s="151" t="s">
        <v>6962</v>
      </c>
      <c r="K5919" s="151">
        <f t="shared" si="122"/>
        <v>0</v>
      </c>
      <c r="L5919" s="151" t="s">
        <v>9022</v>
      </c>
    </row>
    <row r="5920" spans="8:12" x14ac:dyDescent="0.25">
      <c r="H5920" s="151" t="s">
        <v>2877</v>
      </c>
      <c r="I5920" s="151" t="s">
        <v>6962</v>
      </c>
      <c r="J5920" s="151" t="s">
        <v>6962</v>
      </c>
      <c r="K5920" s="151">
        <f t="shared" si="122"/>
        <v>0</v>
      </c>
      <c r="L5920" s="151" t="s">
        <v>9022</v>
      </c>
    </row>
    <row r="5921" spans="8:12" x14ac:dyDescent="0.25">
      <c r="H5921" s="151" t="s">
        <v>2878</v>
      </c>
      <c r="I5921" s="151" t="s">
        <v>6962</v>
      </c>
      <c r="J5921" s="151" t="s">
        <v>6962</v>
      </c>
      <c r="K5921" s="151">
        <f t="shared" si="122"/>
        <v>0</v>
      </c>
      <c r="L5921" s="151" t="s">
        <v>9022</v>
      </c>
    </row>
    <row r="5922" spans="8:12" x14ac:dyDescent="0.25">
      <c r="H5922" s="151" t="s">
        <v>2879</v>
      </c>
      <c r="I5922" s="151" t="s">
        <v>6962</v>
      </c>
      <c r="J5922" s="151" t="s">
        <v>6962</v>
      </c>
      <c r="K5922" s="151">
        <f t="shared" si="122"/>
        <v>0</v>
      </c>
      <c r="L5922" s="151" t="s">
        <v>9022</v>
      </c>
    </row>
    <row r="5923" spans="8:12" x14ac:dyDescent="0.25">
      <c r="H5923" s="151" t="s">
        <v>2880</v>
      </c>
      <c r="I5923" s="151" t="s">
        <v>6962</v>
      </c>
      <c r="J5923" s="151" t="s">
        <v>6962</v>
      </c>
      <c r="K5923" s="151">
        <f t="shared" si="122"/>
        <v>0</v>
      </c>
      <c r="L5923" s="151" t="s">
        <v>9022</v>
      </c>
    </row>
    <row r="5924" spans="8:12" x14ac:dyDescent="0.25">
      <c r="H5924" s="151" t="s">
        <v>2881</v>
      </c>
      <c r="I5924" s="151" t="s">
        <v>6962</v>
      </c>
      <c r="J5924" s="151" t="s">
        <v>6962</v>
      </c>
      <c r="K5924" s="151">
        <f t="shared" si="122"/>
        <v>0</v>
      </c>
      <c r="L5924" s="151" t="s">
        <v>9022</v>
      </c>
    </row>
    <row r="5925" spans="8:12" x14ac:dyDescent="0.25">
      <c r="H5925" s="151" t="s">
        <v>2882</v>
      </c>
      <c r="I5925" s="151" t="s">
        <v>6962</v>
      </c>
      <c r="J5925" s="151" t="s">
        <v>6962</v>
      </c>
      <c r="K5925" s="151">
        <f t="shared" si="122"/>
        <v>0</v>
      </c>
      <c r="L5925" s="151" t="s">
        <v>9022</v>
      </c>
    </row>
    <row r="5926" spans="8:12" x14ac:dyDescent="0.25">
      <c r="H5926" s="151" t="s">
        <v>2883</v>
      </c>
      <c r="I5926" s="151" t="s">
        <v>6962</v>
      </c>
      <c r="J5926" s="151" t="s">
        <v>6962</v>
      </c>
      <c r="K5926" s="151">
        <f t="shared" si="122"/>
        <v>0</v>
      </c>
      <c r="L5926" s="151" t="s">
        <v>9022</v>
      </c>
    </row>
    <row r="5927" spans="8:12" x14ac:dyDescent="0.25">
      <c r="H5927" s="151" t="s">
        <v>2884</v>
      </c>
      <c r="I5927" s="151" t="s">
        <v>6962</v>
      </c>
      <c r="J5927" s="151" t="s">
        <v>6962</v>
      </c>
      <c r="K5927" s="151">
        <f t="shared" si="122"/>
        <v>0</v>
      </c>
      <c r="L5927" s="151" t="s">
        <v>9022</v>
      </c>
    </row>
    <row r="5928" spans="8:12" x14ac:dyDescent="0.25">
      <c r="H5928" s="151" t="s">
        <v>2885</v>
      </c>
      <c r="I5928" s="151" t="s">
        <v>6962</v>
      </c>
      <c r="J5928" s="151" t="s">
        <v>6962</v>
      </c>
      <c r="K5928" s="151">
        <f t="shared" si="122"/>
        <v>0</v>
      </c>
      <c r="L5928" s="151" t="s">
        <v>9022</v>
      </c>
    </row>
    <row r="5929" spans="8:12" x14ac:dyDescent="0.25">
      <c r="H5929" s="151" t="s">
        <v>2886</v>
      </c>
      <c r="I5929" s="151" t="s">
        <v>6962</v>
      </c>
      <c r="J5929" s="151" t="s">
        <v>6962</v>
      </c>
      <c r="K5929" s="151">
        <f t="shared" si="122"/>
        <v>0</v>
      </c>
      <c r="L5929" s="151" t="s">
        <v>9022</v>
      </c>
    </row>
    <row r="5930" spans="8:12" x14ac:dyDescent="0.25">
      <c r="H5930" s="151" t="s">
        <v>2887</v>
      </c>
      <c r="I5930" s="151" t="s">
        <v>6962</v>
      </c>
      <c r="J5930" s="151" t="s">
        <v>6962</v>
      </c>
      <c r="K5930" s="151">
        <f t="shared" si="122"/>
        <v>0</v>
      </c>
      <c r="L5930" s="151" t="s">
        <v>9022</v>
      </c>
    </row>
    <row r="5931" spans="8:12" x14ac:dyDescent="0.25">
      <c r="H5931" s="151" t="s">
        <v>2888</v>
      </c>
      <c r="I5931" s="151" t="s">
        <v>6962</v>
      </c>
      <c r="J5931" s="151" t="s">
        <v>6962</v>
      </c>
      <c r="K5931" s="151">
        <f t="shared" si="122"/>
        <v>0</v>
      </c>
      <c r="L5931" s="151" t="s">
        <v>9022</v>
      </c>
    </row>
    <row r="5932" spans="8:12" x14ac:dyDescent="0.25">
      <c r="H5932" s="151" t="s">
        <v>2889</v>
      </c>
      <c r="I5932" s="151" t="s">
        <v>6962</v>
      </c>
      <c r="J5932" s="151" t="s">
        <v>6962</v>
      </c>
      <c r="K5932" s="151">
        <f t="shared" si="122"/>
        <v>0</v>
      </c>
      <c r="L5932" s="151" t="s">
        <v>9022</v>
      </c>
    </row>
    <row r="5933" spans="8:12" x14ac:dyDescent="0.25">
      <c r="H5933" s="151" t="s">
        <v>2890</v>
      </c>
      <c r="I5933" s="151" t="s">
        <v>6962</v>
      </c>
      <c r="J5933" s="151" t="s">
        <v>6962</v>
      </c>
      <c r="K5933" s="151">
        <f t="shared" si="122"/>
        <v>0</v>
      </c>
      <c r="L5933" s="151" t="s">
        <v>9022</v>
      </c>
    </row>
    <row r="5934" spans="8:12" x14ac:dyDescent="0.25">
      <c r="H5934" s="151" t="s">
        <v>2891</v>
      </c>
      <c r="I5934" s="151" t="s">
        <v>6962</v>
      </c>
      <c r="J5934" s="151" t="s">
        <v>6962</v>
      </c>
      <c r="K5934" s="151">
        <f t="shared" si="122"/>
        <v>0</v>
      </c>
      <c r="L5934" s="151" t="s">
        <v>9022</v>
      </c>
    </row>
    <row r="5935" spans="8:12" x14ac:dyDescent="0.25">
      <c r="H5935" s="151" t="s">
        <v>2892</v>
      </c>
      <c r="I5935" s="151" t="s">
        <v>6962</v>
      </c>
      <c r="J5935" s="151" t="s">
        <v>6962</v>
      </c>
      <c r="K5935" s="151">
        <f t="shared" si="122"/>
        <v>0</v>
      </c>
      <c r="L5935" s="151" t="s">
        <v>9022</v>
      </c>
    </row>
    <row r="5936" spans="8:12" x14ac:dyDescent="0.25">
      <c r="H5936" s="151" t="s">
        <v>2893</v>
      </c>
      <c r="I5936" s="151" t="s">
        <v>6962</v>
      </c>
      <c r="J5936" s="151" t="s">
        <v>6962</v>
      </c>
      <c r="K5936" s="151">
        <f t="shared" si="122"/>
        <v>0</v>
      </c>
      <c r="L5936" s="151" t="s">
        <v>9022</v>
      </c>
    </row>
    <row r="5937" spans="8:12" x14ac:dyDescent="0.25">
      <c r="H5937" s="151" t="s">
        <v>2894</v>
      </c>
      <c r="I5937" s="151" t="s">
        <v>6962</v>
      </c>
      <c r="J5937" s="151" t="s">
        <v>6962</v>
      </c>
      <c r="K5937" s="151">
        <f t="shared" si="122"/>
        <v>0</v>
      </c>
      <c r="L5937" s="151" t="s">
        <v>9022</v>
      </c>
    </row>
    <row r="5938" spans="8:12" x14ac:dyDescent="0.25">
      <c r="H5938" s="151" t="s">
        <v>2895</v>
      </c>
      <c r="I5938" s="151" t="s">
        <v>6962</v>
      </c>
      <c r="J5938" s="151" t="s">
        <v>6962</v>
      </c>
      <c r="K5938" s="151">
        <f t="shared" si="122"/>
        <v>0</v>
      </c>
      <c r="L5938" s="151" t="s">
        <v>9022</v>
      </c>
    </row>
    <row r="5939" spans="8:12" x14ac:dyDescent="0.25">
      <c r="H5939" s="151" t="s">
        <v>2896</v>
      </c>
      <c r="I5939" s="151" t="s">
        <v>6962</v>
      </c>
      <c r="J5939" s="151" t="s">
        <v>6962</v>
      </c>
      <c r="K5939" s="151">
        <f t="shared" si="122"/>
        <v>0</v>
      </c>
      <c r="L5939" s="151" t="s">
        <v>9022</v>
      </c>
    </row>
    <row r="5940" spans="8:12" x14ac:dyDescent="0.25">
      <c r="H5940" s="151" t="s">
        <v>2897</v>
      </c>
      <c r="I5940" s="151" t="s">
        <v>6962</v>
      </c>
      <c r="J5940" s="151" t="s">
        <v>6962</v>
      </c>
      <c r="K5940" s="151">
        <f t="shared" si="122"/>
        <v>0</v>
      </c>
      <c r="L5940" s="151" t="s">
        <v>9022</v>
      </c>
    </row>
    <row r="5941" spans="8:12" x14ac:dyDescent="0.25">
      <c r="H5941" s="151" t="s">
        <v>2898</v>
      </c>
      <c r="I5941" s="151" t="s">
        <v>6962</v>
      </c>
      <c r="J5941" s="151" t="s">
        <v>6962</v>
      </c>
      <c r="K5941" s="151">
        <f t="shared" si="122"/>
        <v>0</v>
      </c>
      <c r="L5941" s="151" t="s">
        <v>9022</v>
      </c>
    </row>
    <row r="5942" spans="8:12" x14ac:dyDescent="0.25">
      <c r="H5942" s="151" t="s">
        <v>2899</v>
      </c>
      <c r="I5942" s="151" t="s">
        <v>6962</v>
      </c>
      <c r="J5942" s="151" t="s">
        <v>6962</v>
      </c>
      <c r="K5942" s="151">
        <f t="shared" si="122"/>
        <v>0</v>
      </c>
      <c r="L5942" s="151" t="s">
        <v>9022</v>
      </c>
    </row>
    <row r="5943" spans="8:12" x14ac:dyDescent="0.25">
      <c r="H5943" s="151" t="s">
        <v>2900</v>
      </c>
      <c r="I5943" s="151" t="s">
        <v>6962</v>
      </c>
      <c r="J5943" s="151" t="s">
        <v>6962</v>
      </c>
      <c r="K5943" s="151">
        <f t="shared" si="122"/>
        <v>0</v>
      </c>
      <c r="L5943" s="151" t="s">
        <v>9022</v>
      </c>
    </row>
    <row r="5944" spans="8:12" x14ac:dyDescent="0.25">
      <c r="H5944" s="151" t="s">
        <v>2901</v>
      </c>
      <c r="I5944" s="151" t="s">
        <v>6962</v>
      </c>
      <c r="J5944" s="151" t="s">
        <v>6962</v>
      </c>
      <c r="K5944" s="151">
        <f t="shared" si="122"/>
        <v>0</v>
      </c>
      <c r="L5944" s="151" t="s">
        <v>9022</v>
      </c>
    </row>
    <row r="5945" spans="8:12" x14ac:dyDescent="0.25">
      <c r="H5945" s="151" t="s">
        <v>2902</v>
      </c>
      <c r="I5945" s="151" t="s">
        <v>6962</v>
      </c>
      <c r="J5945" s="151" t="s">
        <v>6962</v>
      </c>
      <c r="K5945" s="151">
        <f t="shared" si="122"/>
        <v>0</v>
      </c>
      <c r="L5945" s="151" t="s">
        <v>9022</v>
      </c>
    </row>
    <row r="5946" spans="8:12" x14ac:dyDescent="0.25">
      <c r="H5946" s="151" t="s">
        <v>2903</v>
      </c>
      <c r="I5946" s="151" t="s">
        <v>6962</v>
      </c>
      <c r="J5946" s="151" t="s">
        <v>6962</v>
      </c>
      <c r="K5946" s="151">
        <f t="shared" si="122"/>
        <v>0</v>
      </c>
      <c r="L5946" s="151" t="s">
        <v>9022</v>
      </c>
    </row>
    <row r="5947" spans="8:12" x14ac:dyDescent="0.25">
      <c r="H5947" s="151" t="s">
        <v>2904</v>
      </c>
      <c r="I5947" s="151" t="s">
        <v>6962</v>
      </c>
      <c r="J5947" s="151" t="s">
        <v>6962</v>
      </c>
      <c r="K5947" s="151">
        <f t="shared" si="122"/>
        <v>0</v>
      </c>
      <c r="L5947" s="151" t="s">
        <v>9022</v>
      </c>
    </row>
    <row r="5948" spans="8:12" x14ac:dyDescent="0.25">
      <c r="H5948" s="151" t="s">
        <v>2905</v>
      </c>
      <c r="I5948" s="151" t="s">
        <v>6962</v>
      </c>
      <c r="J5948" s="151" t="s">
        <v>6962</v>
      </c>
      <c r="K5948" s="151">
        <f t="shared" si="122"/>
        <v>0</v>
      </c>
      <c r="L5948" s="151" t="s">
        <v>9022</v>
      </c>
    </row>
    <row r="5949" spans="8:12" x14ac:dyDescent="0.25">
      <c r="H5949" s="151" t="s">
        <v>2906</v>
      </c>
      <c r="I5949" s="151" t="s">
        <v>6962</v>
      </c>
      <c r="J5949" s="151" t="s">
        <v>6962</v>
      </c>
      <c r="K5949" s="151">
        <f t="shared" si="122"/>
        <v>0</v>
      </c>
      <c r="L5949" s="151" t="s">
        <v>9022</v>
      </c>
    </row>
    <row r="5950" spans="8:12" x14ac:dyDescent="0.25">
      <c r="H5950" s="151" t="s">
        <v>2907</v>
      </c>
      <c r="I5950" s="151" t="s">
        <v>6962</v>
      </c>
      <c r="J5950" s="151" t="s">
        <v>6962</v>
      </c>
      <c r="K5950" s="151">
        <f t="shared" si="122"/>
        <v>0</v>
      </c>
      <c r="L5950" s="151" t="s">
        <v>9022</v>
      </c>
    </row>
    <row r="5951" spans="8:12" x14ac:dyDescent="0.25">
      <c r="H5951" s="151" t="s">
        <v>2908</v>
      </c>
      <c r="I5951" s="151" t="s">
        <v>6962</v>
      </c>
      <c r="J5951" s="151" t="s">
        <v>6962</v>
      </c>
      <c r="K5951" s="151">
        <f t="shared" si="122"/>
        <v>0</v>
      </c>
      <c r="L5951" s="151" t="s">
        <v>9022</v>
      </c>
    </row>
    <row r="5952" spans="8:12" x14ac:dyDescent="0.25">
      <c r="H5952" s="151" t="s">
        <v>2909</v>
      </c>
      <c r="I5952" s="151" t="s">
        <v>6962</v>
      </c>
      <c r="J5952" s="151" t="s">
        <v>6962</v>
      </c>
      <c r="K5952" s="151">
        <f t="shared" si="122"/>
        <v>0</v>
      </c>
      <c r="L5952" s="151" t="s">
        <v>9022</v>
      </c>
    </row>
    <row r="5953" spans="8:12" x14ac:dyDescent="0.25">
      <c r="H5953" s="151" t="s">
        <v>2910</v>
      </c>
      <c r="I5953" s="151" t="s">
        <v>6962</v>
      </c>
      <c r="J5953" s="151" t="s">
        <v>6962</v>
      </c>
      <c r="K5953" s="151">
        <f t="shared" si="122"/>
        <v>0</v>
      </c>
      <c r="L5953" s="151" t="s">
        <v>9022</v>
      </c>
    </row>
    <row r="5954" spans="8:12" x14ac:dyDescent="0.25">
      <c r="H5954" s="151" t="s">
        <v>2911</v>
      </c>
      <c r="I5954" s="151" t="s">
        <v>6962</v>
      </c>
      <c r="J5954" s="151" t="s">
        <v>6962</v>
      </c>
      <c r="K5954" s="151">
        <f t="shared" si="122"/>
        <v>0</v>
      </c>
      <c r="L5954" s="151" t="s">
        <v>9022</v>
      </c>
    </row>
    <row r="5955" spans="8:12" x14ac:dyDescent="0.25">
      <c r="H5955" s="151" t="s">
        <v>2912</v>
      </c>
      <c r="I5955" s="151" t="s">
        <v>6962</v>
      </c>
      <c r="J5955" s="151" t="s">
        <v>6962</v>
      </c>
      <c r="K5955" s="151">
        <f t="shared" ref="K5955:K6018" si="123">+IFERROR(J5955*1,0)</f>
        <v>0</v>
      </c>
      <c r="L5955" s="151" t="s">
        <v>9022</v>
      </c>
    </row>
    <row r="5956" spans="8:12" x14ac:dyDescent="0.25">
      <c r="H5956" s="151" t="s">
        <v>2913</v>
      </c>
      <c r="I5956" s="151" t="s">
        <v>6962</v>
      </c>
      <c r="J5956" s="151" t="s">
        <v>6962</v>
      </c>
      <c r="K5956" s="151">
        <f t="shared" si="123"/>
        <v>0</v>
      </c>
      <c r="L5956" s="151" t="s">
        <v>9022</v>
      </c>
    </row>
    <row r="5957" spans="8:12" x14ac:dyDescent="0.25">
      <c r="H5957" s="151" t="s">
        <v>2914</v>
      </c>
      <c r="I5957" s="151" t="s">
        <v>6962</v>
      </c>
      <c r="J5957" s="151" t="s">
        <v>6962</v>
      </c>
      <c r="K5957" s="151">
        <f t="shared" si="123"/>
        <v>0</v>
      </c>
      <c r="L5957" s="151" t="s">
        <v>9022</v>
      </c>
    </row>
    <row r="5958" spans="8:12" x14ac:dyDescent="0.25">
      <c r="H5958" s="151" t="s">
        <v>2915</v>
      </c>
      <c r="I5958" s="151" t="s">
        <v>6962</v>
      </c>
      <c r="J5958" s="151" t="s">
        <v>6962</v>
      </c>
      <c r="K5958" s="151">
        <f t="shared" si="123"/>
        <v>0</v>
      </c>
      <c r="L5958" s="151" t="s">
        <v>9022</v>
      </c>
    </row>
    <row r="5959" spans="8:12" x14ac:dyDescent="0.25">
      <c r="H5959" s="151" t="s">
        <v>2916</v>
      </c>
      <c r="I5959" s="151" t="s">
        <v>6962</v>
      </c>
      <c r="J5959" s="151" t="s">
        <v>6962</v>
      </c>
      <c r="K5959" s="151">
        <f t="shared" si="123"/>
        <v>0</v>
      </c>
      <c r="L5959" s="151" t="s">
        <v>9022</v>
      </c>
    </row>
    <row r="5960" spans="8:12" x14ac:dyDescent="0.25">
      <c r="H5960" s="151" t="s">
        <v>2917</v>
      </c>
      <c r="I5960" s="151" t="s">
        <v>6962</v>
      </c>
      <c r="J5960" s="151" t="s">
        <v>6962</v>
      </c>
      <c r="K5960" s="151">
        <f t="shared" si="123"/>
        <v>0</v>
      </c>
      <c r="L5960" s="151" t="s">
        <v>9022</v>
      </c>
    </row>
    <row r="5961" spans="8:12" x14ac:dyDescent="0.25">
      <c r="H5961" s="151" t="s">
        <v>2918</v>
      </c>
      <c r="I5961" s="151" t="s">
        <v>6962</v>
      </c>
      <c r="J5961" s="151" t="s">
        <v>6962</v>
      </c>
      <c r="K5961" s="151">
        <f t="shared" si="123"/>
        <v>0</v>
      </c>
      <c r="L5961" s="151" t="s">
        <v>9022</v>
      </c>
    </row>
    <row r="5962" spans="8:12" x14ac:dyDescent="0.25">
      <c r="H5962" s="151" t="s">
        <v>2919</v>
      </c>
      <c r="I5962" s="151" t="s">
        <v>6962</v>
      </c>
      <c r="J5962" s="151" t="s">
        <v>6962</v>
      </c>
      <c r="K5962" s="151">
        <f t="shared" si="123"/>
        <v>0</v>
      </c>
      <c r="L5962" s="151" t="s">
        <v>9022</v>
      </c>
    </row>
    <row r="5963" spans="8:12" x14ac:dyDescent="0.25">
      <c r="H5963" s="151" t="s">
        <v>2920</v>
      </c>
      <c r="I5963" s="151" t="s">
        <v>6962</v>
      </c>
      <c r="J5963" s="151" t="s">
        <v>6962</v>
      </c>
      <c r="K5963" s="151">
        <f t="shared" si="123"/>
        <v>0</v>
      </c>
      <c r="L5963" s="151" t="s">
        <v>9022</v>
      </c>
    </row>
    <row r="5964" spans="8:12" x14ac:dyDescent="0.25">
      <c r="H5964" s="151" t="s">
        <v>2921</v>
      </c>
      <c r="I5964" s="151" t="s">
        <v>6962</v>
      </c>
      <c r="J5964" s="151" t="s">
        <v>6962</v>
      </c>
      <c r="K5964" s="151">
        <f t="shared" si="123"/>
        <v>0</v>
      </c>
      <c r="L5964" s="151" t="s">
        <v>9022</v>
      </c>
    </row>
    <row r="5965" spans="8:12" x14ac:dyDescent="0.25">
      <c r="H5965" s="151" t="s">
        <v>2922</v>
      </c>
      <c r="I5965" s="151" t="s">
        <v>6962</v>
      </c>
      <c r="J5965" s="151" t="s">
        <v>6962</v>
      </c>
      <c r="K5965" s="151">
        <f t="shared" si="123"/>
        <v>0</v>
      </c>
      <c r="L5965" s="151" t="s">
        <v>9022</v>
      </c>
    </row>
    <row r="5966" spans="8:12" x14ac:dyDescent="0.25">
      <c r="H5966" s="151" t="s">
        <v>2923</v>
      </c>
      <c r="I5966" s="151" t="s">
        <v>6962</v>
      </c>
      <c r="J5966" s="151" t="s">
        <v>6962</v>
      </c>
      <c r="K5966" s="151">
        <f t="shared" si="123"/>
        <v>0</v>
      </c>
      <c r="L5966" s="151" t="s">
        <v>9022</v>
      </c>
    </row>
    <row r="5967" spans="8:12" x14ac:dyDescent="0.25">
      <c r="H5967" s="151" t="s">
        <v>2924</v>
      </c>
      <c r="I5967" s="151" t="s">
        <v>6962</v>
      </c>
      <c r="J5967" s="151" t="s">
        <v>6962</v>
      </c>
      <c r="K5967" s="151">
        <f t="shared" si="123"/>
        <v>0</v>
      </c>
      <c r="L5967" s="151" t="s">
        <v>9022</v>
      </c>
    </row>
    <row r="5968" spans="8:12" x14ac:dyDescent="0.25">
      <c r="H5968" s="151" t="s">
        <v>2925</v>
      </c>
      <c r="I5968" s="151" t="s">
        <v>6962</v>
      </c>
      <c r="J5968" s="151" t="s">
        <v>6962</v>
      </c>
      <c r="K5968" s="151">
        <f t="shared" si="123"/>
        <v>0</v>
      </c>
      <c r="L5968" s="151" t="s">
        <v>9022</v>
      </c>
    </row>
    <row r="5969" spans="8:12" x14ac:dyDescent="0.25">
      <c r="H5969" s="151" t="s">
        <v>2926</v>
      </c>
      <c r="I5969" s="151" t="s">
        <v>6962</v>
      </c>
      <c r="J5969" s="151" t="s">
        <v>6962</v>
      </c>
      <c r="K5969" s="151">
        <f t="shared" si="123"/>
        <v>0</v>
      </c>
      <c r="L5969" s="151" t="s">
        <v>9022</v>
      </c>
    </row>
    <row r="5970" spans="8:12" x14ac:dyDescent="0.25">
      <c r="H5970" s="151" t="s">
        <v>2927</v>
      </c>
      <c r="I5970" s="151" t="s">
        <v>6962</v>
      </c>
      <c r="J5970" s="151" t="s">
        <v>6962</v>
      </c>
      <c r="K5970" s="151">
        <f t="shared" si="123"/>
        <v>0</v>
      </c>
      <c r="L5970" s="151" t="s">
        <v>9022</v>
      </c>
    </row>
    <row r="5971" spans="8:12" x14ac:dyDescent="0.25">
      <c r="H5971" s="151" t="s">
        <v>2928</v>
      </c>
      <c r="I5971" s="151" t="s">
        <v>6962</v>
      </c>
      <c r="J5971" s="151" t="s">
        <v>6962</v>
      </c>
      <c r="K5971" s="151">
        <f t="shared" si="123"/>
        <v>0</v>
      </c>
      <c r="L5971" s="151" t="s">
        <v>9022</v>
      </c>
    </row>
    <row r="5972" spans="8:12" x14ac:dyDescent="0.25">
      <c r="H5972" s="151" t="s">
        <v>2929</v>
      </c>
      <c r="I5972" s="151" t="s">
        <v>6962</v>
      </c>
      <c r="J5972" s="151" t="s">
        <v>6962</v>
      </c>
      <c r="K5972" s="151">
        <f t="shared" si="123"/>
        <v>0</v>
      </c>
      <c r="L5972" s="151" t="s">
        <v>9022</v>
      </c>
    </row>
    <row r="5973" spans="8:12" x14ac:dyDescent="0.25">
      <c r="H5973" s="151" t="s">
        <v>2930</v>
      </c>
      <c r="I5973" s="151" t="s">
        <v>6962</v>
      </c>
      <c r="J5973" s="151" t="s">
        <v>6962</v>
      </c>
      <c r="K5973" s="151">
        <f t="shared" si="123"/>
        <v>0</v>
      </c>
      <c r="L5973" s="151" t="s">
        <v>9022</v>
      </c>
    </row>
    <row r="5974" spans="8:12" x14ac:dyDescent="0.25">
      <c r="H5974" s="151" t="s">
        <v>2931</v>
      </c>
      <c r="I5974" s="151" t="s">
        <v>6962</v>
      </c>
      <c r="J5974" s="151" t="s">
        <v>6962</v>
      </c>
      <c r="K5974" s="151">
        <f t="shared" si="123"/>
        <v>0</v>
      </c>
      <c r="L5974" s="151" t="s">
        <v>9022</v>
      </c>
    </row>
    <row r="5975" spans="8:12" x14ac:dyDescent="0.25">
      <c r="H5975" s="151" t="s">
        <v>2932</v>
      </c>
      <c r="I5975" s="151" t="s">
        <v>6962</v>
      </c>
      <c r="J5975" s="151" t="s">
        <v>6962</v>
      </c>
      <c r="K5975" s="151">
        <f t="shared" si="123"/>
        <v>0</v>
      </c>
      <c r="L5975" s="151" t="s">
        <v>9022</v>
      </c>
    </row>
    <row r="5976" spans="8:12" x14ac:dyDescent="0.25">
      <c r="H5976" s="151" t="s">
        <v>2933</v>
      </c>
      <c r="I5976" s="151" t="s">
        <v>6962</v>
      </c>
      <c r="J5976" s="151" t="s">
        <v>6962</v>
      </c>
      <c r="K5976" s="151">
        <f t="shared" si="123"/>
        <v>0</v>
      </c>
      <c r="L5976" s="151" t="s">
        <v>9022</v>
      </c>
    </row>
    <row r="5977" spans="8:12" x14ac:dyDescent="0.25">
      <c r="H5977" s="151" t="s">
        <v>2934</v>
      </c>
      <c r="I5977" s="151" t="s">
        <v>6962</v>
      </c>
      <c r="J5977" s="151" t="s">
        <v>6962</v>
      </c>
      <c r="K5977" s="151">
        <f t="shared" si="123"/>
        <v>0</v>
      </c>
      <c r="L5977" s="151" t="s">
        <v>9022</v>
      </c>
    </row>
    <row r="5978" spans="8:12" x14ac:dyDescent="0.25">
      <c r="H5978" s="151" t="s">
        <v>2935</v>
      </c>
      <c r="I5978" s="151" t="s">
        <v>6962</v>
      </c>
      <c r="J5978" s="151" t="s">
        <v>6962</v>
      </c>
      <c r="K5978" s="151">
        <f t="shared" si="123"/>
        <v>0</v>
      </c>
      <c r="L5978" s="151" t="s">
        <v>9022</v>
      </c>
    </row>
    <row r="5979" spans="8:12" x14ac:dyDescent="0.25">
      <c r="H5979" s="151" t="s">
        <v>2936</v>
      </c>
      <c r="I5979" s="151" t="s">
        <v>6962</v>
      </c>
      <c r="J5979" s="151" t="s">
        <v>6962</v>
      </c>
      <c r="K5979" s="151">
        <f t="shared" si="123"/>
        <v>0</v>
      </c>
      <c r="L5979" s="151" t="s">
        <v>9022</v>
      </c>
    </row>
    <row r="5980" spans="8:12" x14ac:dyDescent="0.25">
      <c r="H5980" s="151" t="s">
        <v>2937</v>
      </c>
      <c r="I5980" s="151" t="s">
        <v>6962</v>
      </c>
      <c r="J5980" s="151" t="s">
        <v>6962</v>
      </c>
      <c r="K5980" s="151">
        <f t="shared" si="123"/>
        <v>0</v>
      </c>
      <c r="L5980" s="151" t="s">
        <v>9022</v>
      </c>
    </row>
    <row r="5981" spans="8:12" x14ac:dyDescent="0.25">
      <c r="H5981" s="151" t="s">
        <v>2938</v>
      </c>
      <c r="I5981" s="151" t="s">
        <v>6962</v>
      </c>
      <c r="J5981" s="151" t="s">
        <v>6962</v>
      </c>
      <c r="K5981" s="151">
        <f t="shared" si="123"/>
        <v>0</v>
      </c>
      <c r="L5981" s="151" t="s">
        <v>9022</v>
      </c>
    </row>
    <row r="5982" spans="8:12" x14ac:dyDescent="0.25">
      <c r="H5982" s="151" t="s">
        <v>2939</v>
      </c>
      <c r="I5982" s="151" t="s">
        <v>6962</v>
      </c>
      <c r="J5982" s="151" t="s">
        <v>6962</v>
      </c>
      <c r="K5982" s="151">
        <f t="shared" si="123"/>
        <v>0</v>
      </c>
      <c r="L5982" s="151" t="s">
        <v>9022</v>
      </c>
    </row>
    <row r="5983" spans="8:12" x14ac:dyDescent="0.25">
      <c r="H5983" s="151" t="s">
        <v>2940</v>
      </c>
      <c r="I5983" s="151" t="s">
        <v>6962</v>
      </c>
      <c r="J5983" s="151" t="s">
        <v>6962</v>
      </c>
      <c r="K5983" s="151">
        <f t="shared" si="123"/>
        <v>0</v>
      </c>
      <c r="L5983" s="151" t="s">
        <v>9022</v>
      </c>
    </row>
    <row r="5984" spans="8:12" x14ac:dyDescent="0.25">
      <c r="H5984" s="151" t="s">
        <v>2941</v>
      </c>
      <c r="I5984" s="151" t="s">
        <v>6962</v>
      </c>
      <c r="J5984" s="151" t="s">
        <v>6962</v>
      </c>
      <c r="K5984" s="151">
        <f t="shared" si="123"/>
        <v>0</v>
      </c>
      <c r="L5984" s="151" t="s">
        <v>9022</v>
      </c>
    </row>
    <row r="5985" spans="8:12" x14ac:dyDescent="0.25">
      <c r="H5985" s="151" t="s">
        <v>2942</v>
      </c>
      <c r="I5985" s="151" t="s">
        <v>6962</v>
      </c>
      <c r="J5985" s="151" t="s">
        <v>6962</v>
      </c>
      <c r="K5985" s="151">
        <f t="shared" si="123"/>
        <v>0</v>
      </c>
      <c r="L5985" s="151" t="s">
        <v>9022</v>
      </c>
    </row>
    <row r="5986" spans="8:12" x14ac:dyDescent="0.25">
      <c r="H5986" s="151" t="s">
        <v>2943</v>
      </c>
      <c r="I5986" s="151" t="s">
        <v>6962</v>
      </c>
      <c r="J5986" s="151" t="s">
        <v>6962</v>
      </c>
      <c r="K5986" s="151">
        <f t="shared" si="123"/>
        <v>0</v>
      </c>
      <c r="L5986" s="151" t="s">
        <v>9022</v>
      </c>
    </row>
    <row r="5987" spans="8:12" x14ac:dyDescent="0.25">
      <c r="H5987" s="151" t="s">
        <v>2944</v>
      </c>
      <c r="I5987" s="151" t="s">
        <v>6962</v>
      </c>
      <c r="J5987" s="151" t="s">
        <v>6962</v>
      </c>
      <c r="K5987" s="151">
        <f t="shared" si="123"/>
        <v>0</v>
      </c>
      <c r="L5987" s="151" t="s">
        <v>9022</v>
      </c>
    </row>
    <row r="5988" spans="8:12" x14ac:dyDescent="0.25">
      <c r="H5988" s="151" t="s">
        <v>2945</v>
      </c>
      <c r="I5988" s="151" t="s">
        <v>6962</v>
      </c>
      <c r="J5988" s="151" t="s">
        <v>6962</v>
      </c>
      <c r="K5988" s="151">
        <f t="shared" si="123"/>
        <v>0</v>
      </c>
      <c r="L5988" s="151" t="s">
        <v>9022</v>
      </c>
    </row>
    <row r="5989" spans="8:12" x14ac:dyDescent="0.25">
      <c r="H5989" s="151" t="s">
        <v>2946</v>
      </c>
      <c r="I5989" s="151" t="s">
        <v>6962</v>
      </c>
      <c r="J5989" s="151" t="s">
        <v>6962</v>
      </c>
      <c r="K5989" s="151">
        <f t="shared" si="123"/>
        <v>0</v>
      </c>
      <c r="L5989" s="151" t="s">
        <v>9022</v>
      </c>
    </row>
    <row r="5990" spans="8:12" x14ac:dyDescent="0.25">
      <c r="H5990" s="151" t="s">
        <v>2947</v>
      </c>
      <c r="I5990" s="151" t="s">
        <v>6962</v>
      </c>
      <c r="J5990" s="151" t="s">
        <v>6962</v>
      </c>
      <c r="K5990" s="151">
        <f t="shared" si="123"/>
        <v>0</v>
      </c>
      <c r="L5990" s="151" t="s">
        <v>9022</v>
      </c>
    </row>
    <row r="5991" spans="8:12" x14ac:dyDescent="0.25">
      <c r="H5991" s="151" t="s">
        <v>2948</v>
      </c>
      <c r="I5991" s="151" t="s">
        <v>6962</v>
      </c>
      <c r="J5991" s="151" t="s">
        <v>6962</v>
      </c>
      <c r="K5991" s="151">
        <f t="shared" si="123"/>
        <v>0</v>
      </c>
      <c r="L5991" s="151" t="s">
        <v>9022</v>
      </c>
    </row>
    <row r="5992" spans="8:12" x14ac:dyDescent="0.25">
      <c r="H5992" s="151" t="s">
        <v>2949</v>
      </c>
      <c r="I5992" s="151" t="s">
        <v>6962</v>
      </c>
      <c r="J5992" s="151" t="s">
        <v>6962</v>
      </c>
      <c r="K5992" s="151">
        <f t="shared" si="123"/>
        <v>0</v>
      </c>
      <c r="L5992" s="151" t="s">
        <v>9022</v>
      </c>
    </row>
    <row r="5993" spans="8:12" x14ac:dyDescent="0.25">
      <c r="H5993" s="151" t="s">
        <v>2950</v>
      </c>
      <c r="I5993" s="151" t="s">
        <v>6962</v>
      </c>
      <c r="J5993" s="151" t="s">
        <v>6962</v>
      </c>
      <c r="K5993" s="151">
        <f t="shared" si="123"/>
        <v>0</v>
      </c>
      <c r="L5993" s="151" t="s">
        <v>9022</v>
      </c>
    </row>
    <row r="5994" spans="8:12" x14ac:dyDescent="0.25">
      <c r="H5994" s="151" t="s">
        <v>2951</v>
      </c>
      <c r="I5994" s="151" t="s">
        <v>6962</v>
      </c>
      <c r="J5994" s="151" t="s">
        <v>6962</v>
      </c>
      <c r="K5994" s="151">
        <f t="shared" si="123"/>
        <v>0</v>
      </c>
      <c r="L5994" s="151" t="s">
        <v>9022</v>
      </c>
    </row>
    <row r="5995" spans="8:12" x14ac:dyDescent="0.25">
      <c r="H5995" s="151" t="s">
        <v>2952</v>
      </c>
      <c r="I5995" s="151" t="s">
        <v>6962</v>
      </c>
      <c r="J5995" s="151" t="s">
        <v>6962</v>
      </c>
      <c r="K5995" s="151">
        <f t="shared" si="123"/>
        <v>0</v>
      </c>
      <c r="L5995" s="151" t="s">
        <v>9022</v>
      </c>
    </row>
    <row r="5996" spans="8:12" x14ac:dyDescent="0.25">
      <c r="H5996" s="151" t="s">
        <v>2953</v>
      </c>
      <c r="I5996" s="151" t="s">
        <v>6962</v>
      </c>
      <c r="J5996" s="151" t="s">
        <v>6962</v>
      </c>
      <c r="K5996" s="151">
        <f t="shared" si="123"/>
        <v>0</v>
      </c>
      <c r="L5996" s="151" t="s">
        <v>9022</v>
      </c>
    </row>
    <row r="5997" spans="8:12" x14ac:dyDescent="0.25">
      <c r="H5997" s="151" t="s">
        <v>2954</v>
      </c>
      <c r="I5997" s="151" t="s">
        <v>6962</v>
      </c>
      <c r="J5997" s="151" t="s">
        <v>6962</v>
      </c>
      <c r="K5997" s="151">
        <f t="shared" si="123"/>
        <v>0</v>
      </c>
      <c r="L5997" s="151" t="s">
        <v>9022</v>
      </c>
    </row>
    <row r="5998" spans="8:12" x14ac:dyDescent="0.25">
      <c r="H5998" s="151" t="s">
        <v>2955</v>
      </c>
      <c r="I5998" s="151" t="s">
        <v>6962</v>
      </c>
      <c r="J5998" s="151" t="s">
        <v>6962</v>
      </c>
      <c r="K5998" s="151">
        <f t="shared" si="123"/>
        <v>0</v>
      </c>
      <c r="L5998" s="151" t="s">
        <v>9022</v>
      </c>
    </row>
    <row r="5999" spans="8:12" x14ac:dyDescent="0.25">
      <c r="H5999" s="151" t="s">
        <v>2956</v>
      </c>
      <c r="I5999" s="151" t="s">
        <v>6962</v>
      </c>
      <c r="J5999" s="151" t="s">
        <v>6962</v>
      </c>
      <c r="K5999" s="151">
        <f t="shared" si="123"/>
        <v>0</v>
      </c>
      <c r="L5999" s="151" t="s">
        <v>9022</v>
      </c>
    </row>
    <row r="6000" spans="8:12" x14ac:dyDescent="0.25">
      <c r="H6000" s="151" t="s">
        <v>2957</v>
      </c>
      <c r="I6000" s="151" t="s">
        <v>6962</v>
      </c>
      <c r="J6000" s="151" t="s">
        <v>6962</v>
      </c>
      <c r="K6000" s="151">
        <f t="shared" si="123"/>
        <v>0</v>
      </c>
      <c r="L6000" s="151" t="s">
        <v>9022</v>
      </c>
    </row>
    <row r="6001" spans="8:12" x14ac:dyDescent="0.25">
      <c r="H6001" s="151" t="s">
        <v>2958</v>
      </c>
      <c r="I6001" s="151" t="s">
        <v>6962</v>
      </c>
      <c r="J6001" s="151" t="s">
        <v>6962</v>
      </c>
      <c r="K6001" s="151">
        <f t="shared" si="123"/>
        <v>0</v>
      </c>
      <c r="L6001" s="151" t="s">
        <v>9022</v>
      </c>
    </row>
    <row r="6002" spans="8:12" x14ac:dyDescent="0.25">
      <c r="H6002" s="151" t="s">
        <v>2959</v>
      </c>
      <c r="I6002" s="151" t="s">
        <v>6962</v>
      </c>
      <c r="J6002" s="151" t="s">
        <v>6962</v>
      </c>
      <c r="K6002" s="151">
        <f t="shared" si="123"/>
        <v>0</v>
      </c>
      <c r="L6002" s="151" t="s">
        <v>9022</v>
      </c>
    </row>
    <row r="6003" spans="8:12" x14ac:dyDescent="0.25">
      <c r="H6003" s="151" t="s">
        <v>2960</v>
      </c>
      <c r="I6003" s="151" t="s">
        <v>6962</v>
      </c>
      <c r="J6003" s="151" t="s">
        <v>6962</v>
      </c>
      <c r="K6003" s="151">
        <f t="shared" si="123"/>
        <v>0</v>
      </c>
      <c r="L6003" s="151" t="s">
        <v>9022</v>
      </c>
    </row>
    <row r="6004" spans="8:12" x14ac:dyDescent="0.25">
      <c r="H6004" s="151" t="s">
        <v>2961</v>
      </c>
      <c r="I6004" s="151" t="s">
        <v>6962</v>
      </c>
      <c r="J6004" s="151" t="s">
        <v>6962</v>
      </c>
      <c r="K6004" s="151">
        <f t="shared" si="123"/>
        <v>0</v>
      </c>
      <c r="L6004" s="151" t="s">
        <v>9022</v>
      </c>
    </row>
    <row r="6005" spans="8:12" x14ac:dyDescent="0.25">
      <c r="H6005" s="151" t="s">
        <v>2962</v>
      </c>
      <c r="I6005" s="151" t="s">
        <v>6962</v>
      </c>
      <c r="J6005" s="151" t="s">
        <v>6962</v>
      </c>
      <c r="K6005" s="151">
        <f t="shared" si="123"/>
        <v>0</v>
      </c>
      <c r="L6005" s="151" t="s">
        <v>9022</v>
      </c>
    </row>
    <row r="6006" spans="8:12" x14ac:dyDescent="0.25">
      <c r="H6006" s="151" t="s">
        <v>2963</v>
      </c>
      <c r="I6006" s="151" t="s">
        <v>6962</v>
      </c>
      <c r="J6006" s="151" t="s">
        <v>6962</v>
      </c>
      <c r="K6006" s="151">
        <f t="shared" si="123"/>
        <v>0</v>
      </c>
      <c r="L6006" s="151" t="s">
        <v>9022</v>
      </c>
    </row>
    <row r="6007" spans="8:12" x14ac:dyDescent="0.25">
      <c r="H6007" s="151" t="s">
        <v>2964</v>
      </c>
      <c r="I6007" s="151" t="s">
        <v>6962</v>
      </c>
      <c r="J6007" s="151" t="s">
        <v>6962</v>
      </c>
      <c r="K6007" s="151">
        <f t="shared" si="123"/>
        <v>0</v>
      </c>
      <c r="L6007" s="151" t="s">
        <v>9022</v>
      </c>
    </row>
    <row r="6008" spans="8:12" x14ac:dyDescent="0.25">
      <c r="H6008" s="151" t="s">
        <v>2965</v>
      </c>
      <c r="I6008" s="151" t="s">
        <v>6962</v>
      </c>
      <c r="J6008" s="151" t="s">
        <v>6962</v>
      </c>
      <c r="K6008" s="151">
        <f t="shared" si="123"/>
        <v>0</v>
      </c>
      <c r="L6008" s="151" t="s">
        <v>9022</v>
      </c>
    </row>
    <row r="6009" spans="8:12" x14ac:dyDescent="0.25">
      <c r="H6009" s="151" t="s">
        <v>2966</v>
      </c>
      <c r="I6009" s="151" t="s">
        <v>6962</v>
      </c>
      <c r="J6009" s="151" t="s">
        <v>6962</v>
      </c>
      <c r="K6009" s="151">
        <f t="shared" si="123"/>
        <v>0</v>
      </c>
      <c r="L6009" s="151" t="s">
        <v>9022</v>
      </c>
    </row>
    <row r="6010" spans="8:12" x14ac:dyDescent="0.25">
      <c r="H6010" s="151" t="s">
        <v>2967</v>
      </c>
      <c r="I6010" s="151" t="s">
        <v>6962</v>
      </c>
      <c r="J6010" s="151" t="s">
        <v>6962</v>
      </c>
      <c r="K6010" s="151">
        <f t="shared" si="123"/>
        <v>0</v>
      </c>
      <c r="L6010" s="151" t="s">
        <v>9022</v>
      </c>
    </row>
    <row r="6011" spans="8:12" x14ac:dyDescent="0.25">
      <c r="H6011" s="151" t="s">
        <v>2968</v>
      </c>
      <c r="I6011" s="151" t="s">
        <v>6962</v>
      </c>
      <c r="J6011" s="151" t="s">
        <v>6962</v>
      </c>
      <c r="K6011" s="151">
        <f t="shared" si="123"/>
        <v>0</v>
      </c>
      <c r="L6011" s="151" t="s">
        <v>9022</v>
      </c>
    </row>
    <row r="6012" spans="8:12" x14ac:dyDescent="0.25">
      <c r="H6012" s="151" t="s">
        <v>2969</v>
      </c>
      <c r="I6012" s="151" t="s">
        <v>6962</v>
      </c>
      <c r="J6012" s="151" t="s">
        <v>6962</v>
      </c>
      <c r="K6012" s="151">
        <f t="shared" si="123"/>
        <v>0</v>
      </c>
      <c r="L6012" s="151" t="s">
        <v>9022</v>
      </c>
    </row>
    <row r="6013" spans="8:12" x14ac:dyDescent="0.25">
      <c r="H6013" s="151" t="s">
        <v>2970</v>
      </c>
      <c r="I6013" s="151" t="s">
        <v>6962</v>
      </c>
      <c r="J6013" s="151" t="s">
        <v>6962</v>
      </c>
      <c r="K6013" s="151">
        <f t="shared" si="123"/>
        <v>0</v>
      </c>
      <c r="L6013" s="151" t="s">
        <v>9022</v>
      </c>
    </row>
    <row r="6014" spans="8:12" x14ac:dyDescent="0.25">
      <c r="H6014" s="151" t="s">
        <v>2971</v>
      </c>
      <c r="I6014" s="151" t="s">
        <v>6962</v>
      </c>
      <c r="J6014" s="151" t="s">
        <v>6962</v>
      </c>
      <c r="K6014" s="151">
        <f t="shared" si="123"/>
        <v>0</v>
      </c>
      <c r="L6014" s="151" t="s">
        <v>9022</v>
      </c>
    </row>
    <row r="6015" spans="8:12" x14ac:dyDescent="0.25">
      <c r="H6015" s="151" t="s">
        <v>2972</v>
      </c>
      <c r="I6015" s="151" t="s">
        <v>6962</v>
      </c>
      <c r="J6015" s="151" t="s">
        <v>6962</v>
      </c>
      <c r="K6015" s="151">
        <f t="shared" si="123"/>
        <v>0</v>
      </c>
      <c r="L6015" s="151" t="s">
        <v>9022</v>
      </c>
    </row>
    <row r="6016" spans="8:12" x14ac:dyDescent="0.25">
      <c r="H6016" s="151" t="s">
        <v>2973</v>
      </c>
      <c r="I6016" s="151" t="s">
        <v>6962</v>
      </c>
      <c r="J6016" s="151" t="s">
        <v>6962</v>
      </c>
      <c r="K6016" s="151">
        <f t="shared" si="123"/>
        <v>0</v>
      </c>
      <c r="L6016" s="151" t="s">
        <v>9022</v>
      </c>
    </row>
    <row r="6017" spans="8:12" x14ac:dyDescent="0.25">
      <c r="H6017" s="151" t="s">
        <v>2974</v>
      </c>
      <c r="I6017" s="151" t="s">
        <v>6962</v>
      </c>
      <c r="J6017" s="151" t="s">
        <v>6962</v>
      </c>
      <c r="K6017" s="151">
        <f t="shared" si="123"/>
        <v>0</v>
      </c>
      <c r="L6017" s="151" t="s">
        <v>9022</v>
      </c>
    </row>
    <row r="6018" spans="8:12" x14ac:dyDescent="0.25">
      <c r="H6018" s="151" t="s">
        <v>2975</v>
      </c>
      <c r="I6018" s="151" t="s">
        <v>6962</v>
      </c>
      <c r="J6018" s="151" t="s">
        <v>6962</v>
      </c>
      <c r="K6018" s="151">
        <f t="shared" si="123"/>
        <v>0</v>
      </c>
      <c r="L6018" s="151" t="s">
        <v>9022</v>
      </c>
    </row>
    <row r="6019" spans="8:12" x14ac:dyDescent="0.25">
      <c r="H6019" s="151" t="s">
        <v>2976</v>
      </c>
      <c r="I6019" s="151" t="s">
        <v>6962</v>
      </c>
      <c r="J6019" s="151" t="s">
        <v>6962</v>
      </c>
      <c r="K6019" s="151">
        <f t="shared" ref="K6019:K6037" si="124">+IFERROR(J6019*1,0)</f>
        <v>0</v>
      </c>
      <c r="L6019" s="151" t="s">
        <v>9022</v>
      </c>
    </row>
    <row r="6020" spans="8:12" x14ac:dyDescent="0.25">
      <c r="H6020" s="151" t="s">
        <v>2977</v>
      </c>
      <c r="I6020" s="151" t="s">
        <v>6962</v>
      </c>
      <c r="J6020" s="151" t="s">
        <v>6962</v>
      </c>
      <c r="K6020" s="151">
        <f t="shared" si="124"/>
        <v>0</v>
      </c>
      <c r="L6020" s="151" t="s">
        <v>9022</v>
      </c>
    </row>
    <row r="6021" spans="8:12" x14ac:dyDescent="0.25">
      <c r="H6021" s="151" t="s">
        <v>2978</v>
      </c>
      <c r="I6021" s="151" t="s">
        <v>6962</v>
      </c>
      <c r="J6021" s="151" t="s">
        <v>6962</v>
      </c>
      <c r="K6021" s="151">
        <f t="shared" si="124"/>
        <v>0</v>
      </c>
      <c r="L6021" s="151" t="s">
        <v>9022</v>
      </c>
    </row>
    <row r="6022" spans="8:12" x14ac:dyDescent="0.25">
      <c r="H6022" s="151" t="s">
        <v>2979</v>
      </c>
      <c r="I6022" s="151" t="s">
        <v>6962</v>
      </c>
      <c r="J6022" s="151" t="s">
        <v>6962</v>
      </c>
      <c r="K6022" s="151">
        <f t="shared" si="124"/>
        <v>0</v>
      </c>
      <c r="L6022" s="151" t="s">
        <v>9022</v>
      </c>
    </row>
    <row r="6023" spans="8:12" x14ac:dyDescent="0.25">
      <c r="H6023" s="151" t="s">
        <v>2980</v>
      </c>
      <c r="I6023" s="151" t="s">
        <v>6962</v>
      </c>
      <c r="J6023" s="151" t="s">
        <v>6962</v>
      </c>
      <c r="K6023" s="151">
        <f t="shared" si="124"/>
        <v>0</v>
      </c>
      <c r="L6023" s="151" t="s">
        <v>9022</v>
      </c>
    </row>
    <row r="6024" spans="8:12" x14ac:dyDescent="0.25">
      <c r="H6024" s="151" t="s">
        <v>2981</v>
      </c>
      <c r="I6024" s="151" t="s">
        <v>6962</v>
      </c>
      <c r="J6024" s="151" t="s">
        <v>6962</v>
      </c>
      <c r="K6024" s="151">
        <f t="shared" si="124"/>
        <v>0</v>
      </c>
      <c r="L6024" s="151" t="s">
        <v>9022</v>
      </c>
    </row>
    <row r="6025" spans="8:12" x14ac:dyDescent="0.25">
      <c r="H6025" s="151" t="s">
        <v>2982</v>
      </c>
      <c r="I6025" s="151" t="s">
        <v>6962</v>
      </c>
      <c r="J6025" s="151" t="s">
        <v>6962</v>
      </c>
      <c r="K6025" s="151">
        <f t="shared" si="124"/>
        <v>0</v>
      </c>
      <c r="L6025" s="151" t="s">
        <v>9022</v>
      </c>
    </row>
    <row r="6026" spans="8:12" x14ac:dyDescent="0.25">
      <c r="H6026" s="151" t="s">
        <v>2983</v>
      </c>
      <c r="I6026" s="151" t="s">
        <v>6962</v>
      </c>
      <c r="J6026" s="151" t="s">
        <v>6962</v>
      </c>
      <c r="K6026" s="151">
        <f t="shared" si="124"/>
        <v>0</v>
      </c>
      <c r="L6026" s="151" t="s">
        <v>9022</v>
      </c>
    </row>
    <row r="6027" spans="8:12" x14ac:dyDescent="0.25">
      <c r="H6027" s="151" t="s">
        <v>2984</v>
      </c>
      <c r="I6027" s="151" t="s">
        <v>6962</v>
      </c>
      <c r="J6027" s="151" t="s">
        <v>6962</v>
      </c>
      <c r="K6027" s="151">
        <f t="shared" si="124"/>
        <v>0</v>
      </c>
      <c r="L6027" s="151" t="s">
        <v>9022</v>
      </c>
    </row>
    <row r="6028" spans="8:12" x14ac:dyDescent="0.25">
      <c r="H6028" s="151" t="s">
        <v>2985</v>
      </c>
      <c r="I6028" s="151" t="s">
        <v>6962</v>
      </c>
      <c r="J6028" s="151" t="s">
        <v>6962</v>
      </c>
      <c r="K6028" s="151">
        <f t="shared" si="124"/>
        <v>0</v>
      </c>
      <c r="L6028" s="151" t="s">
        <v>9022</v>
      </c>
    </row>
    <row r="6029" spans="8:12" x14ac:dyDescent="0.25">
      <c r="H6029" s="151" t="s">
        <v>2986</v>
      </c>
      <c r="I6029" s="151" t="s">
        <v>6962</v>
      </c>
      <c r="J6029" s="151" t="s">
        <v>6962</v>
      </c>
      <c r="K6029" s="151">
        <f t="shared" si="124"/>
        <v>0</v>
      </c>
      <c r="L6029" s="151" t="s">
        <v>9022</v>
      </c>
    </row>
    <row r="6030" spans="8:12" x14ac:dyDescent="0.25">
      <c r="H6030" s="151" t="s">
        <v>2987</v>
      </c>
      <c r="I6030" s="151" t="s">
        <v>6962</v>
      </c>
      <c r="J6030" s="151" t="s">
        <v>6962</v>
      </c>
      <c r="K6030" s="151">
        <f t="shared" si="124"/>
        <v>0</v>
      </c>
      <c r="L6030" s="151" t="s">
        <v>9022</v>
      </c>
    </row>
    <row r="6031" spans="8:12" x14ac:dyDescent="0.25">
      <c r="H6031" s="151" t="s">
        <v>2988</v>
      </c>
      <c r="I6031" s="151" t="s">
        <v>6962</v>
      </c>
      <c r="J6031" s="151" t="s">
        <v>6962</v>
      </c>
      <c r="K6031" s="151">
        <f t="shared" si="124"/>
        <v>0</v>
      </c>
      <c r="L6031" s="151" t="s">
        <v>9022</v>
      </c>
    </row>
    <row r="6032" spans="8:12" x14ac:dyDescent="0.25">
      <c r="H6032" s="151" t="s">
        <v>2989</v>
      </c>
      <c r="I6032" s="151" t="s">
        <v>6962</v>
      </c>
      <c r="J6032" s="151" t="s">
        <v>6962</v>
      </c>
      <c r="K6032" s="151">
        <f t="shared" si="124"/>
        <v>0</v>
      </c>
      <c r="L6032" s="151" t="s">
        <v>9022</v>
      </c>
    </row>
    <row r="6033" spans="8:12" x14ac:dyDescent="0.25">
      <c r="H6033" s="151" t="s">
        <v>2990</v>
      </c>
      <c r="I6033" s="151" t="s">
        <v>6962</v>
      </c>
      <c r="J6033" s="151" t="s">
        <v>6962</v>
      </c>
      <c r="K6033" s="151">
        <f t="shared" si="124"/>
        <v>0</v>
      </c>
      <c r="L6033" s="151" t="s">
        <v>9022</v>
      </c>
    </row>
    <row r="6034" spans="8:12" x14ac:dyDescent="0.25">
      <c r="H6034" s="151" t="s">
        <v>2991</v>
      </c>
      <c r="I6034" s="151" t="s">
        <v>6962</v>
      </c>
      <c r="J6034" s="151" t="s">
        <v>6962</v>
      </c>
      <c r="K6034" s="151">
        <f t="shared" si="124"/>
        <v>0</v>
      </c>
      <c r="L6034" s="151" t="s">
        <v>9022</v>
      </c>
    </row>
    <row r="6035" spans="8:12" x14ac:dyDescent="0.25">
      <c r="H6035" s="151" t="s">
        <v>2992</v>
      </c>
      <c r="I6035" s="151" t="s">
        <v>6962</v>
      </c>
      <c r="J6035" s="151" t="s">
        <v>6962</v>
      </c>
      <c r="K6035" s="151">
        <f t="shared" si="124"/>
        <v>0</v>
      </c>
      <c r="L6035" s="151" t="s">
        <v>9022</v>
      </c>
    </row>
    <row r="6036" spans="8:12" x14ac:dyDescent="0.25">
      <c r="H6036" s="151" t="s">
        <v>2993</v>
      </c>
      <c r="I6036" s="151" t="s">
        <v>6962</v>
      </c>
      <c r="J6036" s="151" t="s">
        <v>6962</v>
      </c>
      <c r="K6036" s="151">
        <f t="shared" si="124"/>
        <v>0</v>
      </c>
      <c r="L6036" s="151" t="s">
        <v>9022</v>
      </c>
    </row>
    <row r="6037" spans="8:12" x14ac:dyDescent="0.25">
      <c r="H6037" s="151" t="s">
        <v>2994</v>
      </c>
      <c r="I6037" s="151" t="s">
        <v>6962</v>
      </c>
      <c r="J6037" s="151" t="s">
        <v>6962</v>
      </c>
      <c r="K6037" s="151">
        <f t="shared" si="124"/>
        <v>0</v>
      </c>
      <c r="L6037" s="151" t="s">
        <v>9022</v>
      </c>
    </row>
  </sheetData>
  <autoFilter ref="A1:L6037"/>
  <sortState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hlussiatti</cp:lastModifiedBy>
  <dcterms:created xsi:type="dcterms:W3CDTF">2023-06-06T09:47:55Z</dcterms:created>
  <dcterms:modified xsi:type="dcterms:W3CDTF">2024-04-18T11:28:14Z</dcterms:modified>
</cp:coreProperties>
</file>